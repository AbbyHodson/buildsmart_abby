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AC11\Downloads\"/>
    </mc:Choice>
  </mc:AlternateContent>
  <xr:revisionPtr revIDLastSave="0" documentId="13_ncr:1_{3663D0CA-8D8F-4575-B93D-838E59AAA39F}" xr6:coauthVersionLast="47" xr6:coauthVersionMax="47" xr10:uidLastSave="{00000000-0000-0000-0000-000000000000}"/>
  <bookViews>
    <workbookView xWindow="-110" yWindow="-110" windowWidth="19420" windowHeight="11500" xr2:uid="{D3F70851-9221-427E-B9F4-F3BAFB4F4DDB}"/>
  </bookViews>
  <sheets>
    <sheet name="Summary material stock (tons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C26" i="1"/>
  <c r="M26" i="1"/>
  <c r="P26" i="1" l="1"/>
  <c r="J26" i="1"/>
  <c r="N26" i="1"/>
  <c r="H26" i="1"/>
  <c r="F26" i="1"/>
  <c r="E26" i="1"/>
  <c r="G26" i="1"/>
  <c r="I26" i="1"/>
  <c r="O26" i="1"/>
  <c r="K26" i="1"/>
  <c r="D26" i="1"/>
  <c r="Q26" i="1"/>
  <c r="L26" i="1"/>
</calcChain>
</file>

<file path=xl/sharedStrings.xml><?xml version="1.0" encoding="utf-8"?>
<sst xmlns="http://schemas.openxmlformats.org/spreadsheetml/2006/main" count="42" uniqueCount="42">
  <si>
    <t>Archetypes</t>
  </si>
  <si>
    <t>Material stock (tons)</t>
  </si>
  <si>
    <t>steel</t>
  </si>
  <si>
    <t>concrete</t>
  </si>
  <si>
    <t>wood</t>
  </si>
  <si>
    <t>stucco</t>
  </si>
  <si>
    <t>organic mat, asphalt coating</t>
  </si>
  <si>
    <t>gypsum board</t>
  </si>
  <si>
    <t>aluminum</t>
  </si>
  <si>
    <t>glass</t>
  </si>
  <si>
    <t>plastic</t>
  </si>
  <si>
    <t>asphalt</t>
  </si>
  <si>
    <t>modified bitumen</t>
  </si>
  <si>
    <t>transite</t>
  </si>
  <si>
    <t>brick</t>
  </si>
  <si>
    <t>mortar</t>
  </si>
  <si>
    <t>clay</t>
  </si>
  <si>
    <t>Aircraft traffic control &amp; operations</t>
  </si>
  <si>
    <t>Ammunition &amp; explosives storage magazine</t>
  </si>
  <si>
    <t>Aircraft maintenance hangar</t>
  </si>
  <si>
    <t>Communications</t>
  </si>
  <si>
    <t>Family housing</t>
  </si>
  <si>
    <t>Family service center</t>
  </si>
  <si>
    <t>Industrial utilities</t>
  </si>
  <si>
    <t>Lodging</t>
  </si>
  <si>
    <t>Maintenance shop</t>
  </si>
  <si>
    <t>Office</t>
  </si>
  <si>
    <t>RDT&amp;E (laboratories)</t>
  </si>
  <si>
    <t>Recreation &amp; culture</t>
  </si>
  <si>
    <t>Store (retail &amp; grocery)</t>
  </si>
  <si>
    <t>Training / academic instruction</t>
  </si>
  <si>
    <t>Unaccompanied housing (barracks)</t>
  </si>
  <si>
    <t>Warehouse / storage</t>
  </si>
  <si>
    <t>Public service</t>
  </si>
  <si>
    <t>Ship operational</t>
  </si>
  <si>
    <t>Security</t>
  </si>
  <si>
    <t>Medical facilities</t>
  </si>
  <si>
    <t>Fire station</t>
  </si>
  <si>
    <t>Dining</t>
  </si>
  <si>
    <t>Armory</t>
  </si>
  <si>
    <t>TOTALS (tons)</t>
  </si>
  <si>
    <t>GSF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</si>
</sst>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164" fontId="0" fillId="0" borderId="9" xfId="1" applyNumberFormat="1" applyFont="1" applyFill="1" applyBorder="1"/>
    <xf numFmtId="164" fontId="0" fillId="0" borderId="11" xfId="1" applyNumberFormat="1" applyFont="1" applyFill="1" applyBorder="1"/>
    <xf numFmtId="164" fontId="0" fillId="0" borderId="12" xfId="1" applyNumberFormat="1" applyFont="1" applyBorder="1"/>
    <xf numFmtId="164" fontId="2" fillId="0" borderId="13" xfId="1" applyNumberFormat="1" applyFont="1" applyFill="1" applyBorder="1"/>
    <xf numFmtId="164" fontId="2" fillId="0" borderId="14" xfId="0" applyNumberFormat="1" applyFont="1" applyBorder="1"/>
    <xf numFmtId="43" fontId="2" fillId="0" borderId="14" xfId="0" applyNumberFormat="1" applyFont="1" applyBorder="1"/>
    <xf numFmtId="43" fontId="2" fillId="0" borderId="15" xfId="0" applyNumberFormat="1" applyFont="1" applyBorder="1"/>
    <xf numFmtId="164" fontId="2" fillId="0" borderId="1" xfId="1" applyNumberFormat="1" applyFont="1" applyBorder="1" applyAlignment="1">
      <alignment horizontal="left" vertical="center"/>
    </xf>
    <xf numFmtId="164" fontId="2" fillId="0" borderId="6" xfId="1" applyNumberFormat="1" applyFont="1" applyBorder="1" applyAlignment="1">
      <alignment horizontal="left" vertical="center"/>
    </xf>
    <xf numFmtId="164" fontId="2" fillId="0" borderId="2" xfId="1" applyNumberFormat="1" applyFont="1" applyBorder="1" applyAlignment="1">
      <alignment horizontal="right" vertical="center"/>
    </xf>
    <xf numFmtId="164" fontId="2" fillId="0" borderId="7" xfId="1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Total</a:t>
            </a:r>
            <a:r>
              <a:rPr lang="en-US" baseline="0">
                <a:solidFill>
                  <a:sysClr val="windowText" lastClr="000000"/>
                </a:solidFill>
              </a:rPr>
              <a:t> Materials (tons)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material stock (tons)'!$C$2</c:f>
              <c:strCache>
                <c:ptCount val="1"/>
                <c:pt idx="0">
                  <c:v>steel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(tons)'!$C$3:$C$25</c:f>
              <c:numCache>
                <c:formatCode>_(* #,##0_);_(* \(#,##0\);_(* "-"??_);_(@_)</c:formatCode>
                <c:ptCount val="23"/>
                <c:pt idx="0">
                  <c:v>328.59740977443613</c:v>
                </c:pt>
                <c:pt idx="1">
                  <c:v>383.9729177880572</c:v>
                </c:pt>
                <c:pt idx="2">
                  <c:v>4643.948214425227</c:v>
                </c:pt>
                <c:pt idx="3">
                  <c:v>1116.197939549488</c:v>
                </c:pt>
                <c:pt idx="4">
                  <c:v>1685.53665</c:v>
                </c:pt>
                <c:pt idx="5">
                  <c:v>197.17076443983305</c:v>
                </c:pt>
                <c:pt idx="6">
                  <c:v>86.479649999999992</c:v>
                </c:pt>
                <c:pt idx="7">
                  <c:v>419.49317265968523</c:v>
                </c:pt>
                <c:pt idx="8">
                  <c:v>5496.6372186747594</c:v>
                </c:pt>
                <c:pt idx="9">
                  <c:v>3783.8162374418093</c:v>
                </c:pt>
                <c:pt idx="10">
                  <c:v>19860.837797086613</c:v>
                </c:pt>
                <c:pt idx="11">
                  <c:v>1472.4123965911808</c:v>
                </c:pt>
                <c:pt idx="12">
                  <c:v>1553.4534468777053</c:v>
                </c:pt>
                <c:pt idx="13">
                  <c:v>2250.3729909618687</c:v>
                </c:pt>
                <c:pt idx="14">
                  <c:v>4094.3863482313282</c:v>
                </c:pt>
                <c:pt idx="15">
                  <c:v>19901.276189964537</c:v>
                </c:pt>
                <c:pt idx="16">
                  <c:v>208.69712111902248</c:v>
                </c:pt>
                <c:pt idx="17">
                  <c:v>141.44087759705883</c:v>
                </c:pt>
                <c:pt idx="18">
                  <c:v>27.891657975341193</c:v>
                </c:pt>
                <c:pt idx="19">
                  <c:v>430.50900567106413</c:v>
                </c:pt>
                <c:pt idx="20">
                  <c:v>23.327995278258363</c:v>
                </c:pt>
                <c:pt idx="21">
                  <c:v>801.66541283463494</c:v>
                </c:pt>
                <c:pt idx="22">
                  <c:v>55.520057568037771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9-4E66-8063-9C6D54353F8C}"/>
            </c:ext>
          </c:extLst>
        </c:ser>
        <c:ser>
          <c:idx val="1"/>
          <c:order val="1"/>
          <c:tx>
            <c:strRef>
              <c:f>'Summary material stock (tons)'!$D$2</c:f>
              <c:strCache>
                <c:ptCount val="1"/>
                <c:pt idx="0">
                  <c:v>concrete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(tons)'!$D$3:$D$25</c:f>
              <c:numCache>
                <c:formatCode>_(* #,##0_);_(* \(#,##0\);_(* "-"??_);_(@_)</c:formatCode>
                <c:ptCount val="23"/>
                <c:pt idx="0">
                  <c:v>2601.2875939849628</c:v>
                </c:pt>
                <c:pt idx="1">
                  <c:v>12908.401703111858</c:v>
                </c:pt>
                <c:pt idx="2">
                  <c:v>39023.028173544059</c:v>
                </c:pt>
                <c:pt idx="3">
                  <c:v>20652.160434266214</c:v>
                </c:pt>
                <c:pt idx="4">
                  <c:v>42165.823349999999</c:v>
                </c:pt>
                <c:pt idx="5">
                  <c:v>4965.4175972209487</c:v>
                </c:pt>
                <c:pt idx="6">
                  <c:v>2242.0650000000001</c:v>
                </c:pt>
                <c:pt idx="7">
                  <c:v>10601.749754107846</c:v>
                </c:pt>
                <c:pt idx="8">
                  <c:v>45841.718566914118</c:v>
                </c:pt>
                <c:pt idx="9">
                  <c:v>38318.658139836756</c:v>
                </c:pt>
                <c:pt idx="10">
                  <c:v>194237.08706692912</c:v>
                </c:pt>
                <c:pt idx="11">
                  <c:v>9232.7257286995518</c:v>
                </c:pt>
                <c:pt idx="12">
                  <c:v>11868.368811888713</c:v>
                </c:pt>
                <c:pt idx="13">
                  <c:v>36805.9589764337</c:v>
                </c:pt>
                <c:pt idx="14">
                  <c:v>85026.033844144054</c:v>
                </c:pt>
                <c:pt idx="15">
                  <c:v>284195.27120810078</c:v>
                </c:pt>
                <c:pt idx="16">
                  <c:v>1624.3434203586496</c:v>
                </c:pt>
                <c:pt idx="17">
                  <c:v>1881.9813639705883</c:v>
                </c:pt>
                <c:pt idx="18">
                  <c:v>704.57508142059567</c:v>
                </c:pt>
                <c:pt idx="19">
                  <c:v>6811.970749059863</c:v>
                </c:pt>
                <c:pt idx="20">
                  <c:v>587.37181372549026</c:v>
                </c:pt>
                <c:pt idx="21">
                  <c:v>15288.932829963103</c:v>
                </c:pt>
                <c:pt idx="22">
                  <c:v>1061.3551012799803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9-4E66-8063-9C6D54353F8C}"/>
            </c:ext>
          </c:extLst>
        </c:ser>
        <c:ser>
          <c:idx val="2"/>
          <c:order val="2"/>
          <c:tx>
            <c:strRef>
              <c:f>'Summary material stock (tons)'!$E$2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(tons)'!$E$3:$E$25</c:f>
              <c:numCache>
                <c:formatCode>_(* #,##0_);_(* \(#,##0\);_(* "-"??_);_(@_)</c:formatCode>
                <c:ptCount val="23"/>
                <c:pt idx="0">
                  <c:v>66.019730075187965</c:v>
                </c:pt>
                <c:pt idx="1">
                  <c:v>0</c:v>
                </c:pt>
                <c:pt idx="2">
                  <c:v>13.327454274275846</c:v>
                </c:pt>
                <c:pt idx="3">
                  <c:v>0</c:v>
                </c:pt>
                <c:pt idx="4">
                  <c:v>9160.8231749999995</c:v>
                </c:pt>
                <c:pt idx="5">
                  <c:v>287.39418548483923</c:v>
                </c:pt>
                <c:pt idx="6">
                  <c:v>109.88413947499998</c:v>
                </c:pt>
                <c:pt idx="7">
                  <c:v>2794.469533458921</c:v>
                </c:pt>
                <c:pt idx="8">
                  <c:v>714.98315008025691</c:v>
                </c:pt>
                <c:pt idx="9">
                  <c:v>354.44391370174111</c:v>
                </c:pt>
                <c:pt idx="10">
                  <c:v>0</c:v>
                </c:pt>
                <c:pt idx="11">
                  <c:v>1003.8326358525062</c:v>
                </c:pt>
                <c:pt idx="12">
                  <c:v>207.00028513013208</c:v>
                </c:pt>
                <c:pt idx="13">
                  <c:v>450.92920692828966</c:v>
                </c:pt>
                <c:pt idx="14">
                  <c:v>0</c:v>
                </c:pt>
                <c:pt idx="15">
                  <c:v>0</c:v>
                </c:pt>
                <c:pt idx="16">
                  <c:v>124.85521202531648</c:v>
                </c:pt>
                <c:pt idx="17">
                  <c:v>33.096776470588239</c:v>
                </c:pt>
                <c:pt idx="18">
                  <c:v>95.947141012717111</c:v>
                </c:pt>
                <c:pt idx="19">
                  <c:v>0</c:v>
                </c:pt>
                <c:pt idx="20">
                  <c:v>40.970965116955021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B9-4E66-8063-9C6D54353F8C}"/>
            </c:ext>
          </c:extLst>
        </c:ser>
        <c:ser>
          <c:idx val="3"/>
          <c:order val="3"/>
          <c:tx>
            <c:strRef>
              <c:f>'Summary material stock (tons)'!$F$2</c:f>
              <c:strCache>
                <c:ptCount val="1"/>
                <c:pt idx="0">
                  <c:v>stucco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(tons)'!$F$3:$F$25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9893.963099999999</c:v>
                </c:pt>
                <c:pt idx="5">
                  <c:v>270.72908832431438</c:v>
                </c:pt>
                <c:pt idx="6">
                  <c:v>0</c:v>
                </c:pt>
                <c:pt idx="7">
                  <c:v>2443.5523721360796</c:v>
                </c:pt>
                <c:pt idx="8">
                  <c:v>0</c:v>
                </c:pt>
                <c:pt idx="9">
                  <c:v>2261.256958597799</c:v>
                </c:pt>
                <c:pt idx="10">
                  <c:v>0</c:v>
                </c:pt>
                <c:pt idx="11">
                  <c:v>1300.3122361733931</c:v>
                </c:pt>
                <c:pt idx="12">
                  <c:v>200.69739183290051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158.90745428973275</c:v>
                </c:pt>
                <c:pt idx="17">
                  <c:v>0</c:v>
                </c:pt>
                <c:pt idx="18">
                  <c:v>51.61424731182796</c:v>
                </c:pt>
                <c:pt idx="19">
                  <c:v>0</c:v>
                </c:pt>
                <c:pt idx="20">
                  <c:v>31.837831603229525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B9-4E66-8063-9C6D54353F8C}"/>
            </c:ext>
          </c:extLst>
        </c:ser>
        <c:ser>
          <c:idx val="4"/>
          <c:order val="4"/>
          <c:tx>
            <c:strRef>
              <c:f>'Summary material stock (tons)'!$G$2</c:f>
              <c:strCache>
                <c:ptCount val="1"/>
                <c:pt idx="0">
                  <c:v>organic mat, asphalt coating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(tons)'!$G$3:$G$25</c:f>
              <c:numCache>
                <c:formatCode>_(* #,##0_);_(* \(#,##0\);_(* "-"??_);_(@_)</c:formatCode>
                <c:ptCount val="23"/>
                <c:pt idx="0">
                  <c:v>5.5031109022556395</c:v>
                </c:pt>
                <c:pt idx="1">
                  <c:v>0</c:v>
                </c:pt>
                <c:pt idx="2">
                  <c:v>1.8367965826726325</c:v>
                </c:pt>
                <c:pt idx="3">
                  <c:v>0</c:v>
                </c:pt>
                <c:pt idx="4">
                  <c:v>376.84762500000005</c:v>
                </c:pt>
                <c:pt idx="5">
                  <c:v>6.5286971889485814</c:v>
                </c:pt>
                <c:pt idx="6">
                  <c:v>0.54717062500000002</c:v>
                </c:pt>
                <c:pt idx="7">
                  <c:v>33.321168710946544</c:v>
                </c:pt>
                <c:pt idx="8">
                  <c:v>98.53934440208667</c:v>
                </c:pt>
                <c:pt idx="9">
                  <c:v>79.684964115180804</c:v>
                </c:pt>
                <c:pt idx="10">
                  <c:v>0</c:v>
                </c:pt>
                <c:pt idx="11">
                  <c:v>17.731530493273546</c:v>
                </c:pt>
                <c:pt idx="12">
                  <c:v>31.265668066530363</c:v>
                </c:pt>
                <c:pt idx="13">
                  <c:v>62.147294544604023</c:v>
                </c:pt>
                <c:pt idx="14">
                  <c:v>0</c:v>
                </c:pt>
                <c:pt idx="15">
                  <c:v>0</c:v>
                </c:pt>
                <c:pt idx="16">
                  <c:v>7.2140372714486638</c:v>
                </c:pt>
                <c:pt idx="17">
                  <c:v>4.5614147058823526</c:v>
                </c:pt>
                <c:pt idx="18">
                  <c:v>4.5063208229942102</c:v>
                </c:pt>
                <c:pt idx="19">
                  <c:v>0</c:v>
                </c:pt>
                <c:pt idx="20">
                  <c:v>0.52098269896193783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B9-4E66-8063-9C6D54353F8C}"/>
            </c:ext>
          </c:extLst>
        </c:ser>
        <c:ser>
          <c:idx val="5"/>
          <c:order val="5"/>
          <c:tx>
            <c:strRef>
              <c:f>'Summary material stock (tons)'!$H$2</c:f>
              <c:strCache>
                <c:ptCount val="1"/>
                <c:pt idx="0">
                  <c:v>gypsum board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(tons)'!$H$3:$H$25</c:f>
              <c:numCache>
                <c:formatCode>_(* #,##0_);_(* \(#,##0\);_(* "-"??_);_(@_)</c:formatCode>
                <c:ptCount val="23"/>
                <c:pt idx="0">
                  <c:v>23.96616541353383</c:v>
                </c:pt>
                <c:pt idx="1">
                  <c:v>0</c:v>
                </c:pt>
                <c:pt idx="2">
                  <c:v>823.94802778286567</c:v>
                </c:pt>
                <c:pt idx="3">
                  <c:v>226.7312491467577</c:v>
                </c:pt>
                <c:pt idx="4">
                  <c:v>1706.091975</c:v>
                </c:pt>
                <c:pt idx="5">
                  <c:v>113.48744611574796</c:v>
                </c:pt>
                <c:pt idx="6">
                  <c:v>49.636827916666668</c:v>
                </c:pt>
                <c:pt idx="7">
                  <c:v>422.06813700532285</c:v>
                </c:pt>
                <c:pt idx="8">
                  <c:v>1183.9998745987157</c:v>
                </c:pt>
                <c:pt idx="9">
                  <c:v>438.18615704885582</c:v>
                </c:pt>
                <c:pt idx="10">
                  <c:v>6458.8163582677162</c:v>
                </c:pt>
                <c:pt idx="11">
                  <c:v>368.64360747384154</c:v>
                </c:pt>
                <c:pt idx="12">
                  <c:v>39.849213543681273</c:v>
                </c:pt>
                <c:pt idx="13">
                  <c:v>0</c:v>
                </c:pt>
                <c:pt idx="14">
                  <c:v>322.37358803466941</c:v>
                </c:pt>
                <c:pt idx="15">
                  <c:v>3307.480607600824</c:v>
                </c:pt>
                <c:pt idx="16">
                  <c:v>40.990900140646978</c:v>
                </c:pt>
                <c:pt idx="17">
                  <c:v>0</c:v>
                </c:pt>
                <c:pt idx="18">
                  <c:v>8.9151881720430097</c:v>
                </c:pt>
                <c:pt idx="19">
                  <c:v>40.739328102449434</c:v>
                </c:pt>
                <c:pt idx="20">
                  <c:v>19.623681660899653</c:v>
                </c:pt>
                <c:pt idx="21">
                  <c:v>85.104312938816449</c:v>
                </c:pt>
                <c:pt idx="22">
                  <c:v>10.991798185659253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B9-4E66-8063-9C6D54353F8C}"/>
            </c:ext>
          </c:extLst>
        </c:ser>
        <c:ser>
          <c:idx val="6"/>
          <c:order val="6"/>
          <c:tx>
            <c:strRef>
              <c:f>'Summary material stock (tons)'!$I$2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(tons)'!$I$3:$I$25</c:f>
              <c:numCache>
                <c:formatCode>_(* #,##0_);_(* \(#,##0\);_(* "-"??_);_(@_)</c:formatCode>
                <c:ptCount val="23"/>
                <c:pt idx="0">
                  <c:v>14.564046992481201</c:v>
                </c:pt>
                <c:pt idx="1">
                  <c:v>0</c:v>
                </c:pt>
                <c:pt idx="2">
                  <c:v>8.3467454012612183</c:v>
                </c:pt>
                <c:pt idx="3">
                  <c:v>0</c:v>
                </c:pt>
                <c:pt idx="4">
                  <c:v>20.555325</c:v>
                </c:pt>
                <c:pt idx="5">
                  <c:v>12.625936062973603</c:v>
                </c:pt>
                <c:pt idx="6">
                  <c:v>0</c:v>
                </c:pt>
                <c:pt idx="7">
                  <c:v>12.398574404073132</c:v>
                </c:pt>
                <c:pt idx="8">
                  <c:v>260.78552076645263</c:v>
                </c:pt>
                <c:pt idx="9">
                  <c:v>143.79824080780068</c:v>
                </c:pt>
                <c:pt idx="10">
                  <c:v>10.802201574803149</c:v>
                </c:pt>
                <c:pt idx="11">
                  <c:v>5.2620502192326848</c:v>
                </c:pt>
                <c:pt idx="12">
                  <c:v>85.750966974843877</c:v>
                </c:pt>
                <c:pt idx="13">
                  <c:v>183.79554192854252</c:v>
                </c:pt>
                <c:pt idx="14">
                  <c:v>12.185721627710503</c:v>
                </c:pt>
                <c:pt idx="15">
                  <c:v>0</c:v>
                </c:pt>
                <c:pt idx="16">
                  <c:v>18.012746817862165</c:v>
                </c:pt>
                <c:pt idx="17">
                  <c:v>12.071837058823528</c:v>
                </c:pt>
                <c:pt idx="18">
                  <c:v>0.9745347394540943</c:v>
                </c:pt>
                <c:pt idx="19">
                  <c:v>0</c:v>
                </c:pt>
                <c:pt idx="20">
                  <c:v>0.22792993079584775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B9-4E66-8063-9C6D54353F8C}"/>
            </c:ext>
          </c:extLst>
        </c:ser>
        <c:ser>
          <c:idx val="7"/>
          <c:order val="7"/>
          <c:tx>
            <c:strRef>
              <c:f>'Summary material stock (tons)'!$J$2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(tons)'!$J$3:$J$25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25.646806238061597</c:v>
                </c:pt>
                <c:pt idx="3">
                  <c:v>33.923804323094423</c:v>
                </c:pt>
                <c:pt idx="4">
                  <c:v>123.33194999999999</c:v>
                </c:pt>
                <c:pt idx="5">
                  <c:v>26.104391471001861</c:v>
                </c:pt>
                <c:pt idx="6">
                  <c:v>0</c:v>
                </c:pt>
                <c:pt idx="7">
                  <c:v>81.623948160148103</c:v>
                </c:pt>
                <c:pt idx="8">
                  <c:v>45.915282654494384</c:v>
                </c:pt>
                <c:pt idx="9">
                  <c:v>84.120021124488048</c:v>
                </c:pt>
                <c:pt idx="10">
                  <c:v>71.114493700787392</c:v>
                </c:pt>
                <c:pt idx="11">
                  <c:v>157.48590213689585</c:v>
                </c:pt>
                <c:pt idx="12">
                  <c:v>12.557409123980033</c:v>
                </c:pt>
                <c:pt idx="13">
                  <c:v>127.20319479914701</c:v>
                </c:pt>
                <c:pt idx="14">
                  <c:v>80.222667382427488</c:v>
                </c:pt>
                <c:pt idx="15">
                  <c:v>0</c:v>
                </c:pt>
                <c:pt idx="16">
                  <c:v>17.653625000000002</c:v>
                </c:pt>
                <c:pt idx="17">
                  <c:v>6.0756983088235295</c:v>
                </c:pt>
                <c:pt idx="18">
                  <c:v>6.4156870347394541</c:v>
                </c:pt>
                <c:pt idx="19">
                  <c:v>0</c:v>
                </c:pt>
                <c:pt idx="20">
                  <c:v>1.5005387110726645</c:v>
                </c:pt>
                <c:pt idx="21">
                  <c:v>8.3558795351000086</c:v>
                </c:pt>
                <c:pt idx="22">
                  <c:v>4.4694591151982099E-2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B9-4E66-8063-9C6D54353F8C}"/>
            </c:ext>
          </c:extLst>
        </c:ser>
        <c:ser>
          <c:idx val="8"/>
          <c:order val="8"/>
          <c:tx>
            <c:strRef>
              <c:f>'Summary material stock (tons)'!$K$2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(tons)'!$K$3:$K$25</c:f>
              <c:numCache>
                <c:formatCode>_(* #,##0_);_(* \(#,##0\);_(* "-"??_);_(@_)</c:formatCode>
                <c:ptCount val="23"/>
                <c:pt idx="0">
                  <c:v>31.635338345864664</c:v>
                </c:pt>
                <c:pt idx="1">
                  <c:v>0</c:v>
                </c:pt>
                <c:pt idx="2">
                  <c:v>746.69261032036354</c:v>
                </c:pt>
                <c:pt idx="3">
                  <c:v>129.08428371877133</c:v>
                </c:pt>
                <c:pt idx="4">
                  <c:v>6.8517750000000008</c:v>
                </c:pt>
                <c:pt idx="5">
                  <c:v>38.821019868843429</c:v>
                </c:pt>
                <c:pt idx="6">
                  <c:v>23.983689599999998</c:v>
                </c:pt>
                <c:pt idx="7">
                  <c:v>4.2155152973848642</c:v>
                </c:pt>
                <c:pt idx="8">
                  <c:v>1565.2511553972713</c:v>
                </c:pt>
                <c:pt idx="9">
                  <c:v>31.079624469516101</c:v>
                </c:pt>
                <c:pt idx="10">
                  <c:v>6162.547976409448</c:v>
                </c:pt>
                <c:pt idx="11">
                  <c:v>89.028683763378169</c:v>
                </c:pt>
                <c:pt idx="12">
                  <c:v>7.4904910869204837</c:v>
                </c:pt>
                <c:pt idx="13">
                  <c:v>6.569481452917973</c:v>
                </c:pt>
                <c:pt idx="14">
                  <c:v>185.18815239369192</c:v>
                </c:pt>
                <c:pt idx="15">
                  <c:v>2679.3900402174277</c:v>
                </c:pt>
                <c:pt idx="16">
                  <c:v>8.517620126582278</c:v>
                </c:pt>
                <c:pt idx="17">
                  <c:v>0.31378290000000003</c:v>
                </c:pt>
                <c:pt idx="18">
                  <c:v>0.33134181141439201</c:v>
                </c:pt>
                <c:pt idx="19">
                  <c:v>32.779999547791441</c:v>
                </c:pt>
                <c:pt idx="20">
                  <c:v>7.3920932698961952</c:v>
                </c:pt>
                <c:pt idx="21">
                  <c:v>63.11938106900066</c:v>
                </c:pt>
                <c:pt idx="22">
                  <c:v>6.1753021386852254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B9-4E66-8063-9C6D54353F8C}"/>
            </c:ext>
          </c:extLst>
        </c:ser>
        <c:ser>
          <c:idx val="9"/>
          <c:order val="9"/>
          <c:tx>
            <c:strRef>
              <c:f>'Summary material stock (tons)'!$L$2</c:f>
              <c:strCache>
                <c:ptCount val="1"/>
                <c:pt idx="0">
                  <c:v>asphalt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(tons)'!$L$3:$L$25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714.20343481228667</c:v>
                </c:pt>
                <c:pt idx="4">
                  <c:v>1096.2840000000001</c:v>
                </c:pt>
                <c:pt idx="5">
                  <c:v>210.18421948087681</c:v>
                </c:pt>
                <c:pt idx="6">
                  <c:v>134.5239</c:v>
                </c:pt>
                <c:pt idx="7">
                  <c:v>0</c:v>
                </c:pt>
                <c:pt idx="8">
                  <c:v>0</c:v>
                </c:pt>
                <c:pt idx="9">
                  <c:v>149.95704041227509</c:v>
                </c:pt>
                <c:pt idx="10">
                  <c:v>7939.6181574803149</c:v>
                </c:pt>
                <c:pt idx="11">
                  <c:v>453.73929686098654</c:v>
                </c:pt>
                <c:pt idx="12">
                  <c:v>0</c:v>
                </c:pt>
                <c:pt idx="13">
                  <c:v>0</c:v>
                </c:pt>
                <c:pt idx="14">
                  <c:v>1015.4768023092088</c:v>
                </c:pt>
                <c:pt idx="15">
                  <c:v>0</c:v>
                </c:pt>
                <c:pt idx="16">
                  <c:v>42.661234177215185</c:v>
                </c:pt>
                <c:pt idx="17">
                  <c:v>0</c:v>
                </c:pt>
                <c:pt idx="18">
                  <c:v>17.243850806451615</c:v>
                </c:pt>
                <c:pt idx="19">
                  <c:v>128.32888352271573</c:v>
                </c:pt>
                <c:pt idx="20">
                  <c:v>41.027387543252594</c:v>
                </c:pt>
                <c:pt idx="21">
                  <c:v>0</c:v>
                </c:pt>
                <c:pt idx="22">
                  <c:v>34.624164284826641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B9-4E66-8063-9C6D54353F8C}"/>
            </c:ext>
          </c:extLst>
        </c:ser>
        <c:ser>
          <c:idx val="10"/>
          <c:order val="10"/>
          <c:tx>
            <c:strRef>
              <c:f>'Summary material stock (tons)'!$M$2</c:f>
              <c:strCache>
                <c:ptCount val="1"/>
                <c:pt idx="0">
                  <c:v>modified bitumen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(tons)'!$M$3:$M$25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113.36562457337885</c:v>
                </c:pt>
                <c:pt idx="4">
                  <c:v>0</c:v>
                </c:pt>
                <c:pt idx="5">
                  <c:v>33.362574520774096</c:v>
                </c:pt>
                <c:pt idx="6">
                  <c:v>21.353000000000002</c:v>
                </c:pt>
                <c:pt idx="7">
                  <c:v>273.80185142328168</c:v>
                </c:pt>
                <c:pt idx="8">
                  <c:v>0</c:v>
                </c:pt>
                <c:pt idx="9">
                  <c:v>23.802704827345249</c:v>
                </c:pt>
                <c:pt idx="10">
                  <c:v>1260.2568503937009</c:v>
                </c:pt>
                <c:pt idx="11">
                  <c:v>228.59191629297459</c:v>
                </c:pt>
                <c:pt idx="12">
                  <c:v>0</c:v>
                </c:pt>
                <c:pt idx="13">
                  <c:v>0</c:v>
                </c:pt>
                <c:pt idx="14">
                  <c:v>161.18679401733471</c:v>
                </c:pt>
                <c:pt idx="15">
                  <c:v>0</c:v>
                </c:pt>
                <c:pt idx="16">
                  <c:v>6.7716244725738397</c:v>
                </c:pt>
                <c:pt idx="17">
                  <c:v>0</c:v>
                </c:pt>
                <c:pt idx="18">
                  <c:v>0</c:v>
                </c:pt>
                <c:pt idx="19">
                  <c:v>20.369664051224717</c:v>
                </c:pt>
                <c:pt idx="20">
                  <c:v>6.5122837370242204</c:v>
                </c:pt>
                <c:pt idx="21">
                  <c:v>0</c:v>
                </c:pt>
                <c:pt idx="22">
                  <c:v>5.4958990928296263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B9-4E66-8063-9C6D54353F8C}"/>
            </c:ext>
          </c:extLst>
        </c:ser>
        <c:ser>
          <c:idx val="11"/>
          <c:order val="11"/>
          <c:tx>
            <c:strRef>
              <c:f>'Summary material stock (tons)'!$N$2</c:f>
              <c:strCache>
                <c:ptCount val="1"/>
                <c:pt idx="0">
                  <c:v>transite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(tons)'!$N$3:$N$25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467.03044892761505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1513.1020220706259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B9-4E66-8063-9C6D54353F8C}"/>
            </c:ext>
          </c:extLst>
        </c:ser>
        <c:ser>
          <c:idx val="12"/>
          <c:order val="12"/>
          <c:tx>
            <c:strRef>
              <c:f>'Summary material stock (tons)'!$O$2</c:f>
              <c:strCache>
                <c:ptCount val="1"/>
                <c:pt idx="0">
                  <c:v>brick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(tons)'!$O$3:$O$25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29.236042183622828</c:v>
                </c:pt>
                <c:pt idx="19">
                  <c:v>0</c:v>
                </c:pt>
                <c:pt idx="20">
                  <c:v>18.755377162629756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B9-4E66-8063-9C6D54353F8C}"/>
            </c:ext>
          </c:extLst>
        </c:ser>
        <c:ser>
          <c:idx val="13"/>
          <c:order val="13"/>
          <c:tx>
            <c:strRef>
              <c:f>'Summary material stock (tons)'!$P$2</c:f>
              <c:strCache>
                <c:ptCount val="1"/>
                <c:pt idx="0">
                  <c:v>mortar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(tons)'!$P$3:$P$25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3.8981389578163772</c:v>
                </c:pt>
                <c:pt idx="19">
                  <c:v>0</c:v>
                </c:pt>
                <c:pt idx="20">
                  <c:v>2.5007169550173014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B9-4E66-8063-9C6D54353F8C}"/>
            </c:ext>
          </c:extLst>
        </c:ser>
        <c:ser>
          <c:idx val="14"/>
          <c:order val="14"/>
          <c:tx>
            <c:strRef>
              <c:f>'Summary material stock (tons)'!$Q$2</c:f>
              <c:strCache>
                <c:ptCount val="1"/>
                <c:pt idx="0">
                  <c:v>clay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'Summary material stock (tons)'!$A$3:$A$25</c:f>
              <c:strCache>
                <c:ptCount val="23"/>
                <c:pt idx="0">
                  <c:v> Aircraft traffic control &amp; operations </c:v>
                </c:pt>
                <c:pt idx="1">
                  <c:v> Ammunition &amp; explosives storage magazine </c:v>
                </c:pt>
                <c:pt idx="2">
                  <c:v> Aircraft maintenance hangar </c:v>
                </c:pt>
                <c:pt idx="3">
                  <c:v> Communications </c:v>
                </c:pt>
                <c:pt idx="4">
                  <c:v> Family housing </c:v>
                </c:pt>
                <c:pt idx="5">
                  <c:v> Family service center </c:v>
                </c:pt>
                <c:pt idx="6">
                  <c:v> Industrial utilities </c:v>
                </c:pt>
                <c:pt idx="7">
                  <c:v> Lodging </c:v>
                </c:pt>
                <c:pt idx="8">
                  <c:v> Maintenance shop </c:v>
                </c:pt>
                <c:pt idx="9">
                  <c:v> Office </c:v>
                </c:pt>
                <c:pt idx="10">
                  <c:v> RDT&amp;E (laboratories) </c:v>
                </c:pt>
                <c:pt idx="11">
                  <c:v> Recreation &amp; culture </c:v>
                </c:pt>
                <c:pt idx="12">
                  <c:v> Store (retail &amp; grocery) </c:v>
                </c:pt>
                <c:pt idx="13">
                  <c:v> Training / academic instruction </c:v>
                </c:pt>
                <c:pt idx="14">
                  <c:v> Unaccompanied housing (barracks) </c:v>
                </c:pt>
                <c:pt idx="15">
                  <c:v> Warehouse / storage </c:v>
                </c:pt>
                <c:pt idx="16">
                  <c:v> Public service </c:v>
                </c:pt>
                <c:pt idx="17">
                  <c:v> Ship operational </c:v>
                </c:pt>
                <c:pt idx="18">
                  <c:v> Security </c:v>
                </c:pt>
                <c:pt idx="19">
                  <c:v> Medical facilities </c:v>
                </c:pt>
                <c:pt idx="20">
                  <c:v> Fire station </c:v>
                </c:pt>
                <c:pt idx="21">
                  <c:v> Dining </c:v>
                </c:pt>
                <c:pt idx="22">
                  <c:v> Armory </c:v>
                </c:pt>
              </c:strCache>
            </c:strRef>
          </c:cat>
          <c:val>
            <c:numRef>
              <c:f>'Summary material stock (tons)'!$Q$3:$Q$25</c:f>
              <c:numCache>
                <c:formatCode>_(* #,##0_);_(* \(#,##0\);_(* "-"??_);_(@_)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1437.4597199722286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821.99147982062789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B9-4E66-8063-9C6D54353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8040079"/>
        <c:axId val="738041039"/>
      </c:barChart>
      <c:catAx>
        <c:axId val="73804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41039"/>
        <c:crosses val="autoZero"/>
        <c:auto val="1"/>
        <c:lblAlgn val="ctr"/>
        <c:lblOffset val="100"/>
        <c:noMultiLvlLbl val="0"/>
      </c:catAx>
      <c:valAx>
        <c:axId val="7380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04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28</xdr:row>
      <xdr:rowOff>0</xdr:rowOff>
    </xdr:from>
    <xdr:to>
      <xdr:col>16</xdr:col>
      <xdr:colOff>306161</xdr:colOff>
      <xdr:row>51</xdr:row>
      <xdr:rowOff>93284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CB4B0-E3C9-4DF6-A125-09B84B137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67C2-D4FB-42E6-A5C2-DB2A3773FD6C}">
  <dimension ref="A1:Q26"/>
  <sheetViews>
    <sheetView tabSelected="1" zoomScale="70" zoomScaleNormal="70" workbookViewId="0">
      <selection activeCell="B3" sqref="B3"/>
    </sheetView>
  </sheetViews>
  <sheetFormatPr defaultRowHeight="14.5" x14ac:dyDescent="0.35"/>
  <cols>
    <col min="1" max="1" width="37.6328125" bestFit="1" customWidth="1"/>
    <col min="2" max="2" width="11.1796875" bestFit="1" customWidth="1"/>
    <col min="3" max="3" width="16.7265625" bestFit="1" customWidth="1"/>
    <col min="4" max="4" width="12" bestFit="1" customWidth="1"/>
    <col min="5" max="6" width="11" bestFit="1" customWidth="1"/>
    <col min="7" max="7" width="11.08984375" customWidth="1"/>
    <col min="8" max="8" width="11" bestFit="1" customWidth="1"/>
    <col min="9" max="9" width="9.26953125" bestFit="1" customWidth="1"/>
    <col min="10" max="10" width="8.54296875" bestFit="1" customWidth="1"/>
    <col min="11" max="12" width="11" bestFit="1" customWidth="1"/>
    <col min="13" max="14" width="10" bestFit="1" customWidth="1"/>
    <col min="17" max="17" width="10" bestFit="1" customWidth="1"/>
  </cols>
  <sheetData>
    <row r="1" spans="1:17" x14ac:dyDescent="0.35">
      <c r="A1" s="13" t="s">
        <v>0</v>
      </c>
      <c r="B1" s="15" t="s">
        <v>41</v>
      </c>
      <c r="C1" s="17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ht="43" customHeight="1" x14ac:dyDescent="0.35">
      <c r="A2" s="14"/>
      <c r="B2" s="16"/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 t="s">
        <v>12</v>
      </c>
      <c r="N2" s="1" t="s">
        <v>13</v>
      </c>
      <c r="O2" s="1" t="s">
        <v>14</v>
      </c>
      <c r="P2" s="1" t="s">
        <v>15</v>
      </c>
      <c r="Q2" s="3" t="s">
        <v>16</v>
      </c>
    </row>
    <row r="3" spans="1:17" x14ac:dyDescent="0.35">
      <c r="A3" s="4" t="s">
        <v>17</v>
      </c>
      <c r="B3" s="5">
        <v>54315</v>
      </c>
      <c r="C3" s="5">
        <v>328.59740977443613</v>
      </c>
      <c r="D3" s="5">
        <v>2601.2875939849628</v>
      </c>
      <c r="E3" s="5">
        <v>66.019730075187965</v>
      </c>
      <c r="F3" s="5">
        <v>0</v>
      </c>
      <c r="G3" s="5">
        <v>5.5031109022556395</v>
      </c>
      <c r="H3" s="5">
        <v>23.96616541353383</v>
      </c>
      <c r="I3" s="5">
        <v>14.564046992481201</v>
      </c>
      <c r="J3" s="5">
        <v>0</v>
      </c>
      <c r="K3" s="5">
        <v>31.635338345864664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</row>
    <row r="4" spans="1:17" x14ac:dyDescent="0.35">
      <c r="A4" s="4" t="s">
        <v>18</v>
      </c>
      <c r="B4" s="5">
        <v>40403</v>
      </c>
      <c r="C4" s="5">
        <v>383.9729177880572</v>
      </c>
      <c r="D4" s="5">
        <v>12908.401703111858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</row>
    <row r="5" spans="1:17" x14ac:dyDescent="0.35">
      <c r="A5" s="4" t="s">
        <v>19</v>
      </c>
      <c r="B5" s="5">
        <v>652994</v>
      </c>
      <c r="C5" s="5">
        <v>4643.948214425227</v>
      </c>
      <c r="D5" s="5">
        <v>39023.028173544059</v>
      </c>
      <c r="E5" s="5">
        <v>13.327454274275846</v>
      </c>
      <c r="F5" s="5">
        <v>0</v>
      </c>
      <c r="G5" s="5">
        <v>1.8367965826726325</v>
      </c>
      <c r="H5" s="5">
        <v>823.94802778286567</v>
      </c>
      <c r="I5" s="5">
        <v>8.3467454012612183</v>
      </c>
      <c r="J5" s="5">
        <v>25.646806238061597</v>
      </c>
      <c r="K5" s="5">
        <v>746.69261032036354</v>
      </c>
      <c r="L5" s="5">
        <v>0</v>
      </c>
      <c r="M5" s="5">
        <v>0</v>
      </c>
      <c r="N5" s="5">
        <v>467.03044892761505</v>
      </c>
      <c r="O5" s="5">
        <v>0</v>
      </c>
      <c r="P5" s="5">
        <v>0</v>
      </c>
      <c r="Q5" s="5">
        <v>0</v>
      </c>
    </row>
    <row r="6" spans="1:17" x14ac:dyDescent="0.35">
      <c r="A6" s="6" t="s">
        <v>20</v>
      </c>
      <c r="B6" s="5">
        <v>188728</v>
      </c>
      <c r="C6" s="5">
        <v>1116.197939549488</v>
      </c>
      <c r="D6" s="5">
        <v>20652.160434266214</v>
      </c>
      <c r="E6" s="5">
        <v>0</v>
      </c>
      <c r="F6" s="5">
        <v>0</v>
      </c>
      <c r="G6" s="5">
        <v>0</v>
      </c>
      <c r="H6" s="5">
        <v>226.7312491467577</v>
      </c>
      <c r="I6" s="5">
        <v>0</v>
      </c>
      <c r="J6" s="5">
        <v>33.923804323094423</v>
      </c>
      <c r="K6" s="5">
        <v>129.08428371877133</v>
      </c>
      <c r="L6" s="5">
        <v>714.20343481228667</v>
      </c>
      <c r="M6" s="5">
        <v>113.36562457337885</v>
      </c>
      <c r="N6" s="5">
        <v>0</v>
      </c>
      <c r="O6" s="5">
        <v>0</v>
      </c>
      <c r="P6" s="5">
        <v>0</v>
      </c>
      <c r="Q6" s="5">
        <v>0</v>
      </c>
    </row>
    <row r="7" spans="1:17" x14ac:dyDescent="0.35">
      <c r="A7" s="4" t="s">
        <v>21</v>
      </c>
      <c r="B7" s="5">
        <v>1370355</v>
      </c>
      <c r="C7" s="5">
        <v>1685.53665</v>
      </c>
      <c r="D7" s="5">
        <v>42165.823349999999</v>
      </c>
      <c r="E7" s="5">
        <v>9160.8231749999995</v>
      </c>
      <c r="F7" s="5">
        <v>9893.963099999999</v>
      </c>
      <c r="G7" s="5">
        <v>376.84762500000005</v>
      </c>
      <c r="H7" s="5">
        <v>1706.091975</v>
      </c>
      <c r="I7" s="5">
        <v>20.555325</v>
      </c>
      <c r="J7" s="5">
        <v>123.33194999999999</v>
      </c>
      <c r="K7" s="5">
        <v>6.8517750000000008</v>
      </c>
      <c r="L7" s="5">
        <v>1096.2840000000001</v>
      </c>
      <c r="M7" s="5">
        <v>0</v>
      </c>
      <c r="N7" s="5">
        <v>0</v>
      </c>
      <c r="O7" s="5">
        <v>0</v>
      </c>
      <c r="P7" s="5">
        <v>0</v>
      </c>
      <c r="Q7" s="5">
        <v>0</v>
      </c>
    </row>
    <row r="8" spans="1:17" x14ac:dyDescent="0.35">
      <c r="A8" s="4" t="s">
        <v>22</v>
      </c>
      <c r="B8" s="5">
        <v>119263</v>
      </c>
      <c r="C8" s="5">
        <v>197.17076443983305</v>
      </c>
      <c r="D8" s="5">
        <v>4965.4175972209487</v>
      </c>
      <c r="E8" s="5">
        <v>287.39418548483923</v>
      </c>
      <c r="F8" s="5">
        <v>270.72908832431438</v>
      </c>
      <c r="G8" s="5">
        <v>6.5286971889485814</v>
      </c>
      <c r="H8" s="5">
        <v>113.48744611574796</v>
      </c>
      <c r="I8" s="5">
        <v>12.625936062973603</v>
      </c>
      <c r="J8" s="5">
        <v>26.104391471001861</v>
      </c>
      <c r="K8" s="5">
        <v>38.821019868843429</v>
      </c>
      <c r="L8" s="5">
        <v>210.18421948087681</v>
      </c>
      <c r="M8" s="5">
        <v>33.362574520774096</v>
      </c>
      <c r="N8" s="5">
        <v>0</v>
      </c>
      <c r="O8" s="5">
        <v>0</v>
      </c>
      <c r="P8" s="5">
        <v>0</v>
      </c>
      <c r="Q8" s="5">
        <v>0</v>
      </c>
    </row>
    <row r="9" spans="1:17" x14ac:dyDescent="0.35">
      <c r="A9" s="4" t="s">
        <v>23</v>
      </c>
      <c r="B9" s="5">
        <v>42706</v>
      </c>
      <c r="C9" s="5">
        <v>86.479649999999992</v>
      </c>
      <c r="D9" s="5">
        <v>2242.0650000000001</v>
      </c>
      <c r="E9" s="5">
        <v>109.88413947499998</v>
      </c>
      <c r="F9" s="5">
        <v>0</v>
      </c>
      <c r="G9" s="5">
        <v>0.54717062500000002</v>
      </c>
      <c r="H9" s="5">
        <v>49.636827916666668</v>
      </c>
      <c r="I9" s="5">
        <v>0</v>
      </c>
      <c r="J9" s="5">
        <v>0</v>
      </c>
      <c r="K9" s="5">
        <v>23.983689599999998</v>
      </c>
      <c r="L9" s="5">
        <v>134.5239</v>
      </c>
      <c r="M9" s="5">
        <v>21.353000000000002</v>
      </c>
      <c r="N9" s="5">
        <v>0</v>
      </c>
      <c r="O9" s="5">
        <v>0</v>
      </c>
      <c r="P9" s="5">
        <v>0</v>
      </c>
      <c r="Q9" s="5">
        <v>0</v>
      </c>
    </row>
    <row r="10" spans="1:17" x14ac:dyDescent="0.35">
      <c r="A10" s="4" t="s">
        <v>24</v>
      </c>
      <c r="B10" s="5">
        <v>446452</v>
      </c>
      <c r="C10" s="5">
        <v>419.49317265968523</v>
      </c>
      <c r="D10" s="5">
        <v>10601.749754107846</v>
      </c>
      <c r="E10" s="5">
        <v>2794.469533458921</v>
      </c>
      <c r="F10" s="5">
        <v>2443.5523721360796</v>
      </c>
      <c r="G10" s="5">
        <v>33.321168710946544</v>
      </c>
      <c r="H10" s="5">
        <v>422.06813700532285</v>
      </c>
      <c r="I10" s="5">
        <v>12.398574404073132</v>
      </c>
      <c r="J10" s="5">
        <v>81.623948160148103</v>
      </c>
      <c r="K10" s="5">
        <v>4.2155152973848642</v>
      </c>
      <c r="L10" s="5">
        <v>0</v>
      </c>
      <c r="M10" s="5">
        <v>273.80185142328168</v>
      </c>
      <c r="N10" s="5">
        <v>0</v>
      </c>
      <c r="O10" s="5">
        <v>0</v>
      </c>
      <c r="P10" s="5">
        <v>0</v>
      </c>
      <c r="Q10" s="5">
        <v>1437.4597199722286</v>
      </c>
    </row>
    <row r="11" spans="1:17" x14ac:dyDescent="0.35">
      <c r="A11" s="4" t="s">
        <v>25</v>
      </c>
      <c r="B11" s="5">
        <v>794532</v>
      </c>
      <c r="C11" s="5">
        <v>5496.6372186747594</v>
      </c>
      <c r="D11" s="5">
        <v>45841.718566914118</v>
      </c>
      <c r="E11" s="5">
        <v>714.98315008025691</v>
      </c>
      <c r="F11" s="5">
        <v>0</v>
      </c>
      <c r="G11" s="5">
        <v>98.53934440208667</v>
      </c>
      <c r="H11" s="5">
        <v>1183.9998745987157</v>
      </c>
      <c r="I11" s="5">
        <v>260.78552076645263</v>
      </c>
      <c r="J11" s="5">
        <v>45.915282654494384</v>
      </c>
      <c r="K11" s="5">
        <v>1565.2511553972713</v>
      </c>
      <c r="L11" s="5">
        <v>0</v>
      </c>
      <c r="M11" s="5">
        <v>0</v>
      </c>
      <c r="N11" s="5">
        <v>1513.1020220706259</v>
      </c>
      <c r="O11" s="5">
        <v>0</v>
      </c>
      <c r="P11" s="5">
        <v>0</v>
      </c>
      <c r="Q11" s="5">
        <v>0</v>
      </c>
    </row>
    <row r="12" spans="1:17" x14ac:dyDescent="0.35">
      <c r="A12" s="4" t="s">
        <v>26</v>
      </c>
      <c r="B12" s="5">
        <v>743207</v>
      </c>
      <c r="C12" s="5">
        <v>3783.8162374418093</v>
      </c>
      <c r="D12" s="5">
        <v>38318.658139836756</v>
      </c>
      <c r="E12" s="5">
        <v>354.44391370174111</v>
      </c>
      <c r="F12" s="5">
        <v>2261.256958597799</v>
      </c>
      <c r="G12" s="5">
        <v>79.684964115180804</v>
      </c>
      <c r="H12" s="5">
        <v>438.18615704885582</v>
      </c>
      <c r="I12" s="5">
        <v>143.79824080780068</v>
      </c>
      <c r="J12" s="5">
        <v>84.120021124488048</v>
      </c>
      <c r="K12" s="5">
        <v>31.079624469516101</v>
      </c>
      <c r="L12" s="5">
        <v>149.95704041227509</v>
      </c>
      <c r="M12" s="5">
        <v>23.802704827345249</v>
      </c>
      <c r="N12" s="5">
        <v>0</v>
      </c>
      <c r="O12" s="5">
        <v>0</v>
      </c>
      <c r="P12" s="5">
        <v>0</v>
      </c>
      <c r="Q12" s="5">
        <v>0</v>
      </c>
    </row>
    <row r="13" spans="1:17" x14ac:dyDescent="0.35">
      <c r="A13" s="4" t="s">
        <v>27</v>
      </c>
      <c r="B13" s="5">
        <v>2286466</v>
      </c>
      <c r="C13" s="5">
        <v>19860.837797086613</v>
      </c>
      <c r="D13" s="5">
        <v>194237.08706692912</v>
      </c>
      <c r="E13" s="5">
        <v>0</v>
      </c>
      <c r="F13" s="5">
        <v>0</v>
      </c>
      <c r="G13" s="5">
        <v>0</v>
      </c>
      <c r="H13" s="5">
        <v>6458.8163582677162</v>
      </c>
      <c r="I13" s="5">
        <v>10.802201574803149</v>
      </c>
      <c r="J13" s="5">
        <v>71.114493700787392</v>
      </c>
      <c r="K13" s="5">
        <v>6162.547976409448</v>
      </c>
      <c r="L13" s="5">
        <v>7939.6181574803149</v>
      </c>
      <c r="M13" s="5">
        <v>1260.2568503937009</v>
      </c>
      <c r="N13" s="5">
        <v>0</v>
      </c>
      <c r="O13" s="5">
        <v>0</v>
      </c>
      <c r="P13" s="5">
        <v>0</v>
      </c>
      <c r="Q13" s="5">
        <v>0</v>
      </c>
    </row>
    <row r="14" spans="1:17" x14ac:dyDescent="0.35">
      <c r="A14" s="4" t="s">
        <v>28</v>
      </c>
      <c r="B14" s="5">
        <v>261863</v>
      </c>
      <c r="C14" s="5">
        <v>1472.4123965911808</v>
      </c>
      <c r="D14" s="5">
        <v>9232.7257286995518</v>
      </c>
      <c r="E14" s="5">
        <v>1003.8326358525062</v>
      </c>
      <c r="F14" s="5">
        <v>1300.3122361733931</v>
      </c>
      <c r="G14" s="5">
        <v>17.731530493273546</v>
      </c>
      <c r="H14" s="5">
        <v>368.64360747384154</v>
      </c>
      <c r="I14" s="5">
        <v>5.2620502192326848</v>
      </c>
      <c r="J14" s="5">
        <v>157.48590213689585</v>
      </c>
      <c r="K14" s="5">
        <v>89.028683763378169</v>
      </c>
      <c r="L14" s="5">
        <v>453.73929686098654</v>
      </c>
      <c r="M14" s="5">
        <v>228.59191629297459</v>
      </c>
      <c r="N14" s="5">
        <v>0</v>
      </c>
      <c r="O14" s="5">
        <v>0</v>
      </c>
      <c r="P14" s="5">
        <v>0</v>
      </c>
      <c r="Q14" s="5">
        <v>821.99147982062789</v>
      </c>
    </row>
    <row r="15" spans="1:17" x14ac:dyDescent="0.35">
      <c r="A15" s="4" t="s">
        <v>29</v>
      </c>
      <c r="B15" s="5">
        <v>300167</v>
      </c>
      <c r="C15" s="5">
        <v>1553.4534468777053</v>
      </c>
      <c r="D15" s="5">
        <v>11868.368811888713</v>
      </c>
      <c r="E15" s="5">
        <v>207.00028513013208</v>
      </c>
      <c r="F15" s="5">
        <v>200.69739183290051</v>
      </c>
      <c r="G15" s="5">
        <v>31.265668066530363</v>
      </c>
      <c r="H15" s="5">
        <v>39.849213543681273</v>
      </c>
      <c r="I15" s="5">
        <v>85.750966974843877</v>
      </c>
      <c r="J15" s="5">
        <v>12.557409123980033</v>
      </c>
      <c r="K15" s="5">
        <v>7.4904910869204837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</row>
    <row r="16" spans="1:17" x14ac:dyDescent="0.35">
      <c r="A16" s="6" t="s">
        <v>30</v>
      </c>
      <c r="B16" s="5">
        <v>555743</v>
      </c>
      <c r="C16" s="5">
        <v>2250.3729909618687</v>
      </c>
      <c r="D16" s="5">
        <v>36805.9589764337</v>
      </c>
      <c r="E16" s="5">
        <v>450.92920692828966</v>
      </c>
      <c r="F16" s="5">
        <v>0</v>
      </c>
      <c r="G16" s="5">
        <v>62.147294544604023</v>
      </c>
      <c r="H16" s="5">
        <v>0</v>
      </c>
      <c r="I16" s="5">
        <v>183.79554192854252</v>
      </c>
      <c r="J16" s="5">
        <v>127.20319479914701</v>
      </c>
      <c r="K16" s="5">
        <v>6.569481452917973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35">
      <c r="A17" s="6" t="s">
        <v>31</v>
      </c>
      <c r="B17" s="5">
        <v>824219</v>
      </c>
      <c r="C17" s="5">
        <v>4094.3863482313282</v>
      </c>
      <c r="D17" s="5">
        <v>85026.033844144054</v>
      </c>
      <c r="E17" s="5">
        <v>0</v>
      </c>
      <c r="F17" s="5">
        <v>0</v>
      </c>
      <c r="G17" s="5">
        <v>0</v>
      </c>
      <c r="H17" s="5">
        <v>322.37358803466941</v>
      </c>
      <c r="I17" s="5">
        <v>12.185721627710503</v>
      </c>
      <c r="J17" s="5">
        <v>80.222667382427488</v>
      </c>
      <c r="K17" s="5">
        <v>185.18815239369192</v>
      </c>
      <c r="L17" s="5">
        <v>1015.4768023092088</v>
      </c>
      <c r="M17" s="5">
        <v>161.18679401733471</v>
      </c>
      <c r="N17" s="5">
        <v>0</v>
      </c>
      <c r="O17" s="5">
        <v>0</v>
      </c>
      <c r="P17" s="5">
        <v>0</v>
      </c>
      <c r="Q17" s="5">
        <v>0</v>
      </c>
    </row>
    <row r="18" spans="1:17" x14ac:dyDescent="0.35">
      <c r="A18" s="4" t="s">
        <v>32</v>
      </c>
      <c r="B18" s="5">
        <v>3185977</v>
      </c>
      <c r="C18" s="5">
        <v>19901.276189964537</v>
      </c>
      <c r="D18" s="5">
        <v>284195.27120810078</v>
      </c>
      <c r="E18" s="5">
        <v>0</v>
      </c>
      <c r="F18" s="5">
        <v>0</v>
      </c>
      <c r="G18" s="5">
        <v>0</v>
      </c>
      <c r="H18" s="5">
        <v>3307.480607600824</v>
      </c>
      <c r="I18" s="5">
        <v>0</v>
      </c>
      <c r="J18" s="5">
        <v>0</v>
      </c>
      <c r="K18" s="5">
        <v>2679.3900402174277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</row>
    <row r="19" spans="1:17" x14ac:dyDescent="0.35">
      <c r="A19" s="4" t="s">
        <v>33</v>
      </c>
      <c r="B19" s="5">
        <v>38517</v>
      </c>
      <c r="C19" s="5">
        <v>208.69712111902248</v>
      </c>
      <c r="D19" s="5">
        <v>1624.3434203586496</v>
      </c>
      <c r="E19" s="5">
        <v>124.85521202531648</v>
      </c>
      <c r="F19" s="5">
        <v>158.90745428973275</v>
      </c>
      <c r="G19" s="5">
        <v>7.2140372714486638</v>
      </c>
      <c r="H19" s="5">
        <v>40.990900140646978</v>
      </c>
      <c r="I19" s="5">
        <v>18.012746817862165</v>
      </c>
      <c r="J19" s="5">
        <v>17.653625000000002</v>
      </c>
      <c r="K19" s="5">
        <v>8.517620126582278</v>
      </c>
      <c r="L19" s="5">
        <v>42.661234177215185</v>
      </c>
      <c r="M19" s="5">
        <v>6.7716244725738397</v>
      </c>
      <c r="N19" s="5">
        <v>0</v>
      </c>
      <c r="O19" s="5">
        <v>0</v>
      </c>
      <c r="P19" s="5">
        <v>0</v>
      </c>
      <c r="Q19" s="5">
        <v>0</v>
      </c>
    </row>
    <row r="20" spans="1:17" x14ac:dyDescent="0.35">
      <c r="A20" s="4" t="s">
        <v>34</v>
      </c>
      <c r="B20" s="5">
        <v>36067</v>
      </c>
      <c r="C20" s="5">
        <v>141.44087759705883</v>
      </c>
      <c r="D20" s="5">
        <v>1881.9813639705883</v>
      </c>
      <c r="E20" s="5">
        <v>33.096776470588239</v>
      </c>
      <c r="F20" s="5">
        <v>0</v>
      </c>
      <c r="G20" s="5">
        <v>4.5614147058823526</v>
      </c>
      <c r="H20" s="5">
        <v>0</v>
      </c>
      <c r="I20" s="5">
        <v>12.071837058823528</v>
      </c>
      <c r="J20" s="5">
        <v>6.0756983088235295</v>
      </c>
      <c r="K20" s="5">
        <v>0.31378290000000003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</row>
    <row r="21" spans="1:17" x14ac:dyDescent="0.35">
      <c r="A21" s="4" t="s">
        <v>35</v>
      </c>
      <c r="B21" s="5">
        <v>17455</v>
      </c>
      <c r="C21" s="5">
        <v>27.891657975341193</v>
      </c>
      <c r="D21" s="5">
        <v>704.57508142059567</v>
      </c>
      <c r="E21" s="5">
        <v>95.947141012717111</v>
      </c>
      <c r="F21" s="5">
        <v>51.61424731182796</v>
      </c>
      <c r="G21" s="5">
        <v>4.5063208229942102</v>
      </c>
      <c r="H21" s="5">
        <v>8.9151881720430097</v>
      </c>
      <c r="I21" s="5">
        <v>0.9745347394540943</v>
      </c>
      <c r="J21" s="5">
        <v>6.4156870347394541</v>
      </c>
      <c r="K21" s="5">
        <v>0.33134181141439201</v>
      </c>
      <c r="L21" s="5">
        <v>17.243850806451615</v>
      </c>
      <c r="M21" s="5">
        <v>0</v>
      </c>
      <c r="N21" s="5">
        <v>0</v>
      </c>
      <c r="O21" s="5">
        <v>29.236042183622828</v>
      </c>
      <c r="P21" s="5">
        <v>3.8981389578163772</v>
      </c>
      <c r="Q21" s="5">
        <v>0</v>
      </c>
    </row>
    <row r="22" spans="1:17" x14ac:dyDescent="0.35">
      <c r="A22" s="4" t="s">
        <v>36</v>
      </c>
      <c r="B22" s="5">
        <v>81477</v>
      </c>
      <c r="C22" s="5">
        <v>430.50900567106413</v>
      </c>
      <c r="D22" s="5">
        <v>6811.970749059863</v>
      </c>
      <c r="E22" s="5">
        <v>0</v>
      </c>
      <c r="F22" s="5">
        <v>0</v>
      </c>
      <c r="G22" s="5">
        <v>0</v>
      </c>
      <c r="H22" s="5">
        <v>40.739328102449434</v>
      </c>
      <c r="I22" s="5">
        <v>0</v>
      </c>
      <c r="J22" s="5">
        <v>0</v>
      </c>
      <c r="K22" s="5">
        <v>32.779999547791441</v>
      </c>
      <c r="L22" s="5">
        <v>128.32888352271573</v>
      </c>
      <c r="M22" s="5">
        <v>20.369664051224717</v>
      </c>
      <c r="N22" s="5">
        <v>0</v>
      </c>
      <c r="O22" s="5">
        <v>0</v>
      </c>
      <c r="P22" s="5">
        <v>0</v>
      </c>
      <c r="Q22" s="5">
        <v>0</v>
      </c>
    </row>
    <row r="23" spans="1:17" x14ac:dyDescent="0.35">
      <c r="A23" s="4" t="s">
        <v>37</v>
      </c>
      <c r="B23" s="5">
        <v>12547</v>
      </c>
      <c r="C23" s="5">
        <v>23.327995278258363</v>
      </c>
      <c r="D23" s="5">
        <v>587.37181372549026</v>
      </c>
      <c r="E23" s="5">
        <v>40.970965116955021</v>
      </c>
      <c r="F23" s="5">
        <v>31.837831603229525</v>
      </c>
      <c r="G23" s="5">
        <v>0.52098269896193783</v>
      </c>
      <c r="H23" s="5">
        <v>19.623681660899653</v>
      </c>
      <c r="I23" s="5">
        <v>0.22792993079584775</v>
      </c>
      <c r="J23" s="5">
        <v>1.5005387110726645</v>
      </c>
      <c r="K23" s="5">
        <v>7.3920932698961952</v>
      </c>
      <c r="L23" s="5">
        <v>41.027387543252594</v>
      </c>
      <c r="M23" s="5">
        <v>6.5122837370242204</v>
      </c>
      <c r="N23" s="5">
        <v>0</v>
      </c>
      <c r="O23" s="5">
        <v>18.755377162629756</v>
      </c>
      <c r="P23" s="5">
        <v>2.5007169550173014</v>
      </c>
      <c r="Q23" s="5">
        <v>0</v>
      </c>
    </row>
    <row r="24" spans="1:17" x14ac:dyDescent="0.35">
      <c r="A24" s="4" t="s">
        <v>38</v>
      </c>
      <c r="B24" s="5">
        <v>84849</v>
      </c>
      <c r="C24" s="5">
        <v>801.66541283463494</v>
      </c>
      <c r="D24" s="5">
        <v>15288.932829963103</v>
      </c>
      <c r="E24" s="5">
        <v>0</v>
      </c>
      <c r="F24" s="5">
        <v>0</v>
      </c>
      <c r="G24" s="5">
        <v>0</v>
      </c>
      <c r="H24" s="5">
        <v>85.104312938816449</v>
      </c>
      <c r="I24" s="5">
        <v>0</v>
      </c>
      <c r="J24" s="5">
        <v>8.3558795351000086</v>
      </c>
      <c r="K24" s="5">
        <v>63.11938106900066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</row>
    <row r="25" spans="1:17" ht="15" thickBot="1" x14ac:dyDescent="0.4">
      <c r="A25" s="7" t="s">
        <v>39</v>
      </c>
      <c r="B25" s="8">
        <v>10406</v>
      </c>
      <c r="C25" s="8">
        <v>55.520057568037771</v>
      </c>
      <c r="D25" s="8">
        <v>1061.3551012799803</v>
      </c>
      <c r="E25" s="8">
        <v>0</v>
      </c>
      <c r="F25" s="8">
        <v>0</v>
      </c>
      <c r="G25" s="8">
        <v>0</v>
      </c>
      <c r="H25" s="8">
        <v>10.991798185659253</v>
      </c>
      <c r="I25" s="8">
        <v>0</v>
      </c>
      <c r="J25" s="8">
        <v>4.4694591151982099E-2</v>
      </c>
      <c r="K25" s="8">
        <v>6.1753021386852254</v>
      </c>
      <c r="L25" s="8">
        <v>34.624164284826641</v>
      </c>
      <c r="M25" s="8">
        <v>5.4958990928296263</v>
      </c>
      <c r="N25" s="8">
        <v>0</v>
      </c>
      <c r="O25" s="8">
        <v>0</v>
      </c>
      <c r="P25" s="8">
        <v>0</v>
      </c>
      <c r="Q25" s="8">
        <v>0</v>
      </c>
    </row>
    <row r="26" spans="1:17" ht="15.5" thickTop="1" thickBot="1" x14ac:dyDescent="0.4">
      <c r="A26" s="9" t="s">
        <v>40</v>
      </c>
      <c r="B26" s="10">
        <f t="shared" ref="B26:Q26" si="0">SUM(B3:B25)</f>
        <v>12148708</v>
      </c>
      <c r="C26" s="11">
        <f t="shared" si="0"/>
        <v>68963.64147250996</v>
      </c>
      <c r="D26" s="11">
        <f t="shared" si="0"/>
        <v>868646.28630896087</v>
      </c>
      <c r="E26" s="11">
        <f t="shared" si="0"/>
        <v>15457.977504086728</v>
      </c>
      <c r="F26" s="10">
        <f t="shared" si="0"/>
        <v>16612.870680269272</v>
      </c>
      <c r="G26" s="11">
        <f t="shared" si="0"/>
        <v>730.75612613078601</v>
      </c>
      <c r="H26" s="11">
        <f t="shared" si="0"/>
        <v>15691.644444149711</v>
      </c>
      <c r="I26" s="11">
        <f t="shared" si="0"/>
        <v>802.15792030711077</v>
      </c>
      <c r="J26" s="11">
        <f t="shared" si="0"/>
        <v>909.29599429541395</v>
      </c>
      <c r="K26" s="11">
        <f t="shared" si="0"/>
        <v>11826.459358205168</v>
      </c>
      <c r="L26" s="11">
        <f t="shared" si="0"/>
        <v>11977.872371690411</v>
      </c>
      <c r="M26" s="11">
        <f t="shared" si="0"/>
        <v>2154.8707874024421</v>
      </c>
      <c r="N26" s="11">
        <f t="shared" si="0"/>
        <v>1980.1324709982409</v>
      </c>
      <c r="O26" s="11">
        <f t="shared" si="0"/>
        <v>47.991419346252584</v>
      </c>
      <c r="P26" s="11">
        <f t="shared" si="0"/>
        <v>6.3988559128336782</v>
      </c>
      <c r="Q26" s="12">
        <f t="shared" si="0"/>
        <v>2259.4511997928566</v>
      </c>
    </row>
  </sheetData>
  <mergeCells count="3">
    <mergeCell ref="A1:A2"/>
    <mergeCell ref="B1:B2"/>
    <mergeCell ref="C1:Q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a9ac8-314c-41d6-a4e2-8720238a2f17">
      <Terms xmlns="http://schemas.microsoft.com/office/infopath/2007/PartnerControls"/>
    </lcf76f155ced4ddcb4097134ff3c332f>
    <TaxCatchAll xmlns="304fdebc-16ab-4df0-980e-17537378d7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4F75408508F64C834A314FFCE6633A" ma:contentTypeVersion="14" ma:contentTypeDescription="Create a new document." ma:contentTypeScope="" ma:versionID="c49d11c4c7ffd490301cd2671d197ad4">
  <xsd:schema xmlns:xsd="http://www.w3.org/2001/XMLSchema" xmlns:xs="http://www.w3.org/2001/XMLSchema" xmlns:p="http://schemas.microsoft.com/office/2006/metadata/properties" xmlns:ns2="fa9a9ac8-314c-41d6-a4e2-8720238a2f17" xmlns:ns3="304fdebc-16ab-4df0-980e-17537378d7f3" targetNamespace="http://schemas.microsoft.com/office/2006/metadata/properties" ma:root="true" ma:fieldsID="6ef0b02ccd344268cf96235123bd1508" ns2:_="" ns3:_="">
    <xsd:import namespace="fa9a9ac8-314c-41d6-a4e2-8720238a2f17"/>
    <xsd:import namespace="304fdebc-16ab-4df0-980e-17537378d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a9ac8-314c-41d6-a4e2-8720238a2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b90debd-ee09-4e04-a4c4-812a7ed26d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fdebc-16ab-4df0-980e-17537378d7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ef255f5-6212-451b-ac39-fde5e0d1d6ca}" ma:internalName="TaxCatchAll" ma:showField="CatchAllData" ma:web="304fdebc-16ab-4df0-980e-17537378d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4B4C1-2160-4AA4-923A-EB146A5F6AE4}">
  <ds:schemaRefs>
    <ds:schemaRef ds:uri="http://schemas.microsoft.com/office/2006/metadata/properties"/>
    <ds:schemaRef ds:uri="http://schemas.microsoft.com/office/infopath/2007/PartnerControls"/>
    <ds:schemaRef ds:uri="fa9a9ac8-314c-41d6-a4e2-8720238a2f17"/>
    <ds:schemaRef ds:uri="304fdebc-16ab-4df0-980e-17537378d7f3"/>
  </ds:schemaRefs>
</ds:datastoreItem>
</file>

<file path=customXml/itemProps2.xml><?xml version="1.0" encoding="utf-8"?>
<ds:datastoreItem xmlns:ds="http://schemas.openxmlformats.org/officeDocument/2006/customXml" ds:itemID="{C88C8F73-922E-4426-98A1-11B2782544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5BE8A1-AD46-4631-A4F8-EF18EDCE3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a9ac8-314c-41d6-a4e2-8720238a2f17"/>
    <ds:schemaRef ds:uri="304fdebc-16ab-4df0-980e-17537378d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material stock (tons)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Cicco, Isabella</dc:creator>
  <cp:lastModifiedBy>Cicco, Isabella</cp:lastModifiedBy>
  <dcterms:created xsi:type="dcterms:W3CDTF">2026-02-12T18:40:06Z</dcterms:created>
  <dcterms:modified xsi:type="dcterms:W3CDTF">2026-02-12T18:57:14Z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0x010100704F75408508F64C834A314FFCE6633A</vt:lpwstr>
  </property>
</Properties>
</file>