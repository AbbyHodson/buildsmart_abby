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hu Table" sheetId="1" r:id="rId4"/>
    <sheet state="visible" name="Construction Flow" sheetId="2" r:id="rId5"/>
    <sheet state="visible" name="Zhu Table Modified" sheetId="3" r:id="rId6"/>
    <sheet state="visible" name="Value Check Nodes" sheetId="4" r:id="rId7"/>
  </sheets>
  <definedNames>
    <definedName hidden="1" localSheetId="0" name="_xlnm._FilterDatabase">'Zhu Table'!$A$1:$K$491</definedName>
    <definedName hidden="1" localSheetId="1" name="_xlnm._FilterDatabase">'Construction Flow'!$A$1:$G$116</definedName>
    <definedName hidden="1" localSheetId="2" name="_xlnm._FilterDatabase">'Zhu Table Modified'!$A$1:$D$245</definedName>
  </definedNames>
  <calcPr/>
  <extLst>
    <ext uri="GoogleSheetsCustomDataVersion2">
      <go:sheetsCustomData xmlns:go="http://customooxmlschemas.google.com/" r:id="rId8" roundtripDataChecksum="V1Ak3Sd/p5Vb7yfuiYJ0+cEL4GoML/HBja2GXD7k3WY="/>
    </ext>
  </extLst>
</workbook>
</file>

<file path=xl/sharedStrings.xml><?xml version="1.0" encoding="utf-8"?>
<sst xmlns="http://schemas.openxmlformats.org/spreadsheetml/2006/main" count="2315" uniqueCount="1389">
  <si>
    <r>
      <rPr>
        <rFont val="Cambria"/>
        <color theme="1"/>
        <sz val="10.0"/>
      </rPr>
      <t>Coord inate</t>
    </r>
  </si>
  <si>
    <r>
      <rPr>
        <rFont val="Cambria"/>
        <color theme="1"/>
        <sz val="10.0"/>
      </rPr>
      <t>Description</t>
    </r>
  </si>
  <si>
    <r>
      <rPr>
        <rFont val="Cambria"/>
        <color theme="1"/>
        <sz val="10.0"/>
      </rPr>
      <t>Initial Value (kt)</t>
    </r>
  </si>
  <si>
    <r>
      <rPr>
        <rFont val="Cambria"/>
        <color theme="1"/>
        <sz val="10.0"/>
      </rPr>
      <t>Initial Value Residual</t>
    </r>
  </si>
  <si>
    <t>Manual Reconciled Result (kt)</t>
  </si>
  <si>
    <t>Manual Reconciled Residual</t>
  </si>
  <si>
    <t>Reconciled Result (kt)</t>
  </si>
  <si>
    <r>
      <rPr>
        <rFont val="Cambria"/>
        <color theme="1"/>
        <sz val="10.0"/>
      </rPr>
      <t>Residual</t>
    </r>
  </si>
  <si>
    <r>
      <rPr>
        <rFont val="Cambria"/>
        <color theme="1"/>
        <sz val="10.0"/>
      </rPr>
      <t>1,2</t>
    </r>
  </si>
  <si>
    <r>
      <rPr>
        <rFont val="Cambria"/>
        <color theme="1"/>
        <sz val="10.0"/>
      </rPr>
      <t>Iron ore to Blast Furnace</t>
    </r>
  </si>
  <si>
    <r>
      <rPr>
        <rFont val="Cambria"/>
        <color theme="1"/>
        <sz val="10.0"/>
      </rPr>
      <t>1,3</t>
    </r>
  </si>
  <si>
    <r>
      <rPr>
        <rFont val="Cambria"/>
        <color theme="1"/>
        <sz val="10.0"/>
      </rPr>
      <t>Iron ore to Direct Reduction</t>
    </r>
  </si>
  <si>
    <r>
      <rPr>
        <rFont val="Cambria"/>
        <color theme="1"/>
        <sz val="10.0"/>
      </rPr>
      <t>1,49</t>
    </r>
  </si>
  <si>
    <r>
      <rPr>
        <rFont val="Cambria"/>
        <color theme="1"/>
        <sz val="10.0"/>
      </rPr>
      <t>Iron ore Export</t>
    </r>
  </si>
  <si>
    <r>
      <rPr>
        <rFont val="Cambria"/>
        <color theme="1"/>
        <sz val="10.0"/>
      </rPr>
      <t>1,52</t>
    </r>
  </si>
  <si>
    <r>
      <rPr>
        <rFont val="Cambria"/>
        <color theme="1"/>
        <sz val="10.0"/>
      </rPr>
      <t>Iron ore Node in</t>
    </r>
  </si>
  <si>
    <r>
      <rPr>
        <rFont val="Cambria"/>
        <color theme="1"/>
        <sz val="10.0"/>
      </rPr>
      <t>1,53</t>
    </r>
  </si>
  <si>
    <r>
      <rPr>
        <rFont val="Cambria"/>
        <color theme="1"/>
        <sz val="10.0"/>
      </rPr>
      <t>Iron ore Node out</t>
    </r>
  </si>
  <si>
    <r>
      <rPr>
        <rFont val="Cambria"/>
        <color theme="1"/>
        <sz val="10.0"/>
      </rPr>
      <t>1,54</t>
    </r>
  </si>
  <si>
    <r>
      <rPr>
        <rFont val="Cambria"/>
        <color theme="1"/>
        <sz val="10.0"/>
      </rPr>
      <t>Iron ore Yield ratio</t>
    </r>
  </si>
  <si>
    <r>
      <rPr>
        <rFont val="Cambria"/>
        <color theme="1"/>
        <sz val="10.0"/>
      </rPr>
      <t>2,5</t>
    </r>
  </si>
  <si>
    <r>
      <rPr>
        <rFont val="Cambria"/>
        <color theme="1"/>
        <sz val="10.0"/>
      </rPr>
      <t>Blast Furnace to Basic Oxygen Furnace</t>
    </r>
  </si>
  <si>
    <r>
      <rPr>
        <rFont val="Cambria"/>
        <color theme="1"/>
        <sz val="10.0"/>
      </rPr>
      <t>2,6</t>
    </r>
  </si>
  <si>
    <r>
      <rPr>
        <rFont val="Cambria"/>
        <color theme="1"/>
        <sz val="10.0"/>
      </rPr>
      <t>Blast Furnace to Electric Arc Furnace</t>
    </r>
  </si>
  <si>
    <r>
      <rPr>
        <rFont val="Cambria"/>
        <color theme="1"/>
        <sz val="10.0"/>
      </rPr>
      <t>2,12</t>
    </r>
  </si>
  <si>
    <r>
      <rPr>
        <rFont val="Cambria"/>
        <color theme="1"/>
        <sz val="10.0"/>
      </rPr>
      <t>Blast Furnace to Steel Product Casting</t>
    </r>
  </si>
  <si>
    <r>
      <rPr>
        <rFont val="Cambria"/>
        <color theme="1"/>
        <sz val="10.0"/>
      </rPr>
      <t>2,13</t>
    </r>
  </si>
  <si>
    <r>
      <rPr>
        <rFont val="Cambria"/>
        <color theme="1"/>
        <sz val="10.0"/>
      </rPr>
      <t>Blast Furnace to Foundry Iron Casting</t>
    </r>
  </si>
  <si>
    <r>
      <rPr>
        <rFont val="Cambria"/>
        <color theme="1"/>
        <sz val="10.0"/>
      </rPr>
      <t>2,49</t>
    </r>
  </si>
  <si>
    <r>
      <rPr>
        <rFont val="Cambria"/>
        <color theme="1"/>
        <sz val="10.0"/>
      </rPr>
      <t>Blast Furnace to Export</t>
    </r>
  </si>
  <si>
    <r>
      <rPr>
        <rFont val="Cambria"/>
        <color theme="1"/>
        <sz val="10.0"/>
      </rPr>
      <t>2,51</t>
    </r>
  </si>
  <si>
    <r>
      <rPr>
        <rFont val="Cambria"/>
        <color theme="1"/>
        <sz val="10.0"/>
      </rPr>
      <t>Blast Furnace to Loss</t>
    </r>
  </si>
  <si>
    <r>
      <rPr>
        <rFont val="Cambria"/>
        <color theme="1"/>
        <sz val="10.0"/>
      </rPr>
      <t>2,52</t>
    </r>
  </si>
  <si>
    <r>
      <rPr>
        <rFont val="Cambria"/>
        <color theme="1"/>
        <sz val="10.0"/>
      </rPr>
      <t>Blast Furnace Node in</t>
    </r>
  </si>
  <si>
    <r>
      <rPr>
        <rFont val="Cambria"/>
        <color theme="1"/>
        <sz val="10.0"/>
      </rPr>
      <t>2,53</t>
    </r>
  </si>
  <si>
    <r>
      <rPr>
        <rFont val="Cambria"/>
        <color theme="1"/>
        <sz val="10.0"/>
      </rPr>
      <t>Blast Furnace Node out</t>
    </r>
  </si>
  <si>
    <r>
      <rPr>
        <rFont val="Cambria"/>
        <color theme="1"/>
        <sz val="10.0"/>
      </rPr>
      <t>2,54</t>
    </r>
  </si>
  <si>
    <r>
      <rPr>
        <rFont val="Cambria"/>
        <color theme="1"/>
        <sz val="10.0"/>
      </rPr>
      <t>Blast Furnace Yield ratio</t>
    </r>
  </si>
  <si>
    <r>
      <rPr>
        <rFont val="Cambria"/>
        <color theme="1"/>
        <sz val="10.0"/>
      </rPr>
      <t>2,55</t>
    </r>
  </si>
  <si>
    <t>Blast Furnace Unconventional</t>
  </si>
  <si>
    <r>
      <rPr>
        <rFont val="Cambria"/>
        <color theme="1"/>
        <sz val="10.0"/>
      </rPr>
      <t>3,2</t>
    </r>
  </si>
  <si>
    <r>
      <rPr>
        <rFont val="Cambria"/>
        <color theme="1"/>
        <sz val="10.0"/>
      </rPr>
      <t>Direct Reduction to Blast Furnace</t>
    </r>
  </si>
  <si>
    <r>
      <rPr>
        <rFont val="Cambria"/>
        <color theme="1"/>
        <sz val="10.0"/>
      </rPr>
      <t>3,6</t>
    </r>
  </si>
  <si>
    <r>
      <rPr>
        <rFont val="Cambria"/>
        <color theme="1"/>
        <sz val="10.0"/>
      </rPr>
      <t>Direct Reduction to Electric Arc Furnace</t>
    </r>
  </si>
  <si>
    <r>
      <rPr>
        <rFont val="Cambria"/>
        <color theme="1"/>
        <sz val="10.0"/>
      </rPr>
      <t>3,13</t>
    </r>
  </si>
  <si>
    <r>
      <rPr>
        <rFont val="Cambria"/>
        <color theme="1"/>
        <sz val="10.0"/>
      </rPr>
      <t>Direct Reduction to Foundry Iron Casting</t>
    </r>
  </si>
  <si>
    <r>
      <rPr>
        <rFont val="Cambria"/>
        <color theme="1"/>
        <sz val="10.0"/>
      </rPr>
      <t>3,51</t>
    </r>
  </si>
  <si>
    <r>
      <rPr>
        <rFont val="Cambria"/>
        <color theme="1"/>
        <sz val="10.0"/>
      </rPr>
      <t>Direct Reduction to Loss</t>
    </r>
  </si>
  <si>
    <r>
      <rPr>
        <rFont val="Cambria"/>
        <color theme="1"/>
        <sz val="10.0"/>
      </rPr>
      <t>3,52</t>
    </r>
  </si>
  <si>
    <r>
      <rPr>
        <rFont val="Cambria"/>
        <color theme="1"/>
        <sz val="10.0"/>
      </rPr>
      <t>Direct Reduction Node in</t>
    </r>
  </si>
  <si>
    <r>
      <rPr>
        <rFont val="Cambria"/>
        <color theme="1"/>
        <sz val="10.0"/>
      </rPr>
      <t>3,53</t>
    </r>
  </si>
  <si>
    <r>
      <rPr>
        <rFont val="Cambria"/>
        <color theme="1"/>
        <sz val="10.0"/>
      </rPr>
      <t>Direct Reduction Node out</t>
    </r>
  </si>
  <si>
    <r>
      <rPr>
        <rFont val="Cambria"/>
        <color theme="1"/>
        <sz val="10.0"/>
      </rPr>
      <t>3,54</t>
    </r>
  </si>
  <si>
    <r>
      <rPr>
        <rFont val="Cambria"/>
        <color theme="1"/>
        <sz val="10.0"/>
      </rPr>
      <t>Direct Reduction Yield ratio</t>
    </r>
  </si>
  <si>
    <r>
      <rPr>
        <rFont val="Cambria"/>
        <color theme="1"/>
        <sz val="10.0"/>
      </rPr>
      <t>3,55</t>
    </r>
  </si>
  <si>
    <r>
      <rPr>
        <rFont val="Cambria"/>
        <color theme="1"/>
        <sz val="10.0"/>
      </rPr>
      <t>Direct Reduction Unconvention al</t>
    </r>
  </si>
  <si>
    <r>
      <rPr>
        <rFont val="Cambria"/>
        <color theme="1"/>
        <sz val="10.0"/>
      </rPr>
      <t>4,5</t>
    </r>
  </si>
  <si>
    <r>
      <rPr>
        <rFont val="Cambria"/>
        <color theme="1"/>
        <sz val="10.0"/>
      </rPr>
      <t>Scrap Prep to Basic Oxygen Furnace</t>
    </r>
  </si>
  <si>
    <r>
      <rPr>
        <rFont val="Cambria"/>
        <color theme="1"/>
        <sz val="10.0"/>
      </rPr>
      <t>4,6</t>
    </r>
  </si>
  <si>
    <r>
      <rPr>
        <rFont val="Cambria"/>
        <color theme="1"/>
        <sz val="10.0"/>
      </rPr>
      <t>Scrap Prep to Electric Arc Furnace</t>
    </r>
  </si>
  <si>
    <r>
      <rPr>
        <rFont val="Cambria"/>
        <color theme="1"/>
        <sz val="10.0"/>
      </rPr>
      <t>4,7</t>
    </r>
  </si>
  <si>
    <r>
      <rPr>
        <rFont val="Cambria"/>
        <color theme="1"/>
        <sz val="10.0"/>
      </rPr>
      <t>Scrap Prep to Cupola Furnace</t>
    </r>
  </si>
  <si>
    <r>
      <rPr>
        <rFont val="Cambria"/>
        <color theme="1"/>
        <sz val="10.0"/>
      </rPr>
      <t>4,12</t>
    </r>
  </si>
  <si>
    <r>
      <rPr>
        <rFont val="Cambria"/>
        <color theme="1"/>
        <sz val="10.0"/>
      </rPr>
      <t>Scrap Prep to Steel Product Casting</t>
    </r>
  </si>
  <si>
    <r>
      <rPr>
        <rFont val="Cambria"/>
        <color theme="1"/>
        <sz val="10.0"/>
      </rPr>
      <t>4,13</t>
    </r>
  </si>
  <si>
    <r>
      <rPr>
        <rFont val="Cambria"/>
        <color theme="1"/>
        <sz val="10.0"/>
      </rPr>
      <t>Scrap Prep to Foundry Iron Casting</t>
    </r>
  </si>
  <si>
    <r>
      <rPr>
        <rFont val="Cambria"/>
        <color theme="1"/>
        <sz val="10.0"/>
      </rPr>
      <t>4,52</t>
    </r>
  </si>
  <si>
    <r>
      <rPr>
        <rFont val="Cambria"/>
        <color theme="1"/>
        <sz val="10.0"/>
      </rPr>
      <t>Scrap Prep Node in</t>
    </r>
  </si>
  <si>
    <r>
      <rPr>
        <rFont val="Cambria"/>
        <color theme="1"/>
        <sz val="10.0"/>
      </rPr>
      <t>4,53</t>
    </r>
  </si>
  <si>
    <r>
      <rPr>
        <rFont val="Cambria"/>
        <color theme="1"/>
        <sz val="10.0"/>
      </rPr>
      <t>Scrap Prep Node out</t>
    </r>
  </si>
  <si>
    <r>
      <rPr>
        <rFont val="Cambria"/>
        <color theme="1"/>
        <sz val="10.0"/>
      </rPr>
      <t>4,54</t>
    </r>
  </si>
  <si>
    <r>
      <rPr>
        <rFont val="Cambria"/>
        <color theme="1"/>
        <sz val="10.0"/>
      </rPr>
      <t>Scrap Prep Yield ratio</t>
    </r>
  </si>
  <si>
    <r>
      <rPr>
        <rFont val="Cambria"/>
        <color theme="1"/>
        <sz val="10.0"/>
      </rPr>
      <t>5,8</t>
    </r>
  </si>
  <si>
    <r>
      <rPr>
        <rFont val="Cambria"/>
        <color theme="1"/>
        <sz val="10.0"/>
      </rPr>
      <t>Basic Oxygen Furnace to CC Slab</t>
    </r>
  </si>
  <si>
    <r>
      <rPr>
        <rFont val="Cambria"/>
        <color theme="1"/>
        <sz val="10.0"/>
      </rPr>
      <t>5,51</t>
    </r>
  </si>
  <si>
    <r>
      <rPr>
        <rFont val="Cambria"/>
        <color theme="1"/>
        <sz val="10.0"/>
      </rPr>
      <t>Basic Oxygen Furnace to Loss</t>
    </r>
  </si>
  <si>
    <r>
      <rPr>
        <rFont val="Cambria"/>
        <color theme="1"/>
        <sz val="10.0"/>
      </rPr>
      <t>5,52</t>
    </r>
  </si>
  <si>
    <r>
      <rPr>
        <rFont val="Cambria"/>
        <color theme="1"/>
        <sz val="10.0"/>
      </rPr>
      <t>Basic Oxygen Furnace Node in</t>
    </r>
  </si>
  <si>
    <r>
      <rPr>
        <rFont val="Cambria"/>
        <color theme="1"/>
        <sz val="10.0"/>
      </rPr>
      <t>5,53</t>
    </r>
  </si>
  <si>
    <r>
      <rPr>
        <rFont val="Cambria"/>
        <color theme="1"/>
        <sz val="10.0"/>
      </rPr>
      <t>Basic Oxygen Furnace Node out</t>
    </r>
  </si>
  <si>
    <r>
      <rPr>
        <rFont val="Cambria"/>
        <color theme="1"/>
        <sz val="10.0"/>
      </rPr>
      <t>5,54</t>
    </r>
  </si>
  <si>
    <r>
      <rPr>
        <rFont val="Cambria"/>
        <color theme="1"/>
        <sz val="10.0"/>
      </rPr>
      <t>Basic Oxygen Furnace Yield ratio</t>
    </r>
  </si>
  <si>
    <r>
      <rPr>
        <rFont val="Cambria"/>
        <color theme="1"/>
        <sz val="10.0"/>
      </rPr>
      <t>5,55</t>
    </r>
  </si>
  <si>
    <r>
      <rPr>
        <rFont val="Cambria"/>
        <color theme="1"/>
        <sz val="10.0"/>
      </rPr>
      <t>Basic Oxygen Furnace Unconvention al</t>
    </r>
  </si>
  <si>
    <r>
      <rPr>
        <rFont val="Cambria"/>
        <color theme="1"/>
        <sz val="10.0"/>
      </rPr>
      <t>6,8</t>
    </r>
  </si>
  <si>
    <r>
      <rPr>
        <rFont val="Cambria"/>
        <color theme="1"/>
        <sz val="10.0"/>
      </rPr>
      <t>Electric Arc Furnace to CC Slab</t>
    </r>
  </si>
  <si>
    <r>
      <rPr>
        <rFont val="Cambria"/>
        <color theme="1"/>
        <sz val="10.0"/>
      </rPr>
      <t>6,9</t>
    </r>
  </si>
  <si>
    <r>
      <rPr>
        <rFont val="Cambria"/>
        <color theme="1"/>
        <sz val="10.0"/>
      </rPr>
      <t>Electric Arc Furnace to CC Billet</t>
    </r>
  </si>
  <si>
    <r>
      <rPr>
        <rFont val="Cambria"/>
        <color theme="1"/>
        <sz val="10.0"/>
      </rPr>
      <t>6,10</t>
    </r>
  </si>
  <si>
    <r>
      <rPr>
        <rFont val="Cambria"/>
        <color theme="1"/>
        <sz val="10.0"/>
      </rPr>
      <t>Electric Arc Furnace to CC Bloom</t>
    </r>
  </si>
  <si>
    <r>
      <rPr>
        <rFont val="Cambria"/>
        <color theme="1"/>
        <sz val="10.0"/>
      </rPr>
      <t>6,11</t>
    </r>
  </si>
  <si>
    <r>
      <rPr>
        <rFont val="Cambria"/>
        <color theme="1"/>
        <sz val="10.0"/>
      </rPr>
      <t>Electric Arc Furnace to Ingot Casting</t>
    </r>
  </si>
  <si>
    <r>
      <rPr>
        <rFont val="Cambria"/>
        <color theme="1"/>
        <sz val="10.0"/>
      </rPr>
      <t>6,51</t>
    </r>
  </si>
  <si>
    <r>
      <rPr>
        <rFont val="Cambria"/>
        <color theme="1"/>
        <sz val="10.0"/>
      </rPr>
      <t>Electric Arc Furnace to Loss</t>
    </r>
  </si>
  <si>
    <r>
      <rPr>
        <rFont val="Cambria"/>
        <color theme="1"/>
        <sz val="10.0"/>
      </rPr>
      <t>6,52</t>
    </r>
  </si>
  <si>
    <r>
      <rPr>
        <rFont val="Cambria"/>
        <color theme="1"/>
        <sz val="10.0"/>
      </rPr>
      <t>Electric Arc Furnace Node in</t>
    </r>
  </si>
  <si>
    <r>
      <rPr>
        <rFont val="Cambria"/>
        <color theme="1"/>
        <sz val="10.0"/>
      </rPr>
      <t>6,53</t>
    </r>
  </si>
  <si>
    <r>
      <rPr>
        <rFont val="Cambria"/>
        <color theme="1"/>
        <sz val="10.0"/>
      </rPr>
      <t>Electric Arc Furnace Node out</t>
    </r>
  </si>
  <si>
    <r>
      <rPr>
        <rFont val="Cambria"/>
        <color theme="1"/>
        <sz val="10.0"/>
      </rPr>
      <t>6,54</t>
    </r>
  </si>
  <si>
    <r>
      <rPr>
        <rFont val="Cambria"/>
        <color theme="1"/>
        <sz val="10.0"/>
      </rPr>
      <t>Electric Arc Furnace Yield ratio</t>
    </r>
  </si>
  <si>
    <r>
      <rPr>
        <rFont val="Cambria"/>
        <color theme="1"/>
        <sz val="10.0"/>
      </rPr>
      <t>6,55</t>
    </r>
  </si>
  <si>
    <r>
      <rPr>
        <rFont val="Cambria"/>
        <color theme="1"/>
        <sz val="10.0"/>
      </rPr>
      <t>Electric Arc Furnace Unconvention al</t>
    </r>
  </si>
  <si>
    <r>
      <rPr>
        <rFont val="Cambria"/>
        <color theme="1"/>
        <sz val="10.0"/>
      </rPr>
      <t>7,11</t>
    </r>
  </si>
  <si>
    <r>
      <rPr>
        <rFont val="Cambria"/>
        <color theme="1"/>
        <sz val="10.0"/>
      </rPr>
      <t>Cupola Furnace to Ingot Casting</t>
    </r>
  </si>
  <si>
    <r>
      <rPr>
        <rFont val="Cambria"/>
        <color theme="1"/>
        <sz val="10.0"/>
      </rPr>
      <t>7,51</t>
    </r>
  </si>
  <si>
    <r>
      <rPr>
        <rFont val="Cambria"/>
        <color theme="1"/>
        <sz val="10.0"/>
      </rPr>
      <t>Cupola Furnace to Loss</t>
    </r>
  </si>
  <si>
    <r>
      <rPr>
        <rFont val="Cambria"/>
        <color theme="1"/>
        <sz val="10.0"/>
      </rPr>
      <t>7,52</t>
    </r>
  </si>
  <si>
    <r>
      <rPr>
        <rFont val="Cambria"/>
        <color theme="1"/>
        <sz val="10.0"/>
      </rPr>
      <t>Cupola Furnace Node in</t>
    </r>
  </si>
  <si>
    <r>
      <rPr>
        <rFont val="Cambria"/>
        <color theme="1"/>
        <sz val="10.0"/>
      </rPr>
      <t>7,53</t>
    </r>
  </si>
  <si>
    <r>
      <rPr>
        <rFont val="Cambria"/>
        <color theme="1"/>
        <sz val="10.0"/>
      </rPr>
      <t>Cupola Furnace Node out</t>
    </r>
  </si>
  <si>
    <r>
      <rPr>
        <rFont val="Cambria"/>
        <color theme="1"/>
        <sz val="10.0"/>
      </rPr>
      <t>7,54</t>
    </r>
  </si>
  <si>
    <r>
      <rPr>
        <rFont val="Cambria"/>
        <color theme="1"/>
        <sz val="10.0"/>
      </rPr>
      <t>Cupola Furnace Yield ratio</t>
    </r>
  </si>
  <si>
    <r>
      <rPr>
        <rFont val="Cambria"/>
        <color theme="1"/>
        <sz val="10.0"/>
      </rPr>
      <t>8,8</t>
    </r>
  </si>
  <si>
    <r>
      <rPr>
        <rFont val="Cambria"/>
        <color theme="1"/>
        <sz val="10.0"/>
      </rPr>
      <t>CC Slab to CC Slab</t>
    </r>
  </si>
  <si>
    <r>
      <rPr>
        <rFont val="Cambria"/>
        <color theme="1"/>
        <sz val="10.0"/>
      </rPr>
      <t>8,14</t>
    </r>
  </si>
  <si>
    <r>
      <rPr>
        <rFont val="Cambria"/>
        <color theme="1"/>
        <sz val="10.0"/>
      </rPr>
      <t>CC Slab to Hot Strip Mill</t>
    </r>
  </si>
  <si>
    <r>
      <rPr>
        <rFont val="Cambria"/>
        <color theme="1"/>
        <sz val="10.0"/>
      </rPr>
      <t>8,15</t>
    </r>
  </si>
  <si>
    <r>
      <rPr>
        <rFont val="Cambria"/>
        <color theme="1"/>
        <sz val="10.0"/>
      </rPr>
      <t>CC Slab to Plate Mill</t>
    </r>
  </si>
  <si>
    <r>
      <rPr>
        <rFont val="Cambria"/>
        <color theme="1"/>
        <sz val="10.0"/>
      </rPr>
      <t>8,51</t>
    </r>
  </si>
  <si>
    <r>
      <rPr>
        <rFont val="Cambria"/>
        <color theme="1"/>
        <sz val="10.0"/>
      </rPr>
      <t>CC Slab to Loss</t>
    </r>
  </si>
  <si>
    <r>
      <rPr>
        <rFont val="Cambria"/>
        <color theme="1"/>
        <sz val="10.0"/>
      </rPr>
      <t>8,52</t>
    </r>
  </si>
  <si>
    <r>
      <rPr>
        <rFont val="Cambria"/>
        <color theme="1"/>
        <sz val="10.0"/>
      </rPr>
      <t>CC Slab Node in</t>
    </r>
  </si>
  <si>
    <r>
      <rPr>
        <rFont val="Cambria"/>
        <color theme="1"/>
        <sz val="10.0"/>
      </rPr>
      <t>8,53</t>
    </r>
  </si>
  <si>
    <r>
      <rPr>
        <rFont val="Cambria"/>
        <color theme="1"/>
        <sz val="10.0"/>
      </rPr>
      <t>CC Slab Node out</t>
    </r>
  </si>
  <si>
    <r>
      <rPr>
        <rFont val="Cambria"/>
        <color theme="1"/>
        <sz val="10.0"/>
      </rPr>
      <t>8,54</t>
    </r>
  </si>
  <si>
    <r>
      <rPr>
        <rFont val="Cambria"/>
        <color theme="1"/>
        <sz val="10.0"/>
      </rPr>
      <t>CC Slab Yield ratio</t>
    </r>
  </si>
  <si>
    <r>
      <rPr>
        <rFont val="Cambria"/>
        <color theme="1"/>
        <sz val="10.0"/>
      </rPr>
      <t>8,55</t>
    </r>
  </si>
  <si>
    <r>
      <rPr>
        <rFont val="Cambria"/>
        <color theme="1"/>
        <sz val="10.0"/>
      </rPr>
      <t>CC Slab Unconvention al</t>
    </r>
  </si>
  <si>
    <r>
      <rPr>
        <rFont val="Cambria"/>
        <color theme="1"/>
        <sz val="10.0"/>
      </rPr>
      <t>9,9</t>
    </r>
  </si>
  <si>
    <r>
      <rPr>
        <rFont val="Cambria"/>
        <color theme="1"/>
        <sz val="10.0"/>
      </rPr>
      <t>CC Billet to CC Billet</t>
    </r>
  </si>
  <si>
    <r>
      <rPr>
        <rFont val="Cambria"/>
        <color theme="1"/>
        <sz val="10.0"/>
      </rPr>
      <t>9,16</t>
    </r>
  </si>
  <si>
    <r>
      <rPr>
        <rFont val="Cambria"/>
        <color theme="1"/>
        <sz val="10.0"/>
      </rPr>
      <t>CC Billet to Rod/Bar Mill</t>
    </r>
  </si>
  <si>
    <r>
      <rPr>
        <rFont val="Cambria"/>
        <color theme="1"/>
        <sz val="10.0"/>
      </rPr>
      <t>9,51</t>
    </r>
  </si>
  <si>
    <r>
      <rPr>
        <rFont val="Cambria"/>
        <color theme="1"/>
        <sz val="10.0"/>
      </rPr>
      <t>CC Billet to Loss</t>
    </r>
  </si>
  <si>
    <r>
      <rPr>
        <rFont val="Cambria"/>
        <color theme="1"/>
        <sz val="10.0"/>
      </rPr>
      <t>9,52</t>
    </r>
  </si>
  <si>
    <r>
      <rPr>
        <rFont val="Cambria"/>
        <color theme="1"/>
        <sz val="10.0"/>
      </rPr>
      <t>CC Billet Node in</t>
    </r>
  </si>
  <si>
    <r>
      <rPr>
        <rFont val="Cambria"/>
        <color theme="1"/>
        <sz val="10.0"/>
      </rPr>
      <t>9,53</t>
    </r>
  </si>
  <si>
    <r>
      <rPr>
        <rFont val="Cambria"/>
        <color theme="1"/>
        <sz val="10.0"/>
      </rPr>
      <t>CC Billet Node out</t>
    </r>
  </si>
  <si>
    <r>
      <rPr>
        <rFont val="Cambria"/>
        <color theme="1"/>
        <sz val="10.0"/>
      </rPr>
      <t>9,54</t>
    </r>
  </si>
  <si>
    <r>
      <rPr>
        <rFont val="Cambria"/>
        <color theme="1"/>
        <sz val="10.0"/>
      </rPr>
      <t>CC Billet Yield ratio</t>
    </r>
  </si>
  <si>
    <r>
      <rPr>
        <rFont val="Cambria"/>
        <color theme="1"/>
        <sz val="10.0"/>
      </rPr>
      <t>9,55</t>
    </r>
  </si>
  <si>
    <r>
      <rPr>
        <rFont val="Cambria"/>
        <color theme="1"/>
        <sz val="10.0"/>
      </rPr>
      <t>CC Billet Unconvention al</t>
    </r>
  </si>
  <si>
    <r>
      <rPr>
        <rFont val="Cambria"/>
        <color theme="1"/>
        <sz val="10.0"/>
      </rPr>
      <t>10,10</t>
    </r>
  </si>
  <si>
    <r>
      <rPr>
        <rFont val="Cambria"/>
        <color theme="1"/>
        <sz val="10.0"/>
      </rPr>
      <t>CC Bloom to CC Bloom</t>
    </r>
  </si>
  <si>
    <r>
      <rPr>
        <rFont val="Cambria"/>
        <color theme="1"/>
        <sz val="10.0"/>
      </rPr>
      <t>10,17</t>
    </r>
  </si>
  <si>
    <r>
      <rPr>
        <rFont val="Cambria"/>
        <color theme="1"/>
        <sz val="10.0"/>
      </rPr>
      <t>CC Bloom to Section Mill</t>
    </r>
  </si>
  <si>
    <r>
      <rPr>
        <rFont val="Cambria"/>
        <color theme="1"/>
        <sz val="10.0"/>
      </rPr>
      <t>10,51</t>
    </r>
  </si>
  <si>
    <r>
      <rPr>
        <rFont val="Cambria"/>
        <color theme="1"/>
        <sz val="10.0"/>
      </rPr>
      <t>CC Bloom to Loss</t>
    </r>
  </si>
  <si>
    <r>
      <rPr>
        <rFont val="Cambria"/>
        <color theme="1"/>
        <sz val="10.0"/>
      </rPr>
      <t>10,52</t>
    </r>
  </si>
  <si>
    <r>
      <rPr>
        <rFont val="Cambria"/>
        <color theme="1"/>
        <sz val="10.0"/>
      </rPr>
      <t>CC Bloom Node in</t>
    </r>
  </si>
  <si>
    <r>
      <rPr>
        <rFont val="Cambria"/>
        <color theme="1"/>
        <sz val="10.0"/>
      </rPr>
      <t>10,53</t>
    </r>
  </si>
  <si>
    <r>
      <rPr>
        <rFont val="Cambria"/>
        <color theme="1"/>
        <sz val="10.0"/>
      </rPr>
      <t>CC Bloom Node out</t>
    </r>
  </si>
  <si>
    <r>
      <rPr>
        <rFont val="Cambria"/>
        <color theme="1"/>
        <sz val="10.0"/>
      </rPr>
      <t>10,54</t>
    </r>
  </si>
  <si>
    <r>
      <rPr>
        <rFont val="Cambria"/>
        <color theme="1"/>
        <sz val="10.0"/>
      </rPr>
      <t>CC Bloom Yield ratio</t>
    </r>
  </si>
  <si>
    <r>
      <rPr>
        <rFont val="Cambria"/>
        <color theme="1"/>
        <sz val="10.0"/>
      </rPr>
      <t>10,55</t>
    </r>
  </si>
  <si>
    <r>
      <rPr>
        <rFont val="Cambria"/>
        <color theme="1"/>
        <sz val="10.0"/>
      </rPr>
      <t>CC Bloom Unconvention al</t>
    </r>
  </si>
  <si>
    <r>
      <rPr>
        <rFont val="Cambria"/>
        <color theme="1"/>
        <sz val="10.0"/>
      </rPr>
      <t>11,11</t>
    </r>
  </si>
  <si>
    <r>
      <rPr>
        <rFont val="Cambria"/>
        <color theme="1"/>
        <sz val="10.0"/>
      </rPr>
      <t>Ingot Casting to Ingot Casting</t>
    </r>
  </si>
  <si>
    <r>
      <rPr>
        <rFont val="Cambria"/>
        <color theme="1"/>
        <sz val="10.0"/>
      </rPr>
      <t>11,36</t>
    </r>
  </si>
  <si>
    <r>
      <rPr>
        <rFont val="Cambria"/>
        <color theme="1"/>
        <sz val="10.0"/>
      </rPr>
      <t>Ingot Casting to Ingots, Billets, Blooms and Slabs</t>
    </r>
  </si>
  <si>
    <r>
      <rPr>
        <rFont val="Cambria"/>
        <color theme="1"/>
        <sz val="10.0"/>
      </rPr>
      <t>11,51</t>
    </r>
  </si>
  <si>
    <r>
      <rPr>
        <rFont val="Cambria"/>
        <color theme="1"/>
        <sz val="10.0"/>
      </rPr>
      <t>Ingot Casting to Loss</t>
    </r>
  </si>
  <si>
    <r>
      <rPr>
        <rFont val="Cambria"/>
        <color theme="1"/>
        <sz val="10.0"/>
      </rPr>
      <t>11,52</t>
    </r>
  </si>
  <si>
    <r>
      <rPr>
        <rFont val="Cambria"/>
        <color theme="1"/>
        <sz val="10.0"/>
      </rPr>
      <t>Ingot Casting Node in</t>
    </r>
  </si>
  <si>
    <r>
      <rPr>
        <rFont val="Cambria"/>
        <color theme="1"/>
        <sz val="10.0"/>
      </rPr>
      <t>11,53</t>
    </r>
  </si>
  <si>
    <r>
      <rPr>
        <rFont val="Cambria"/>
        <color theme="1"/>
        <sz val="10.0"/>
      </rPr>
      <t>Ingot Casting Node out</t>
    </r>
  </si>
  <si>
    <r>
      <rPr>
        <rFont val="Cambria"/>
        <color theme="1"/>
        <sz val="10.0"/>
      </rPr>
      <t>11,54</t>
    </r>
  </si>
  <si>
    <r>
      <rPr>
        <rFont val="Cambria"/>
        <color theme="1"/>
        <sz val="10.0"/>
      </rPr>
      <t>Ingot Casting Yield ratio</t>
    </r>
  </si>
  <si>
    <r>
      <rPr>
        <rFont val="Cambria"/>
        <color theme="1"/>
        <sz val="10.0"/>
      </rPr>
      <t>12,12</t>
    </r>
  </si>
  <si>
    <r>
      <rPr>
        <rFont val="Cambria"/>
        <color theme="1"/>
        <sz val="10.0"/>
      </rPr>
      <t>Steel Product Casting to Steel Product Casting</t>
    </r>
  </si>
  <si>
    <r>
      <rPr>
        <rFont val="Cambria"/>
        <color theme="1"/>
        <sz val="10.0"/>
      </rPr>
      <t>12,37</t>
    </r>
  </si>
  <si>
    <r>
      <rPr>
        <rFont val="Cambria"/>
        <color theme="1"/>
        <sz val="10.0"/>
      </rPr>
      <t>Steel Product Casting to Steel Castings</t>
    </r>
  </si>
  <si>
    <r>
      <rPr>
        <rFont val="Cambria"/>
        <color theme="1"/>
        <sz val="10.0"/>
      </rPr>
      <t>12,51</t>
    </r>
  </si>
  <si>
    <r>
      <rPr>
        <rFont val="Cambria"/>
        <color theme="1"/>
        <sz val="10.0"/>
      </rPr>
      <t>Steel Product Casting to Loss</t>
    </r>
  </si>
  <si>
    <r>
      <rPr>
        <rFont val="Cambria"/>
        <color theme="1"/>
        <sz val="10.0"/>
      </rPr>
      <t>12,52</t>
    </r>
  </si>
  <si>
    <r>
      <rPr>
        <rFont val="Cambria"/>
        <color theme="1"/>
        <sz val="10.0"/>
      </rPr>
      <t>Steel Product Casting Node in</t>
    </r>
  </si>
  <si>
    <r>
      <rPr>
        <rFont val="Cambria"/>
        <color theme="1"/>
        <sz val="10.0"/>
      </rPr>
      <t>12,53</t>
    </r>
  </si>
  <si>
    <r>
      <rPr>
        <rFont val="Cambria"/>
        <color theme="1"/>
        <sz val="10.0"/>
      </rPr>
      <t>Steel Product Casting Node out</t>
    </r>
  </si>
  <si>
    <r>
      <rPr>
        <rFont val="Cambria"/>
        <color theme="1"/>
        <sz val="10.0"/>
      </rPr>
      <t>12,54</t>
    </r>
  </si>
  <si>
    <r>
      <rPr>
        <rFont val="Cambria"/>
        <color theme="1"/>
        <sz val="10.0"/>
      </rPr>
      <t>Steel Product Casting Yield ratio</t>
    </r>
  </si>
  <si>
    <r>
      <rPr>
        <rFont val="Cambria"/>
        <color theme="1"/>
        <sz val="10.0"/>
      </rPr>
      <t>13,13</t>
    </r>
  </si>
  <si>
    <r>
      <rPr>
        <rFont val="Cambria"/>
        <color theme="1"/>
        <sz val="10.0"/>
      </rPr>
      <t>Foundry Iron Casting to Foundry Iron Casting</t>
    </r>
  </si>
  <si>
    <r>
      <rPr>
        <rFont val="Cambria"/>
        <color theme="1"/>
        <sz val="10.0"/>
      </rPr>
      <t>13,38</t>
    </r>
  </si>
  <si>
    <r>
      <rPr>
        <rFont val="Cambria"/>
        <color theme="1"/>
        <sz val="10.0"/>
      </rPr>
      <t>Foundry Iron Casting to Iron Castings</t>
    </r>
  </si>
  <si>
    <r>
      <rPr>
        <rFont val="Cambria"/>
        <color theme="1"/>
        <sz val="10.0"/>
      </rPr>
      <t>13,51</t>
    </r>
  </si>
  <si>
    <r>
      <rPr>
        <rFont val="Cambria"/>
        <color theme="1"/>
        <sz val="10.0"/>
      </rPr>
      <t>Foundry Iron Casting to Loss</t>
    </r>
  </si>
  <si>
    <r>
      <rPr>
        <rFont val="Cambria"/>
        <color theme="1"/>
        <sz val="10.0"/>
      </rPr>
      <t>13,52</t>
    </r>
  </si>
  <si>
    <r>
      <rPr>
        <rFont val="Cambria"/>
        <color theme="1"/>
        <sz val="10.0"/>
      </rPr>
      <t>Foundry Iron Casting Node in</t>
    </r>
  </si>
  <si>
    <r>
      <rPr>
        <rFont val="Cambria"/>
        <color theme="1"/>
        <sz val="10.0"/>
      </rPr>
      <t>13,53</t>
    </r>
  </si>
  <si>
    <r>
      <rPr>
        <rFont val="Cambria"/>
        <color theme="1"/>
        <sz val="10.0"/>
      </rPr>
      <t>Foundry Iron Casting Node out</t>
    </r>
  </si>
  <si>
    <r>
      <rPr>
        <rFont val="Cambria"/>
        <color theme="1"/>
        <sz val="10.0"/>
      </rPr>
      <t>13,54</t>
    </r>
  </si>
  <si>
    <r>
      <rPr>
        <rFont val="Cambria"/>
        <color theme="1"/>
        <sz val="10.0"/>
      </rPr>
      <t>Foundry Iron Casting Yield ratio</t>
    </r>
  </si>
  <si>
    <r>
      <rPr>
        <rFont val="Cambria"/>
        <color theme="1"/>
        <sz val="10.0"/>
      </rPr>
      <t>14,19</t>
    </r>
  </si>
  <si>
    <r>
      <rPr>
        <rFont val="Cambria"/>
        <color theme="1"/>
        <sz val="10.0"/>
      </rPr>
      <t>Hot Strip Mill to Cold Rolling Mill</t>
    </r>
  </si>
  <si>
    <r>
      <rPr>
        <rFont val="Cambria"/>
        <color theme="1"/>
        <sz val="10.0"/>
      </rPr>
      <t>14,20</t>
    </r>
  </si>
  <si>
    <r>
      <rPr>
        <rFont val="Cambria"/>
        <color theme="1"/>
        <sz val="10.0"/>
      </rPr>
      <t>Hot Strip Mill to Tube Welding Plant</t>
    </r>
  </si>
  <si>
    <r>
      <rPr>
        <rFont val="Cambria"/>
        <color theme="1"/>
        <sz val="10.0"/>
      </rPr>
      <t>14,24</t>
    </r>
  </si>
  <si>
    <r>
      <rPr>
        <rFont val="Cambria"/>
        <color theme="1"/>
        <sz val="10.0"/>
      </rPr>
      <t>Hot Strip Mill to HR Sheet and strip</t>
    </r>
  </si>
  <si>
    <r>
      <rPr>
        <rFont val="Cambria"/>
        <color theme="1"/>
        <sz val="10.0"/>
      </rPr>
      <t>14,50</t>
    </r>
  </si>
  <si>
    <r>
      <rPr>
        <rFont val="Cambria"/>
        <color theme="1"/>
        <sz val="10.0"/>
      </rPr>
      <t>Hot Strip Mill to Scrap</t>
    </r>
  </si>
  <si>
    <r>
      <rPr>
        <rFont val="Cambria"/>
        <color theme="1"/>
        <sz val="10.0"/>
      </rPr>
      <t>14,52</t>
    </r>
  </si>
  <si>
    <r>
      <rPr>
        <rFont val="Cambria"/>
        <color theme="1"/>
        <sz val="10.0"/>
      </rPr>
      <t>Hot Strip Mill Node in</t>
    </r>
  </si>
  <si>
    <r>
      <rPr>
        <rFont val="Cambria"/>
        <color theme="1"/>
        <sz val="10.0"/>
      </rPr>
      <t>14,53</t>
    </r>
  </si>
  <si>
    <r>
      <rPr>
        <rFont val="Cambria"/>
        <color theme="1"/>
        <sz val="10.0"/>
      </rPr>
      <t>Hot Strip Mill Node out</t>
    </r>
  </si>
  <si>
    <r>
      <rPr>
        <rFont val="Cambria"/>
        <color theme="1"/>
        <sz val="10.0"/>
      </rPr>
      <t>14,54</t>
    </r>
  </si>
  <si>
    <r>
      <rPr>
        <rFont val="Cambria"/>
        <color theme="1"/>
        <sz val="10.0"/>
      </rPr>
      <t>Hot Strip Mill Yield ratio</t>
    </r>
  </si>
  <si>
    <r>
      <rPr>
        <rFont val="Cambria"/>
        <color theme="1"/>
        <sz val="10.0"/>
      </rPr>
      <t>15,29</t>
    </r>
  </si>
  <si>
    <r>
      <rPr>
        <rFont val="Cambria"/>
        <color theme="1"/>
        <sz val="10.0"/>
      </rPr>
      <t>Plate Mill to Plates</t>
    </r>
  </si>
  <si>
    <r>
      <rPr>
        <rFont val="Cambria"/>
        <color theme="1"/>
        <sz val="10.0"/>
      </rPr>
      <t>15,50</t>
    </r>
  </si>
  <si>
    <r>
      <rPr>
        <rFont val="Cambria"/>
        <color theme="1"/>
        <sz val="10.0"/>
      </rPr>
      <t>Plate Mill to Scrap</t>
    </r>
  </si>
  <si>
    <r>
      <rPr>
        <rFont val="Cambria"/>
        <color theme="1"/>
        <sz val="10.0"/>
      </rPr>
      <t>15,52</t>
    </r>
  </si>
  <si>
    <r>
      <rPr>
        <rFont val="Cambria"/>
        <color theme="1"/>
        <sz val="10.0"/>
      </rPr>
      <t>Plate Mill Node in</t>
    </r>
  </si>
  <si>
    <r>
      <rPr>
        <rFont val="Cambria"/>
        <color theme="1"/>
        <sz val="10.0"/>
      </rPr>
      <t>15,53</t>
    </r>
  </si>
  <si>
    <r>
      <rPr>
        <rFont val="Cambria"/>
        <color theme="1"/>
        <sz val="10.0"/>
      </rPr>
      <t>Plate Mill Node out</t>
    </r>
  </si>
  <si>
    <r>
      <rPr>
        <rFont val="Cambria"/>
        <color theme="1"/>
        <sz val="10.0"/>
      </rPr>
      <t>15,54</t>
    </r>
  </si>
  <si>
    <r>
      <rPr>
        <rFont val="Cambria"/>
        <color theme="1"/>
        <sz val="10.0"/>
      </rPr>
      <t>Plate Mill Yield ratio</t>
    </r>
  </si>
  <si>
    <r>
      <rPr>
        <rFont val="Cambria"/>
        <color theme="1"/>
        <sz val="10.0"/>
      </rPr>
      <t>16,21</t>
    </r>
  </si>
  <si>
    <r>
      <rPr>
        <rFont val="Cambria"/>
        <color theme="1"/>
        <sz val="10.0"/>
      </rPr>
      <t>Rod/Bar Mill to Seamless Tube Plant</t>
    </r>
  </si>
  <si>
    <r>
      <rPr>
        <rFont val="Cambria"/>
        <color theme="1"/>
        <sz val="10.0"/>
      </rPr>
      <t>16,30</t>
    </r>
  </si>
  <si>
    <r>
      <rPr>
        <rFont val="Cambria"/>
        <color theme="1"/>
        <sz val="10.0"/>
      </rPr>
      <t>Rod/Bar Mill to Reinforcing bar</t>
    </r>
  </si>
  <si>
    <r>
      <rPr>
        <rFont val="Cambria"/>
        <color theme="1"/>
        <sz val="10.0"/>
      </rPr>
      <t>16,31</t>
    </r>
  </si>
  <si>
    <r>
      <rPr>
        <rFont val="Cambria"/>
        <color theme="1"/>
        <sz val="10.0"/>
      </rPr>
      <t>Rod/Bar Mill to Wire and wire rods</t>
    </r>
  </si>
  <si>
    <r>
      <rPr>
        <rFont val="Cambria"/>
        <color theme="1"/>
        <sz val="10.0"/>
      </rPr>
      <t>16,32</t>
    </r>
  </si>
  <si>
    <r>
      <rPr>
        <rFont val="Cambria"/>
        <color theme="1"/>
        <sz val="10.0"/>
      </rPr>
      <t>Rod/Bar Mill to Bar</t>
    </r>
  </si>
  <si>
    <r>
      <rPr>
        <rFont val="Cambria"/>
        <color theme="1"/>
        <sz val="10.0"/>
      </rPr>
      <t>16,33</t>
    </r>
  </si>
  <si>
    <r>
      <rPr>
        <rFont val="Cambria"/>
        <color theme="1"/>
        <sz val="10.0"/>
      </rPr>
      <t>Rod/Bar Mill to Light Shaped bars</t>
    </r>
  </si>
  <si>
    <r>
      <rPr>
        <rFont val="Cambria"/>
        <color theme="1"/>
        <sz val="10.0"/>
      </rPr>
      <t>16,50</t>
    </r>
  </si>
  <si>
    <r>
      <rPr>
        <rFont val="Cambria"/>
        <color theme="1"/>
        <sz val="10.0"/>
      </rPr>
      <t>Rod/Bar Mill to Scrap</t>
    </r>
  </si>
  <si>
    <r>
      <rPr>
        <rFont val="Cambria"/>
        <color theme="1"/>
        <sz val="10.0"/>
      </rPr>
      <t>16,52</t>
    </r>
  </si>
  <si>
    <r>
      <rPr>
        <rFont val="Cambria"/>
        <color theme="1"/>
        <sz val="10.0"/>
      </rPr>
      <t>Rod/Bar Mill Node in</t>
    </r>
  </si>
  <si>
    <r>
      <rPr>
        <rFont val="Cambria"/>
        <color theme="1"/>
        <sz val="10.0"/>
      </rPr>
      <t>16,53</t>
    </r>
  </si>
  <si>
    <r>
      <rPr>
        <rFont val="Cambria"/>
        <color theme="1"/>
        <sz val="10.0"/>
      </rPr>
      <t>Rod/Bar Mill Node out</t>
    </r>
  </si>
  <si>
    <r>
      <rPr>
        <rFont val="Cambria"/>
        <color theme="1"/>
        <sz val="10.0"/>
      </rPr>
      <t>16,54</t>
    </r>
  </si>
  <si>
    <r>
      <rPr>
        <rFont val="Cambria"/>
        <color theme="1"/>
        <sz val="10.0"/>
      </rPr>
      <t>Rod/Bar Mill Yield ratio</t>
    </r>
  </si>
  <si>
    <r>
      <rPr>
        <rFont val="Cambria"/>
        <color theme="1"/>
        <sz val="10.0"/>
      </rPr>
      <t>17,34</t>
    </r>
  </si>
  <si>
    <r>
      <rPr>
        <rFont val="Cambria"/>
        <color theme="1"/>
        <sz val="10.0"/>
      </rPr>
      <t>Section Mill to Heavy sections</t>
    </r>
  </si>
  <si>
    <r>
      <rPr>
        <rFont val="Cambria"/>
        <color theme="1"/>
        <sz val="10.0"/>
      </rPr>
      <t>17,35</t>
    </r>
  </si>
  <si>
    <r>
      <rPr>
        <rFont val="Cambria"/>
        <color theme="1"/>
        <sz val="10.0"/>
      </rPr>
      <t>Section Mill to Rail</t>
    </r>
  </si>
  <si>
    <r>
      <rPr>
        <rFont val="Cambria"/>
        <color theme="1"/>
        <sz val="10.0"/>
      </rPr>
      <t>17,50</t>
    </r>
  </si>
  <si>
    <r>
      <rPr>
        <rFont val="Cambria"/>
        <color theme="1"/>
        <sz val="10.0"/>
      </rPr>
      <t>Section Mill to Scrap</t>
    </r>
  </si>
  <si>
    <r>
      <rPr>
        <rFont val="Cambria"/>
        <color theme="1"/>
        <sz val="10.0"/>
      </rPr>
      <t>17,52</t>
    </r>
  </si>
  <si>
    <r>
      <rPr>
        <rFont val="Cambria"/>
        <color theme="1"/>
        <sz val="10.0"/>
      </rPr>
      <t>Section Mill Node in</t>
    </r>
  </si>
  <si>
    <r>
      <rPr>
        <rFont val="Cambria"/>
        <color theme="1"/>
        <sz val="10.0"/>
      </rPr>
      <t>17,53</t>
    </r>
  </si>
  <si>
    <r>
      <rPr>
        <rFont val="Cambria"/>
        <color theme="1"/>
        <sz val="10.0"/>
      </rPr>
      <t>Section Mill Node out</t>
    </r>
  </si>
  <si>
    <r>
      <rPr>
        <rFont val="Cambria"/>
        <color theme="1"/>
        <sz val="10.0"/>
      </rPr>
      <t>17,54</t>
    </r>
  </si>
  <si>
    <r>
      <rPr>
        <rFont val="Cambria"/>
        <color theme="1"/>
        <sz val="10.0"/>
      </rPr>
      <t>Section Mill Yield ratio</t>
    </r>
  </si>
  <si>
    <r>
      <rPr>
        <rFont val="Cambria"/>
        <color theme="1"/>
        <sz val="10.0"/>
      </rPr>
      <t>18,14</t>
    </r>
  </si>
  <si>
    <r>
      <rPr>
        <rFont val="Cambria"/>
        <color theme="1"/>
        <sz val="10.0"/>
      </rPr>
      <t>Primary Mill to Hot Strip Mill</t>
    </r>
  </si>
  <si>
    <r>
      <rPr>
        <rFont val="Cambria"/>
        <color theme="1"/>
        <sz val="10.0"/>
      </rPr>
      <t>18,15</t>
    </r>
  </si>
  <si>
    <r>
      <rPr>
        <rFont val="Cambria"/>
        <color theme="1"/>
        <sz val="10.0"/>
      </rPr>
      <t>Primary Mill to Plate Mill</t>
    </r>
  </si>
  <si>
    <r>
      <rPr>
        <rFont val="Cambria"/>
        <color theme="1"/>
        <sz val="10.0"/>
      </rPr>
      <t>18,16</t>
    </r>
  </si>
  <si>
    <r>
      <rPr>
        <rFont val="Cambria"/>
        <color theme="1"/>
        <sz val="10.0"/>
      </rPr>
      <t>Primary Mill to Rod/Bar Mill</t>
    </r>
  </si>
  <si>
    <r>
      <rPr>
        <rFont val="Cambria"/>
        <color theme="1"/>
        <sz val="10.0"/>
      </rPr>
      <t>18,17</t>
    </r>
  </si>
  <si>
    <r>
      <rPr>
        <rFont val="Cambria"/>
        <color theme="1"/>
        <sz val="10.0"/>
      </rPr>
      <t>Primary Mill to Section Mill</t>
    </r>
  </si>
  <si>
    <r>
      <rPr>
        <rFont val="Cambria"/>
        <color theme="1"/>
        <sz val="10.0"/>
      </rPr>
      <t>18,50</t>
    </r>
  </si>
  <si>
    <r>
      <rPr>
        <rFont val="Cambria"/>
        <color theme="1"/>
        <sz val="10.0"/>
      </rPr>
      <t>Primary Mill to Scrap</t>
    </r>
  </si>
  <si>
    <r>
      <rPr>
        <rFont val="Cambria"/>
        <color theme="1"/>
        <sz val="10.0"/>
      </rPr>
      <t>18,52</t>
    </r>
  </si>
  <si>
    <r>
      <rPr>
        <rFont val="Cambria"/>
        <color theme="1"/>
        <sz val="10.0"/>
      </rPr>
      <t>Primary Mill Node in</t>
    </r>
  </si>
  <si>
    <r>
      <rPr>
        <rFont val="Cambria"/>
        <color theme="1"/>
        <sz val="10.0"/>
      </rPr>
      <t>18,53</t>
    </r>
  </si>
  <si>
    <r>
      <rPr>
        <rFont val="Cambria"/>
        <color theme="1"/>
        <sz val="10.0"/>
      </rPr>
      <t>Primary Mill Node out</t>
    </r>
  </si>
  <si>
    <r>
      <rPr>
        <rFont val="Cambria"/>
        <color theme="1"/>
        <sz val="10.0"/>
      </rPr>
      <t>18,54</t>
    </r>
  </si>
  <si>
    <r>
      <rPr>
        <rFont val="Cambria"/>
        <color theme="1"/>
        <sz val="10.0"/>
      </rPr>
      <t>Primary Mill Yield ratio</t>
    </r>
  </si>
  <si>
    <r>
      <rPr>
        <rFont val="Cambria"/>
        <color theme="1"/>
        <sz val="10.0"/>
      </rPr>
      <t>18,55</t>
    </r>
  </si>
  <si>
    <r>
      <rPr>
        <rFont val="Cambria"/>
        <color theme="1"/>
        <sz val="10.0"/>
      </rPr>
      <t>Primary Mill Unconvention al</t>
    </r>
  </si>
  <si>
    <r>
      <rPr>
        <rFont val="Cambria"/>
        <color theme="1"/>
        <sz val="10.0"/>
      </rPr>
      <t>19,22</t>
    </r>
  </si>
  <si>
    <r>
      <rPr>
        <rFont val="Cambria"/>
        <color theme="1"/>
        <sz val="10.0"/>
      </rPr>
      <t>Cold Rolling Mill to Galvanizing Plant</t>
    </r>
  </si>
  <si>
    <r>
      <rPr>
        <rFont val="Cambria"/>
        <color theme="1"/>
        <sz val="10.0"/>
      </rPr>
      <t>19,23</t>
    </r>
  </si>
  <si>
    <r>
      <rPr>
        <rFont val="Cambria"/>
        <color theme="1"/>
        <sz val="10.0"/>
      </rPr>
      <t>Cold Rolling Mill to Tin Mill</t>
    </r>
  </si>
  <si>
    <r>
      <rPr>
        <rFont val="Cambria"/>
        <color theme="1"/>
        <sz val="10.0"/>
      </rPr>
      <t>19,25</t>
    </r>
  </si>
  <si>
    <r>
      <rPr>
        <rFont val="Cambria"/>
        <color theme="1"/>
        <sz val="10.0"/>
      </rPr>
      <t>Cold Rolling Mill to CR Sheet and strip</t>
    </r>
  </si>
  <si>
    <r>
      <rPr>
        <rFont val="Cambria"/>
        <color theme="1"/>
        <sz val="10.0"/>
      </rPr>
      <t>19,50</t>
    </r>
  </si>
  <si>
    <r>
      <rPr>
        <rFont val="Cambria"/>
        <color theme="1"/>
        <sz val="10.0"/>
      </rPr>
      <t>Cold Rolling Mill to Scrap</t>
    </r>
  </si>
  <si>
    <r>
      <rPr>
        <rFont val="Cambria"/>
        <color theme="1"/>
        <sz val="10.0"/>
      </rPr>
      <t>19,52</t>
    </r>
  </si>
  <si>
    <r>
      <rPr>
        <rFont val="Cambria"/>
        <color theme="1"/>
        <sz val="10.0"/>
      </rPr>
      <t>Cold Rolling Mill Node in</t>
    </r>
  </si>
  <si>
    <r>
      <rPr>
        <rFont val="Cambria"/>
        <color theme="1"/>
        <sz val="10.0"/>
      </rPr>
      <t>19,53</t>
    </r>
  </si>
  <si>
    <r>
      <rPr>
        <rFont val="Cambria"/>
        <color theme="1"/>
        <sz val="10.0"/>
      </rPr>
      <t>Cold Rolling Mill Node out</t>
    </r>
  </si>
  <si>
    <r>
      <rPr>
        <rFont val="Cambria"/>
        <color theme="1"/>
        <sz val="10.0"/>
      </rPr>
      <t>19,54</t>
    </r>
  </si>
  <si>
    <r>
      <rPr>
        <rFont val="Cambria"/>
        <color theme="1"/>
        <sz val="10.0"/>
      </rPr>
      <t>Cold Rolling Mill Yield ratio</t>
    </r>
  </si>
  <si>
    <r>
      <rPr>
        <rFont val="Cambria"/>
        <color theme="1"/>
        <sz val="10.0"/>
      </rPr>
      <t>20,28</t>
    </r>
  </si>
  <si>
    <r>
      <rPr>
        <rFont val="Cambria"/>
        <color theme="1"/>
        <sz val="10.0"/>
      </rPr>
      <t>Tube Welding Plant to pipe and tubing</t>
    </r>
  </si>
  <si>
    <r>
      <rPr>
        <rFont val="Cambria"/>
        <color theme="1"/>
        <sz val="10.0"/>
      </rPr>
      <t>20,50</t>
    </r>
  </si>
  <si>
    <r>
      <rPr>
        <rFont val="Cambria"/>
        <color theme="1"/>
        <sz val="10.0"/>
      </rPr>
      <t>Tube Welding Plant to Scrap</t>
    </r>
  </si>
  <si>
    <r>
      <rPr>
        <rFont val="Cambria"/>
        <color theme="1"/>
        <sz val="10.0"/>
      </rPr>
      <t>20,52</t>
    </r>
  </si>
  <si>
    <r>
      <rPr>
        <rFont val="Cambria"/>
        <color theme="1"/>
        <sz val="10.0"/>
      </rPr>
      <t>Tube Welding Plant Node in</t>
    </r>
  </si>
  <si>
    <r>
      <rPr>
        <rFont val="Cambria"/>
        <color theme="1"/>
        <sz val="10.0"/>
      </rPr>
      <t>20,53</t>
    </r>
  </si>
  <si>
    <r>
      <rPr>
        <rFont val="Cambria"/>
        <color theme="1"/>
        <sz val="10.0"/>
      </rPr>
      <t>Tube Welding Plant Node out</t>
    </r>
  </si>
  <si>
    <r>
      <rPr>
        <rFont val="Cambria"/>
        <color theme="1"/>
        <sz val="10.0"/>
      </rPr>
      <t>20,54</t>
    </r>
  </si>
  <si>
    <r>
      <rPr>
        <rFont val="Cambria"/>
        <color theme="1"/>
        <sz val="10.0"/>
      </rPr>
      <t>Tube Welding Plant Yield ratio</t>
    </r>
  </si>
  <si>
    <r>
      <rPr>
        <rFont val="Cambria"/>
        <color theme="1"/>
        <sz val="10.0"/>
      </rPr>
      <t>20,55</t>
    </r>
  </si>
  <si>
    <r>
      <rPr>
        <rFont val="Cambria"/>
        <color theme="1"/>
        <sz val="10.0"/>
      </rPr>
      <t>Tube Welding Plant Unconvention al</t>
    </r>
  </si>
  <si>
    <r>
      <rPr>
        <rFont val="Cambria"/>
        <color theme="1"/>
        <sz val="10.0"/>
      </rPr>
      <t>21,28</t>
    </r>
  </si>
  <si>
    <r>
      <rPr>
        <rFont val="Cambria"/>
        <color theme="1"/>
        <sz val="10.0"/>
      </rPr>
      <t>Seamless Tube Plant to pipe and tubing</t>
    </r>
  </si>
  <si>
    <r>
      <rPr>
        <rFont val="Cambria"/>
        <color theme="1"/>
        <sz val="10.0"/>
      </rPr>
      <t>21,50</t>
    </r>
  </si>
  <si>
    <r>
      <rPr>
        <rFont val="Cambria"/>
        <color theme="1"/>
        <sz val="10.0"/>
      </rPr>
      <t>Seamless Tube Plant to Scrap</t>
    </r>
  </si>
  <si>
    <r>
      <rPr>
        <rFont val="Cambria"/>
        <color theme="1"/>
        <sz val="10.0"/>
      </rPr>
      <t>21,52</t>
    </r>
  </si>
  <si>
    <r>
      <rPr>
        <rFont val="Cambria"/>
        <color theme="1"/>
        <sz val="10.0"/>
      </rPr>
      <t>Seamless Tube Plant Node in</t>
    </r>
  </si>
  <si>
    <r>
      <rPr>
        <rFont val="Cambria"/>
        <color theme="1"/>
        <sz val="10.0"/>
      </rPr>
      <t>21,53</t>
    </r>
  </si>
  <si>
    <r>
      <rPr>
        <rFont val="Cambria"/>
        <color theme="1"/>
        <sz val="10.0"/>
      </rPr>
      <t>Seamless Tube Plant Node out</t>
    </r>
  </si>
  <si>
    <r>
      <rPr>
        <rFont val="Cambria"/>
        <color theme="1"/>
        <sz val="10.0"/>
      </rPr>
      <t>21,54</t>
    </r>
  </si>
  <si>
    <r>
      <rPr>
        <rFont val="Cambria"/>
        <color theme="1"/>
        <sz val="10.0"/>
      </rPr>
      <t>Seamless Tube Plant Yield ratio</t>
    </r>
  </si>
  <si>
    <r>
      <rPr>
        <rFont val="Cambria"/>
        <color theme="1"/>
        <sz val="10.0"/>
      </rPr>
      <t>22,26</t>
    </r>
  </si>
  <si>
    <r>
      <rPr>
        <rFont val="Cambria"/>
        <color theme="1"/>
        <sz val="10.0"/>
      </rPr>
      <t>Galvanizing Plant to Galvanized</t>
    </r>
  </si>
  <si>
    <r>
      <rPr>
        <rFont val="Cambria"/>
        <color theme="1"/>
        <sz val="10.0"/>
      </rPr>
      <t>22,50</t>
    </r>
  </si>
  <si>
    <r>
      <rPr>
        <rFont val="Cambria"/>
        <color theme="1"/>
        <sz val="10.0"/>
      </rPr>
      <t>Galvanizing Plant to Scrap</t>
    </r>
  </si>
  <si>
    <r>
      <rPr>
        <rFont val="Cambria"/>
        <color theme="1"/>
        <sz val="10.0"/>
      </rPr>
      <t>22,52</t>
    </r>
  </si>
  <si>
    <r>
      <rPr>
        <rFont val="Cambria"/>
        <color theme="1"/>
        <sz val="10.0"/>
      </rPr>
      <t>Galvanizing Plant Node in</t>
    </r>
  </si>
  <si>
    <r>
      <rPr>
        <rFont val="Cambria"/>
        <color theme="1"/>
        <sz val="10.0"/>
      </rPr>
      <t>22,53</t>
    </r>
  </si>
  <si>
    <r>
      <rPr>
        <rFont val="Cambria"/>
        <color theme="1"/>
        <sz val="10.0"/>
      </rPr>
      <t>Galvanizing Plant Node out</t>
    </r>
  </si>
  <si>
    <r>
      <rPr>
        <rFont val="Cambria"/>
        <color theme="1"/>
        <sz val="10.0"/>
      </rPr>
      <t>22,54</t>
    </r>
  </si>
  <si>
    <r>
      <rPr>
        <rFont val="Cambria"/>
        <color theme="1"/>
        <sz val="10.0"/>
      </rPr>
      <t>Galvanizing Plant Yield ratio</t>
    </r>
  </si>
  <si>
    <r>
      <rPr>
        <rFont val="Cambria"/>
        <color theme="1"/>
        <sz val="10.0"/>
      </rPr>
      <t>23,27</t>
    </r>
  </si>
  <si>
    <r>
      <rPr>
        <rFont val="Cambria"/>
        <color theme="1"/>
        <sz val="10.0"/>
      </rPr>
      <t>Tin Mill to Tin mill products</t>
    </r>
  </si>
  <si>
    <r>
      <rPr>
        <rFont val="Cambria"/>
        <color theme="1"/>
        <sz val="10.0"/>
      </rPr>
      <t>23,50</t>
    </r>
  </si>
  <si>
    <r>
      <rPr>
        <rFont val="Cambria"/>
        <color theme="1"/>
        <sz val="10.0"/>
      </rPr>
      <t>Tin Mill to Scrap</t>
    </r>
  </si>
  <si>
    <r>
      <rPr>
        <rFont val="Cambria"/>
        <color theme="1"/>
        <sz val="10.0"/>
      </rPr>
      <t>23,52</t>
    </r>
  </si>
  <si>
    <r>
      <rPr>
        <rFont val="Cambria"/>
        <color theme="1"/>
        <sz val="10.0"/>
      </rPr>
      <t>Tin Mill Node in</t>
    </r>
  </si>
  <si>
    <r>
      <rPr>
        <rFont val="Cambria"/>
        <color theme="1"/>
        <sz val="10.0"/>
      </rPr>
      <t>23,53</t>
    </r>
  </si>
  <si>
    <r>
      <rPr>
        <rFont val="Cambria"/>
        <color theme="1"/>
        <sz val="10.0"/>
      </rPr>
      <t>Tin Mill Node out</t>
    </r>
  </si>
  <si>
    <r>
      <rPr>
        <rFont val="Cambria"/>
        <color theme="1"/>
        <sz val="10.0"/>
      </rPr>
      <t>23,54</t>
    </r>
  </si>
  <si>
    <r>
      <rPr>
        <rFont val="Cambria"/>
        <color theme="1"/>
        <sz val="10.0"/>
      </rPr>
      <t>Tin Mill Yield ratio</t>
    </r>
  </si>
  <si>
    <r>
      <rPr>
        <rFont val="Cambria"/>
        <color rgb="FF000000"/>
        <sz val="10.0"/>
      </rPr>
      <t xml:space="preserve">24,39,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</si>
  <si>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HR Sheet to Buildings</t>
    </r>
  </si>
  <si>
    <r>
      <rPr>
        <rFont val="Cambria"/>
        <color rgb="FF000000"/>
        <sz val="10.0"/>
      </rPr>
      <t xml:space="preserve">24,40,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</si>
  <si>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HR Sheet to Infrastructure</t>
    </r>
  </si>
  <si>
    <r>
      <rPr>
        <rFont val="Cambria"/>
        <color rgb="FF000000"/>
        <sz val="10.0"/>
      </rPr>
      <t xml:space="preserve">24,41,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</si>
  <si>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HR Sheet to Cars</t>
    </r>
  </si>
  <si>
    <r>
      <rPr>
        <rFont val="Cambria"/>
        <color rgb="FF000000"/>
        <sz val="10.0"/>
      </rPr>
      <t xml:space="preserve">24,42,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</si>
  <si>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HR Sheet to Trucks</t>
    </r>
  </si>
  <si>
    <r>
      <rPr>
        <rFont val="Cambria"/>
        <color rgb="FF000000"/>
        <sz val="10.0"/>
      </rPr>
      <t xml:space="preserve">24,43,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</si>
  <si>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HR Sheet to Machinery/Eq uipment</t>
    </r>
  </si>
  <si>
    <r>
      <rPr>
        <rFont val="Cambria"/>
        <color rgb="FF000000"/>
        <sz val="10.0"/>
      </rPr>
      <t xml:space="preserve">24,44,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</si>
  <si>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HR Sheet to Energy</t>
    </r>
  </si>
  <si>
    <r>
      <rPr>
        <rFont val="Cambria"/>
        <color rgb="FF000000"/>
        <sz val="10.0"/>
      </rPr>
      <t xml:space="preserve">24,46,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</si>
  <si>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HR Sheet to Domestic Appliances</t>
    </r>
  </si>
  <si>
    <r>
      <rPr>
        <rFont val="Cambria"/>
        <color theme="1"/>
        <sz val="10.0"/>
      </rPr>
      <t>24,49</t>
    </r>
  </si>
  <si>
    <r>
      <rPr>
        <rFont val="Cambria"/>
        <color theme="1"/>
        <sz val="10.0"/>
      </rPr>
      <t>HR Sheet to Export</t>
    </r>
  </si>
  <si>
    <r>
      <rPr>
        <rFont val="Cambria"/>
        <color theme="1"/>
        <sz val="10.0"/>
      </rPr>
      <t>24,50</t>
    </r>
  </si>
  <si>
    <r>
      <rPr>
        <rFont val="Cambria"/>
        <color theme="1"/>
        <sz val="10.0"/>
      </rPr>
      <t>HR Sheet to Scrap</t>
    </r>
  </si>
  <si>
    <r>
      <rPr>
        <rFont val="Cambria"/>
        <color theme="1"/>
        <sz val="10.0"/>
      </rPr>
      <t>24,52</t>
    </r>
  </si>
  <si>
    <r>
      <rPr>
        <rFont val="Cambria"/>
        <color theme="1"/>
        <sz val="10.0"/>
      </rPr>
      <t>HR Sheet Node in</t>
    </r>
  </si>
  <si>
    <r>
      <rPr>
        <rFont val="Cambria"/>
        <color theme="1"/>
        <sz val="10.0"/>
      </rPr>
      <t>24,53</t>
    </r>
  </si>
  <si>
    <r>
      <rPr>
        <rFont val="Cambria"/>
        <color theme="1"/>
        <sz val="10.0"/>
      </rPr>
      <t>HR Sheet Node out</t>
    </r>
  </si>
  <si>
    <r>
      <rPr>
        <rFont val="Cambria"/>
        <color theme="1"/>
        <sz val="10.0"/>
      </rPr>
      <t>24,54</t>
    </r>
  </si>
  <si>
    <r>
      <rPr>
        <rFont val="Cambria"/>
        <color theme="1"/>
        <sz val="10.0"/>
      </rPr>
      <t>HR Sheet Yield ratio</t>
    </r>
  </si>
  <si>
    <r>
      <rPr>
        <rFont val="Cambria"/>
        <color theme="1"/>
        <sz val="10.0"/>
      </rPr>
      <t>24,55</t>
    </r>
  </si>
  <si>
    <r>
      <rPr>
        <rFont val="Cambria"/>
        <color theme="1"/>
        <sz val="10.0"/>
      </rPr>
      <t>HR Sheet Unconvention al</t>
    </r>
  </si>
  <si>
    <r>
      <rPr>
        <rFont val="Cambria"/>
        <color rgb="FF000000"/>
        <sz val="10.0"/>
      </rPr>
      <t xml:space="preserve">25,41,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</si>
  <si>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CR Sheet to Cars</t>
    </r>
  </si>
  <si>
    <r>
      <rPr>
        <rFont val="Cambria"/>
        <color rgb="FF000000"/>
        <sz val="10.0"/>
      </rPr>
      <t xml:space="preserve">25,42,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</si>
  <si>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CR Sheet to Trucks</t>
    </r>
  </si>
  <si>
    <r>
      <rPr>
        <rFont val="Cambria"/>
        <color rgb="FF000000"/>
        <sz val="10.0"/>
      </rPr>
      <t xml:space="preserve">25,43,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</si>
  <si>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CR Sheet to Machinery/Eq uipment</t>
    </r>
  </si>
  <si>
    <r>
      <rPr>
        <rFont val="Cambria"/>
        <color rgb="FF000000"/>
        <sz val="10.0"/>
      </rPr>
      <t xml:space="preserve">25,46,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</si>
  <si>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CR Sheet to Domestic Appliances</t>
    </r>
  </si>
  <si>
    <r>
      <rPr>
        <rFont val="Cambria"/>
        <color rgb="FF000000"/>
        <sz val="10.0"/>
      </rPr>
      <t xml:space="preserve">25,47,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</si>
  <si>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CR Sheet to Containers</t>
    </r>
  </si>
  <si>
    <r>
      <rPr>
        <rFont val="Cambria"/>
        <color theme="1"/>
        <sz val="10.0"/>
      </rPr>
      <t>25,49</t>
    </r>
  </si>
  <si>
    <r>
      <rPr>
        <rFont val="Cambria"/>
        <color theme="1"/>
        <sz val="10.0"/>
      </rPr>
      <t>CR Sheet to Export</t>
    </r>
  </si>
  <si>
    <r>
      <rPr>
        <rFont val="Cambria"/>
        <color theme="1"/>
        <sz val="10.0"/>
      </rPr>
      <t>25,50</t>
    </r>
  </si>
  <si>
    <t>CR Sheet to Scrap</t>
  </si>
  <si>
    <r>
      <rPr>
        <rFont val="Cambria"/>
        <color theme="1"/>
        <sz val="10.0"/>
      </rPr>
      <t>25,52</t>
    </r>
  </si>
  <si>
    <r>
      <rPr>
        <rFont val="Cambria"/>
        <color theme="1"/>
        <sz val="10.0"/>
      </rPr>
      <t>CR Sheet Node in</t>
    </r>
  </si>
  <si>
    <r>
      <rPr>
        <rFont val="Cambria"/>
        <color theme="1"/>
        <sz val="10.0"/>
      </rPr>
      <t>25,53</t>
    </r>
  </si>
  <si>
    <r>
      <rPr>
        <rFont val="Cambria"/>
        <color theme="1"/>
        <sz val="10.0"/>
      </rPr>
      <t>CR Sheet Node out</t>
    </r>
  </si>
  <si>
    <r>
      <rPr>
        <rFont val="Cambria"/>
        <color theme="1"/>
        <sz val="10.0"/>
      </rPr>
      <t>25,54</t>
    </r>
  </si>
  <si>
    <r>
      <rPr>
        <rFont val="Cambria"/>
        <color theme="1"/>
        <sz val="10.0"/>
      </rPr>
      <t>CR Sheet Yield ratio</t>
    </r>
  </si>
  <si>
    <r>
      <rPr>
        <rFont val="Cambria"/>
        <color theme="1"/>
        <sz val="10.0"/>
      </rPr>
      <t>25,55</t>
    </r>
  </si>
  <si>
    <r>
      <rPr>
        <rFont val="Cambria"/>
        <color theme="1"/>
        <sz val="10.0"/>
      </rPr>
      <t>CR Sheet Unconvention al</t>
    </r>
  </si>
  <si>
    <r>
      <rPr>
        <rFont val="Cambria"/>
        <color rgb="FF000000"/>
        <sz val="10.0"/>
      </rPr>
      <t xml:space="preserve">26,39,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</si>
  <si>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Galvanized   to Buildings</t>
    </r>
  </si>
  <si>
    <r>
      <rPr>
        <rFont val="Cambria"/>
        <color rgb="FF000000"/>
        <sz val="10.0"/>
      </rPr>
      <t xml:space="preserve">26,40,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</si>
  <si>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Galvanized   to Infrastructure</t>
    </r>
  </si>
  <si>
    <r>
      <rPr>
        <rFont val="Cambria"/>
        <color rgb="FF000000"/>
        <sz val="10.0"/>
      </rPr>
      <t xml:space="preserve">26,41,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</si>
  <si>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Galvanized   to Cars</t>
    </r>
  </si>
  <si>
    <r>
      <rPr>
        <rFont val="Cambria"/>
        <color rgb="FF000000"/>
        <sz val="10.0"/>
      </rPr>
      <t xml:space="preserve">26,42,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</si>
  <si>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Galvanized   to Trucks</t>
    </r>
  </si>
  <si>
    <r>
      <rPr>
        <rFont val="Cambria"/>
        <color theme="1"/>
        <sz val="10.0"/>
      </rPr>
      <t>26,49</t>
    </r>
  </si>
  <si>
    <r>
      <rPr>
        <rFont val="Cambria"/>
        <color theme="1"/>
        <sz val="10.0"/>
      </rPr>
      <t>Galvanized   to Export</t>
    </r>
  </si>
  <si>
    <r>
      <rPr>
        <rFont val="Cambria"/>
        <color theme="1"/>
        <sz val="10.0"/>
      </rPr>
      <t>26,50</t>
    </r>
  </si>
  <si>
    <r>
      <rPr>
        <rFont val="Cambria"/>
        <color theme="1"/>
        <sz val="10.0"/>
      </rPr>
      <t>Galvanized   to Scrap</t>
    </r>
  </si>
  <si>
    <r>
      <rPr>
        <rFont val="Cambria"/>
        <color theme="1"/>
        <sz val="10.0"/>
      </rPr>
      <t>26,52</t>
    </r>
  </si>
  <si>
    <r>
      <rPr>
        <rFont val="Cambria"/>
        <color theme="1"/>
        <sz val="10.0"/>
      </rPr>
      <t>Galvanized Node in</t>
    </r>
  </si>
  <si>
    <r>
      <rPr>
        <rFont val="Cambria"/>
        <color theme="1"/>
        <sz val="10.0"/>
      </rPr>
      <t>26,53</t>
    </r>
  </si>
  <si>
    <r>
      <rPr>
        <rFont val="Cambria"/>
        <color theme="1"/>
        <sz val="10.0"/>
      </rPr>
      <t>Galvanized Node out</t>
    </r>
  </si>
  <si>
    <r>
      <rPr>
        <rFont val="Cambria"/>
        <color theme="1"/>
        <sz val="10.0"/>
      </rPr>
      <t>26,54</t>
    </r>
  </si>
  <si>
    <r>
      <rPr>
        <rFont val="Cambria"/>
        <color theme="1"/>
        <sz val="10.0"/>
      </rPr>
      <t>Galvanized Yield ratio</t>
    </r>
  </si>
  <si>
    <r>
      <rPr>
        <rFont val="Cambria"/>
        <color theme="1"/>
        <sz val="10.0"/>
      </rPr>
      <t>26,55</t>
    </r>
  </si>
  <si>
    <r>
      <rPr>
        <rFont val="Cambria"/>
        <color theme="1"/>
        <sz val="10.0"/>
      </rPr>
      <t>Galvanized Unconvention al</t>
    </r>
  </si>
  <si>
    <r>
      <rPr>
        <rFont val="Cambria"/>
        <color rgb="FF000000"/>
        <sz val="10.0"/>
      </rPr>
      <t xml:space="preserve">27,46,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</si>
  <si>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Tin mill products to Domestic Appliances</t>
    </r>
  </si>
  <si>
    <r>
      <rPr>
        <rFont val="Cambria"/>
        <color rgb="FF000000"/>
        <sz val="10.0"/>
      </rPr>
      <t xml:space="preserve">27,47,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</si>
  <si>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Tin mill products to Containers</t>
    </r>
  </si>
  <si>
    <r>
      <rPr>
        <rFont val="Cambria"/>
        <color theme="1"/>
        <sz val="10.0"/>
      </rPr>
      <t>27,49</t>
    </r>
  </si>
  <si>
    <r>
      <rPr>
        <rFont val="Cambria"/>
        <color theme="1"/>
        <sz val="10.0"/>
      </rPr>
      <t>Tin mill products to Export</t>
    </r>
  </si>
  <si>
    <r>
      <rPr>
        <rFont val="Cambria"/>
        <color theme="1"/>
        <sz val="10.0"/>
      </rPr>
      <t>27,50</t>
    </r>
  </si>
  <si>
    <r>
      <rPr>
        <rFont val="Cambria"/>
        <color theme="1"/>
        <sz val="10.0"/>
      </rPr>
      <t>Tin mill products to Scrap</t>
    </r>
  </si>
  <si>
    <r>
      <rPr>
        <rFont val="Cambria"/>
        <color theme="1"/>
        <sz val="10.0"/>
      </rPr>
      <t>27,52</t>
    </r>
  </si>
  <si>
    <r>
      <rPr>
        <rFont val="Cambria"/>
        <color theme="1"/>
        <sz val="10.0"/>
      </rPr>
      <t>Tin mill products Node in</t>
    </r>
  </si>
  <si>
    <r>
      <rPr>
        <rFont val="Cambria"/>
        <color theme="1"/>
        <sz val="10.0"/>
      </rPr>
      <t>27,53</t>
    </r>
  </si>
  <si>
    <r>
      <rPr>
        <rFont val="Cambria"/>
        <color theme="1"/>
        <sz val="10.0"/>
      </rPr>
      <t>Tin mill products Node out</t>
    </r>
  </si>
  <si>
    <r>
      <rPr>
        <rFont val="Cambria"/>
        <color theme="1"/>
        <sz val="10.0"/>
      </rPr>
      <t>27,54</t>
    </r>
  </si>
  <si>
    <r>
      <rPr>
        <rFont val="Cambria"/>
        <color theme="1"/>
        <sz val="10.0"/>
      </rPr>
      <t>Tin mill products Yield ratio</t>
    </r>
  </si>
  <si>
    <r>
      <rPr>
        <rFont val="Cambria"/>
        <color theme="1"/>
        <sz val="10.0"/>
      </rPr>
      <t>27,55</t>
    </r>
  </si>
  <si>
    <r>
      <rPr>
        <rFont val="Cambria"/>
        <color theme="1"/>
        <sz val="10.0"/>
      </rPr>
      <t>Tin mill products Unconvention al</t>
    </r>
  </si>
  <si>
    <r>
      <rPr>
        <rFont val="Cambria"/>
        <color rgb="FF000000"/>
        <sz val="10.0"/>
      </rPr>
      <t xml:space="preserve">28,39,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</si>
  <si>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Pipe and tubing to Buildings</t>
    </r>
  </si>
  <si>
    <r>
      <rPr>
        <rFont val="Cambria"/>
        <color rgb="FF000000"/>
        <sz val="10.0"/>
      </rPr>
      <t xml:space="preserve">28,40,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</si>
  <si>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Pipe and tubing to Infrastructure</t>
    </r>
  </si>
  <si>
    <r>
      <rPr>
        <rFont val="Cambria"/>
        <color rgb="FF000000"/>
        <sz val="10.0"/>
      </rPr>
      <t xml:space="preserve">28,41,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</si>
  <si>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Pipe and tubing to Cars</t>
    </r>
  </si>
  <si>
    <r>
      <rPr>
        <rFont val="Cambria"/>
        <color rgb="FF000000"/>
        <sz val="10.0"/>
      </rPr>
      <t xml:space="preserve">28,42,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</si>
  <si>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Pipe and tubing to Trucks</t>
    </r>
  </si>
  <si>
    <r>
      <rPr>
        <rFont val="Cambria"/>
        <color rgb="FF000000"/>
        <sz val="10.0"/>
      </rPr>
      <t xml:space="preserve">28,43,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</si>
  <si>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Pipe and tubing to Machinery/Eq uipment</t>
    </r>
  </si>
  <si>
    <r>
      <rPr>
        <rFont val="Cambria"/>
        <color rgb="FF000000"/>
        <sz val="10.0"/>
      </rPr>
      <t xml:space="preserve">28,44,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</si>
  <si>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Pipe and tubing to Energy</t>
    </r>
  </si>
  <si>
    <r>
      <rPr>
        <rFont val="Cambria"/>
        <color theme="1"/>
        <sz val="10.0"/>
      </rPr>
      <t>28,49</t>
    </r>
  </si>
  <si>
    <r>
      <rPr>
        <rFont val="Cambria"/>
        <color theme="1"/>
        <sz val="10.0"/>
      </rPr>
      <t>Pipe and tubing to Export</t>
    </r>
  </si>
  <si>
    <r>
      <rPr>
        <rFont val="Cambria"/>
        <color theme="1"/>
        <sz val="10.0"/>
      </rPr>
      <t>28,50</t>
    </r>
  </si>
  <si>
    <r>
      <rPr>
        <rFont val="Cambria"/>
        <color theme="1"/>
        <sz val="10.0"/>
      </rPr>
      <t>Pipe and tubing to Scrap</t>
    </r>
  </si>
  <si>
    <r>
      <rPr>
        <rFont val="Cambria"/>
        <color theme="1"/>
        <sz val="10.0"/>
      </rPr>
      <t>28,52</t>
    </r>
  </si>
  <si>
    <r>
      <rPr>
        <rFont val="Cambria"/>
        <color theme="1"/>
        <sz val="10.0"/>
      </rPr>
      <t>Pipe and tubing Node in</t>
    </r>
  </si>
  <si>
    <r>
      <rPr>
        <rFont val="Cambria"/>
        <color theme="1"/>
        <sz val="10.0"/>
      </rPr>
      <t>28,53</t>
    </r>
  </si>
  <si>
    <r>
      <rPr>
        <rFont val="Cambria"/>
        <color theme="1"/>
        <sz val="10.0"/>
      </rPr>
      <t>Pipe and tubing Node out</t>
    </r>
  </si>
  <si>
    <r>
      <rPr>
        <rFont val="Cambria"/>
        <color theme="1"/>
        <sz val="10.0"/>
      </rPr>
      <t>28,54</t>
    </r>
  </si>
  <si>
    <r>
      <rPr>
        <rFont val="Cambria"/>
        <color theme="1"/>
        <sz val="10.0"/>
      </rPr>
      <t>Pipe and tubing Yield ratio</t>
    </r>
  </si>
  <si>
    <r>
      <rPr>
        <rFont val="Cambria"/>
        <color theme="1"/>
        <sz val="10.0"/>
      </rPr>
      <t>28,55</t>
    </r>
  </si>
  <si>
    <r>
      <rPr>
        <rFont val="Cambria"/>
        <color theme="1"/>
        <sz val="10.0"/>
      </rPr>
      <t>Pipe and tubing Unconvention al</t>
    </r>
  </si>
  <si>
    <r>
      <rPr>
        <rFont val="Cambria"/>
        <color rgb="FF000000"/>
        <sz val="10.0"/>
      </rPr>
      <t xml:space="preserve">29,39,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</si>
  <si>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Plates to Buildings</t>
    </r>
  </si>
  <si>
    <r>
      <rPr>
        <rFont val="Cambria"/>
        <color rgb="FF000000"/>
        <sz val="10.0"/>
      </rPr>
      <t xml:space="preserve">29,40,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</si>
  <si>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Plates to Infrastructure</t>
    </r>
  </si>
  <si>
    <r>
      <rPr>
        <rFont val="Cambria"/>
        <color rgb="FF000000"/>
        <sz val="10.0"/>
      </rPr>
      <t xml:space="preserve">29,41,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</si>
  <si>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Plates to Cars</t>
    </r>
  </si>
  <si>
    <r>
      <rPr>
        <rFont val="Cambria"/>
        <color rgb="FF000000"/>
        <sz val="10.0"/>
      </rPr>
      <t xml:space="preserve">29,42,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</si>
  <si>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Plates to Trucks</t>
    </r>
  </si>
  <si>
    <r>
      <rPr>
        <rFont val="Cambria"/>
        <color rgb="FF000000"/>
        <sz val="10.0"/>
      </rPr>
      <t xml:space="preserve">29,43,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</si>
  <si>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Plates to Machinery/Eq uipment</t>
    </r>
  </si>
  <si>
    <r>
      <rPr>
        <rFont val="Cambria"/>
        <color rgb="FF000000"/>
        <sz val="10.0"/>
      </rPr>
      <t xml:space="preserve">29,44,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</si>
  <si>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Plates to Energy</t>
    </r>
  </si>
  <si>
    <r>
      <rPr>
        <rFont val="Cambria"/>
        <color rgb="FF000000"/>
        <sz val="10.0"/>
      </rPr>
      <t xml:space="preserve">29,45,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</si>
  <si>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Plates to Other/Homela nd Security</t>
    </r>
  </si>
  <si>
    <r>
      <rPr>
        <rFont val="Cambria"/>
        <color theme="1"/>
        <sz val="10.0"/>
      </rPr>
      <t>29,49</t>
    </r>
  </si>
  <si>
    <r>
      <rPr>
        <rFont val="Cambria"/>
        <color theme="1"/>
        <sz val="10.0"/>
      </rPr>
      <t>Plates to Export</t>
    </r>
  </si>
  <si>
    <r>
      <rPr>
        <rFont val="Cambria"/>
        <color theme="1"/>
        <sz val="10.0"/>
      </rPr>
      <t>29,50</t>
    </r>
  </si>
  <si>
    <r>
      <rPr>
        <rFont val="Cambria"/>
        <color theme="1"/>
        <sz val="10.0"/>
      </rPr>
      <t>Plates to Scrap</t>
    </r>
  </si>
  <si>
    <r>
      <rPr>
        <rFont val="Cambria"/>
        <color theme="1"/>
        <sz val="10.0"/>
      </rPr>
      <t>29,52</t>
    </r>
  </si>
  <si>
    <r>
      <rPr>
        <rFont val="Cambria"/>
        <color theme="1"/>
        <sz val="10.0"/>
      </rPr>
      <t>Plates Node in</t>
    </r>
  </si>
  <si>
    <r>
      <rPr>
        <rFont val="Cambria"/>
        <color theme="1"/>
        <sz val="10.0"/>
      </rPr>
      <t>29,53</t>
    </r>
  </si>
  <si>
    <r>
      <rPr>
        <rFont val="Cambria"/>
        <color theme="1"/>
        <sz val="10.0"/>
      </rPr>
      <t>Plates Node out</t>
    </r>
  </si>
  <si>
    <r>
      <rPr>
        <rFont val="Cambria"/>
        <color theme="1"/>
        <sz val="10.0"/>
      </rPr>
      <t>29,54</t>
    </r>
  </si>
  <si>
    <r>
      <rPr>
        <rFont val="Cambria"/>
        <color theme="1"/>
        <sz val="10.0"/>
      </rPr>
      <t>Plates Yield ratio</t>
    </r>
  </si>
  <si>
    <r>
      <rPr>
        <rFont val="Cambria"/>
        <color theme="1"/>
        <sz val="10.0"/>
      </rPr>
      <t>29,55</t>
    </r>
  </si>
  <si>
    <r>
      <rPr>
        <rFont val="Cambria"/>
        <color theme="1"/>
        <sz val="10.0"/>
      </rPr>
      <t>Plates Unconvention al</t>
    </r>
  </si>
  <si>
    <r>
      <rPr>
        <rFont val="Cambria"/>
        <color rgb="FF000000"/>
        <sz val="10.0"/>
      </rPr>
      <t xml:space="preserve">30,39,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</si>
  <si>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Reinforcing bar to Buildings</t>
    </r>
  </si>
  <si>
    <r>
      <rPr>
        <rFont val="Cambria"/>
        <color rgb="FF000000"/>
        <sz val="10.0"/>
      </rPr>
      <t xml:space="preserve">30,40,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</si>
  <si>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Reinforcing bar to Infrastructure</t>
    </r>
  </si>
  <si>
    <r>
      <rPr>
        <rFont val="Cambria"/>
        <color theme="1"/>
        <sz val="10.0"/>
      </rPr>
      <t>30,49</t>
    </r>
  </si>
  <si>
    <r>
      <rPr>
        <rFont val="Cambria"/>
        <color theme="1"/>
        <sz val="10.0"/>
      </rPr>
      <t>Reinforcing bar to Export</t>
    </r>
  </si>
  <si>
    <r>
      <rPr>
        <rFont val="Cambria"/>
        <color theme="1"/>
        <sz val="10.0"/>
      </rPr>
      <t>30,50</t>
    </r>
  </si>
  <si>
    <r>
      <rPr>
        <rFont val="Cambria"/>
        <color theme="1"/>
        <sz val="10.0"/>
      </rPr>
      <t>Reinforcing bar to Scrap</t>
    </r>
  </si>
  <si>
    <r>
      <rPr>
        <rFont val="Cambria"/>
        <color theme="1"/>
        <sz val="10.0"/>
      </rPr>
      <t>30,52</t>
    </r>
  </si>
  <si>
    <r>
      <rPr>
        <rFont val="Cambria"/>
        <color theme="1"/>
        <sz val="10.0"/>
      </rPr>
      <t>Reinforcing bar Node in</t>
    </r>
  </si>
  <si>
    <r>
      <rPr>
        <rFont val="Cambria"/>
        <color theme="1"/>
        <sz val="10.0"/>
      </rPr>
      <t>30,53</t>
    </r>
  </si>
  <si>
    <r>
      <rPr>
        <rFont val="Cambria"/>
        <color theme="1"/>
        <sz val="10.0"/>
      </rPr>
      <t>Reinforcing bar Node out</t>
    </r>
  </si>
  <si>
    <r>
      <rPr>
        <rFont val="Cambria"/>
        <color theme="1"/>
        <sz val="10.0"/>
      </rPr>
      <t>30,54</t>
    </r>
  </si>
  <si>
    <r>
      <rPr>
        <rFont val="Cambria"/>
        <color theme="1"/>
        <sz val="10.0"/>
      </rPr>
      <t>Reinforcing bar Yield ratio</t>
    </r>
  </si>
  <si>
    <r>
      <rPr>
        <rFont val="Cambria"/>
        <color rgb="FF000000"/>
        <sz val="10.0"/>
      </rPr>
      <t xml:space="preserve">31,39,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</si>
  <si>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Wire   to Buildings</t>
    </r>
  </si>
  <si>
    <r>
      <rPr>
        <rFont val="Cambria"/>
        <color rgb="FF000000"/>
        <sz val="10.0"/>
      </rPr>
      <t xml:space="preserve">31,40,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</si>
  <si>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Wire   to Infrastructure</t>
    </r>
  </si>
  <si>
    <r>
      <rPr>
        <rFont val="Cambria"/>
        <color rgb="FF000000"/>
        <sz val="10.0"/>
      </rPr>
      <t xml:space="preserve">31,41,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</si>
  <si>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Wire   to Cars</t>
    </r>
  </si>
  <si>
    <r>
      <rPr>
        <rFont val="Cambria"/>
        <color rgb="FF000000"/>
        <sz val="10.0"/>
      </rPr>
      <t xml:space="preserve">31,42,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</si>
  <si>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Wire   to Trucks</t>
    </r>
  </si>
  <si>
    <r>
      <rPr>
        <rFont val="Cambria"/>
        <color rgb="FF000000"/>
        <sz val="10.0"/>
      </rPr>
      <t xml:space="preserve">31,43,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</si>
  <si>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Wire   to Machinery/Eq uipment</t>
    </r>
  </si>
  <si>
    <r>
      <rPr>
        <rFont val="Cambria"/>
        <color rgb="FF000000"/>
        <sz val="10.0"/>
      </rPr>
      <t xml:space="preserve">31,44,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</si>
  <si>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Wire   to Energy</t>
    </r>
  </si>
  <si>
    <r>
      <rPr>
        <rFont val="Cambria"/>
        <color rgb="FF000000"/>
        <sz val="10.0"/>
      </rPr>
      <t xml:space="preserve">31,45,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</si>
  <si>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Wire   to Other/Homela nd Security</t>
    </r>
  </si>
  <si>
    <r>
      <rPr>
        <rFont val="Cambria"/>
        <color theme="1"/>
        <sz val="10.0"/>
      </rPr>
      <t>31,49</t>
    </r>
  </si>
  <si>
    <r>
      <rPr>
        <rFont val="Cambria"/>
        <color theme="1"/>
        <sz val="10.0"/>
      </rPr>
      <t>Wire   to Export</t>
    </r>
  </si>
  <si>
    <r>
      <rPr>
        <rFont val="Cambria"/>
        <color theme="1"/>
        <sz val="10.0"/>
      </rPr>
      <t>31,50</t>
    </r>
  </si>
  <si>
    <r>
      <rPr>
        <rFont val="Cambria"/>
        <color theme="1"/>
        <sz val="10.0"/>
      </rPr>
      <t>Wire   to Scrap</t>
    </r>
  </si>
  <si>
    <r>
      <rPr>
        <rFont val="Cambria"/>
        <color theme="1"/>
        <sz val="10.0"/>
      </rPr>
      <t>31,52</t>
    </r>
  </si>
  <si>
    <r>
      <rPr>
        <rFont val="Cambria"/>
        <color theme="1"/>
        <sz val="10.0"/>
      </rPr>
      <t>Wire   Node in</t>
    </r>
  </si>
  <si>
    <r>
      <rPr>
        <rFont val="Cambria"/>
        <color theme="1"/>
        <sz val="10.0"/>
      </rPr>
      <t>31,53</t>
    </r>
  </si>
  <si>
    <r>
      <rPr>
        <rFont val="Cambria"/>
        <color theme="1"/>
        <sz val="10.0"/>
      </rPr>
      <t>Wire   Node out</t>
    </r>
  </si>
  <si>
    <r>
      <rPr>
        <rFont val="Cambria"/>
        <color theme="1"/>
        <sz val="10.0"/>
      </rPr>
      <t>31,54</t>
    </r>
  </si>
  <si>
    <r>
      <rPr>
        <rFont val="Cambria"/>
        <color theme="1"/>
        <sz val="10.0"/>
      </rPr>
      <t>Wire   Yield ratio</t>
    </r>
  </si>
  <si>
    <r>
      <rPr>
        <rFont val="Cambria"/>
        <color rgb="FF000000"/>
        <sz val="10.0"/>
      </rPr>
      <t xml:space="preserve">32,39,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</si>
  <si>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Bar to Buildings</t>
    </r>
  </si>
  <si>
    <r>
      <rPr>
        <rFont val="Cambria"/>
        <color rgb="FF000000"/>
        <sz val="10.0"/>
      </rPr>
      <t xml:space="preserve">32,40,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</si>
  <si>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Bar to Infrastructure</t>
    </r>
  </si>
  <si>
    <r>
      <rPr>
        <rFont val="Cambria"/>
        <color rgb="FF000000"/>
        <sz val="10.0"/>
      </rPr>
      <t xml:space="preserve">32,41,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</si>
  <si>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Bar to Cars</t>
    </r>
  </si>
  <si>
    <r>
      <rPr>
        <rFont val="Cambria"/>
        <color rgb="FF000000"/>
        <sz val="10.0"/>
      </rPr>
      <t xml:space="preserve">32,42,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</si>
  <si>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Bar to Trucks</t>
    </r>
  </si>
  <si>
    <r>
      <rPr>
        <rFont val="Cambria"/>
        <color rgb="FF000000"/>
        <sz val="10.0"/>
      </rPr>
      <t xml:space="preserve">32,43,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</si>
  <si>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Bar to Machinery/Eq uipment</t>
    </r>
  </si>
  <si>
    <r>
      <rPr>
        <rFont val="Cambria"/>
        <color rgb="FF000000"/>
        <sz val="10.0"/>
      </rPr>
      <t xml:space="preserve">32,44,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</si>
  <si>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Bar to Energy</t>
    </r>
  </si>
  <si>
    <r>
      <rPr>
        <rFont val="Cambria"/>
        <color rgb="FF000000"/>
        <sz val="10.0"/>
      </rPr>
      <t xml:space="preserve">32,45,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</si>
  <si>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Bar to Other/Homela nd Security</t>
    </r>
  </si>
  <si>
    <r>
      <rPr>
        <rFont val="Cambria"/>
        <color theme="1"/>
        <sz val="10.0"/>
      </rPr>
      <t>32,49</t>
    </r>
  </si>
  <si>
    <r>
      <rPr>
        <rFont val="Cambria"/>
        <color theme="1"/>
        <sz val="10.0"/>
      </rPr>
      <t>Bar to Export</t>
    </r>
  </si>
  <si>
    <r>
      <rPr>
        <rFont val="Cambria"/>
        <color theme="1"/>
        <sz val="10.0"/>
      </rPr>
      <t>32,50</t>
    </r>
  </si>
  <si>
    <r>
      <rPr>
        <rFont val="Cambria"/>
        <color theme="1"/>
        <sz val="10.0"/>
      </rPr>
      <t>Bar to Scrap</t>
    </r>
  </si>
  <si>
    <r>
      <rPr>
        <rFont val="Cambria"/>
        <color theme="1"/>
        <sz val="10.0"/>
      </rPr>
      <t>32,52</t>
    </r>
  </si>
  <si>
    <r>
      <rPr>
        <rFont val="Cambria"/>
        <color theme="1"/>
        <sz val="10.0"/>
      </rPr>
      <t>Bar Node in</t>
    </r>
  </si>
  <si>
    <r>
      <rPr>
        <rFont val="Cambria"/>
        <color theme="1"/>
        <sz val="10.0"/>
      </rPr>
      <t>32,53</t>
    </r>
  </si>
  <si>
    <r>
      <rPr>
        <rFont val="Cambria"/>
        <color theme="1"/>
        <sz val="10.0"/>
      </rPr>
      <t>Bar Node out</t>
    </r>
  </si>
  <si>
    <r>
      <rPr>
        <rFont val="Cambria"/>
        <color theme="1"/>
        <sz val="10.0"/>
      </rPr>
      <t>32,54</t>
    </r>
  </si>
  <si>
    <r>
      <rPr>
        <rFont val="Cambria"/>
        <color theme="1"/>
        <sz val="10.0"/>
      </rPr>
      <t>Bar Yield ratio</t>
    </r>
  </si>
  <si>
    <r>
      <rPr>
        <rFont val="Cambria"/>
        <color rgb="FF000000"/>
        <sz val="10.0"/>
      </rPr>
      <t xml:space="preserve">33,39,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</si>
  <si>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Light Shaped bars to Buildings</t>
    </r>
  </si>
  <si>
    <r>
      <rPr>
        <rFont val="Cambria"/>
        <color rgb="FF000000"/>
        <sz val="10.0"/>
      </rPr>
      <t xml:space="preserve">33,40,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</si>
  <si>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Light Shaped bars to Infrastructure</t>
    </r>
  </si>
  <si>
    <r>
      <rPr>
        <rFont val="Cambria"/>
        <color rgb="FF000000"/>
        <sz val="10.0"/>
      </rPr>
      <t xml:space="preserve">33,41,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</si>
  <si>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Light Shaped bars to Cars</t>
    </r>
  </si>
  <si>
    <r>
      <rPr>
        <rFont val="Cambria"/>
        <color rgb="FF000000"/>
        <sz val="10.0"/>
      </rPr>
      <t xml:space="preserve">33,42,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</si>
  <si>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Light Shaped bars to Trucks</t>
    </r>
  </si>
  <si>
    <r>
      <rPr>
        <rFont val="Cambria"/>
        <color theme="1"/>
        <sz val="10.0"/>
      </rPr>
      <t>33,49</t>
    </r>
  </si>
  <si>
    <r>
      <rPr>
        <rFont val="Cambria"/>
        <color theme="1"/>
        <sz val="10.0"/>
      </rPr>
      <t>Light Shaped bars to Export</t>
    </r>
  </si>
  <si>
    <r>
      <rPr>
        <rFont val="Cambria"/>
        <color theme="1"/>
        <sz val="10.0"/>
      </rPr>
      <t>33,50</t>
    </r>
  </si>
  <si>
    <r>
      <rPr>
        <rFont val="Cambria"/>
        <color theme="1"/>
        <sz val="10.0"/>
      </rPr>
      <t>Light Shaped bars to Scrap</t>
    </r>
  </si>
  <si>
    <r>
      <rPr>
        <rFont val="Cambria"/>
        <color theme="1"/>
        <sz val="10.0"/>
      </rPr>
      <t>33,52</t>
    </r>
  </si>
  <si>
    <r>
      <rPr>
        <rFont val="Cambria"/>
        <color theme="1"/>
        <sz val="10.0"/>
      </rPr>
      <t>Light Shaped bars Node in</t>
    </r>
  </si>
  <si>
    <r>
      <rPr>
        <rFont val="Cambria"/>
        <color theme="1"/>
        <sz val="10.0"/>
      </rPr>
      <t>33,53</t>
    </r>
  </si>
  <si>
    <r>
      <rPr>
        <rFont val="Cambria"/>
        <color theme="1"/>
        <sz val="10.0"/>
      </rPr>
      <t>Light Shaped bars Node out</t>
    </r>
  </si>
  <si>
    <r>
      <rPr>
        <rFont val="Cambria"/>
        <color theme="1"/>
        <sz val="10.0"/>
      </rPr>
      <t>33,54</t>
    </r>
  </si>
  <si>
    <r>
      <rPr>
        <rFont val="Cambria"/>
        <color theme="1"/>
        <sz val="10.0"/>
      </rPr>
      <t>Light Shaped bars Yield ratio</t>
    </r>
  </si>
  <si>
    <r>
      <rPr>
        <rFont val="Cambria"/>
        <color rgb="FF000000"/>
        <sz val="10.0"/>
      </rPr>
      <t xml:space="preserve">34,39,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</si>
  <si>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Heavy sections to Buildings</t>
    </r>
  </si>
  <si>
    <r>
      <rPr>
        <rFont val="Cambria"/>
        <color rgb="FF000000"/>
        <sz val="10.0"/>
      </rPr>
      <t xml:space="preserve">34,40,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</si>
  <si>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Heavy sections to Infrastructure</t>
    </r>
  </si>
  <si>
    <r>
      <rPr>
        <rFont val="Cambria"/>
        <color theme="1"/>
        <sz val="10.0"/>
      </rPr>
      <t>34,49</t>
    </r>
  </si>
  <si>
    <r>
      <rPr>
        <rFont val="Cambria"/>
        <color theme="1"/>
        <sz val="10.0"/>
      </rPr>
      <t>Heavy sections to Export</t>
    </r>
  </si>
  <si>
    <r>
      <rPr>
        <rFont val="Cambria"/>
        <color theme="1"/>
        <sz val="10.0"/>
      </rPr>
      <t>34,50</t>
    </r>
  </si>
  <si>
    <r>
      <rPr>
        <rFont val="Cambria"/>
        <color theme="1"/>
        <sz val="10.0"/>
      </rPr>
      <t>Heavy sections to Scrap</t>
    </r>
  </si>
  <si>
    <r>
      <rPr>
        <rFont val="Cambria"/>
        <color theme="1"/>
        <sz val="10.0"/>
      </rPr>
      <t>34,52</t>
    </r>
  </si>
  <si>
    <r>
      <rPr>
        <rFont val="Cambria"/>
        <color theme="1"/>
        <sz val="10.0"/>
      </rPr>
      <t>Heavy sections Node in</t>
    </r>
  </si>
  <si>
    <r>
      <rPr>
        <rFont val="Cambria"/>
        <color theme="1"/>
        <sz val="10.0"/>
      </rPr>
      <t>34,53</t>
    </r>
  </si>
  <si>
    <r>
      <rPr>
        <rFont val="Cambria"/>
        <color theme="1"/>
        <sz val="10.0"/>
      </rPr>
      <t>Heavy sections Node out</t>
    </r>
  </si>
  <si>
    <r>
      <rPr>
        <rFont val="Cambria"/>
        <color theme="1"/>
        <sz val="10.0"/>
      </rPr>
      <t>34,54</t>
    </r>
  </si>
  <si>
    <r>
      <rPr>
        <rFont val="Cambria"/>
        <color theme="1"/>
        <sz val="10.0"/>
      </rPr>
      <t>Heavy sections Yield ratio</t>
    </r>
  </si>
  <si>
    <r>
      <rPr>
        <rFont val="Cambria"/>
        <color rgb="FF000000"/>
        <sz val="10.0"/>
      </rPr>
      <t xml:space="preserve">35,40,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</si>
  <si>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Rail to Infrastructure</t>
    </r>
  </si>
  <si>
    <r>
      <rPr>
        <rFont val="Cambria"/>
        <color rgb="FF000000"/>
        <sz val="10.0"/>
      </rPr>
      <t xml:space="preserve">35,43,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</si>
  <si>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Rail to Machinery/Eq uipment</t>
    </r>
  </si>
  <si>
    <r>
      <rPr>
        <rFont val="Cambria"/>
        <color theme="1"/>
        <sz val="10.0"/>
      </rPr>
      <t>35,49</t>
    </r>
  </si>
  <si>
    <r>
      <rPr>
        <rFont val="Cambria"/>
        <color theme="1"/>
        <sz val="10.0"/>
      </rPr>
      <t>Rail to Export</t>
    </r>
  </si>
  <si>
    <r>
      <rPr>
        <rFont val="Cambria"/>
        <color theme="1"/>
        <sz val="10.0"/>
      </rPr>
      <t>35,50</t>
    </r>
  </si>
  <si>
    <r>
      <rPr>
        <rFont val="Cambria"/>
        <color theme="1"/>
        <sz val="10.0"/>
      </rPr>
      <t>Rail to Scrap</t>
    </r>
  </si>
  <si>
    <r>
      <rPr>
        <rFont val="Cambria"/>
        <color theme="1"/>
        <sz val="10.0"/>
      </rPr>
      <t>35,52</t>
    </r>
  </si>
  <si>
    <r>
      <rPr>
        <rFont val="Cambria"/>
        <color theme="1"/>
        <sz val="10.0"/>
      </rPr>
      <t>Rail Node in</t>
    </r>
  </si>
  <si>
    <r>
      <rPr>
        <rFont val="Cambria"/>
        <color theme="1"/>
        <sz val="10.0"/>
      </rPr>
      <t>35,53</t>
    </r>
  </si>
  <si>
    <r>
      <rPr>
        <rFont val="Cambria"/>
        <color theme="1"/>
        <sz val="10.0"/>
      </rPr>
      <t>Rail Node out</t>
    </r>
  </si>
  <si>
    <r>
      <rPr>
        <rFont val="Cambria"/>
        <color theme="1"/>
        <sz val="10.0"/>
      </rPr>
      <t>35,54</t>
    </r>
  </si>
  <si>
    <r>
      <rPr>
        <rFont val="Cambria"/>
        <color theme="1"/>
        <sz val="10.0"/>
      </rPr>
      <t>Rail Yield ratio</t>
    </r>
  </si>
  <si>
    <r>
      <rPr>
        <rFont val="Cambria"/>
        <color theme="1"/>
        <sz val="10.0"/>
      </rPr>
      <t>36,18</t>
    </r>
  </si>
  <si>
    <r>
      <rPr>
        <rFont val="Cambria"/>
        <color theme="1"/>
        <sz val="10.0"/>
      </rPr>
      <t>Ingots, Billets, Blooms and Slabs to Primary Mill</t>
    </r>
  </si>
  <si>
    <r>
      <rPr>
        <rFont val="Cambria"/>
        <color theme="1"/>
        <sz val="10.0"/>
      </rPr>
      <t>36,49</t>
    </r>
  </si>
  <si>
    <r>
      <rPr>
        <rFont val="Cambria"/>
        <color theme="1"/>
        <sz val="10.0"/>
      </rPr>
      <t>Ingots, Billets, Blooms and Slabs to Export</t>
    </r>
  </si>
  <si>
    <r>
      <rPr>
        <rFont val="Cambria"/>
        <color theme="1"/>
        <sz val="10.0"/>
      </rPr>
      <t>36,52</t>
    </r>
  </si>
  <si>
    <r>
      <rPr>
        <rFont val="Cambria"/>
        <color theme="1"/>
        <sz val="10.0"/>
      </rPr>
      <t>Ingots, Billets, Blooms and Slabs Node in</t>
    </r>
  </si>
  <si>
    <r>
      <rPr>
        <rFont val="Cambria"/>
        <color theme="1"/>
        <sz val="10.0"/>
      </rPr>
      <t>36,53</t>
    </r>
  </si>
  <si>
    <r>
      <rPr>
        <rFont val="Cambria"/>
        <color theme="1"/>
        <sz val="10.0"/>
      </rPr>
      <t>Ingots, Billets, Blooms and Slabs Node out</t>
    </r>
  </si>
  <si>
    <r>
      <rPr>
        <rFont val="Cambria"/>
        <color theme="1"/>
        <sz val="10.0"/>
      </rPr>
      <t>36,54</t>
    </r>
  </si>
  <si>
    <r>
      <rPr>
        <rFont val="Cambria"/>
        <color theme="1"/>
        <sz val="10.0"/>
      </rPr>
      <t>Ingots, Billets, Blooms and Slabs Yield ratio</t>
    </r>
  </si>
  <si>
    <r>
      <rPr>
        <rFont val="Cambria"/>
        <color rgb="FF000000"/>
        <sz val="10.0"/>
      </rPr>
      <t xml:space="preserve">37,39,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</si>
  <si>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Steel Castings to Buildings</t>
    </r>
  </si>
  <si>
    <r>
      <rPr>
        <rFont val="Cambria"/>
        <color rgb="FF000000"/>
        <sz val="10.0"/>
      </rPr>
      <t xml:space="preserve">37,40,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</si>
  <si>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Steel Castings to Infrastructure</t>
    </r>
  </si>
  <si>
    <r>
      <rPr>
        <rFont val="Cambria"/>
        <color rgb="FF000000"/>
        <sz val="10.0"/>
      </rPr>
      <t xml:space="preserve">37,41,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</si>
  <si>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Steel Castings to Cars</t>
    </r>
  </si>
  <si>
    <r>
      <rPr>
        <rFont val="Cambria"/>
        <color rgb="FF000000"/>
        <sz val="10.0"/>
      </rPr>
      <t xml:space="preserve">37,42,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</si>
  <si>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Steel Castings to Trucks</t>
    </r>
  </si>
  <si>
    <r>
      <rPr>
        <rFont val="Cambria"/>
        <color rgb="FF000000"/>
        <sz val="10.0"/>
      </rPr>
      <t xml:space="preserve">37,43,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</si>
  <si>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Steel Castings to Machinery/Eq uipment</t>
    </r>
  </si>
  <si>
    <r>
      <rPr>
        <rFont val="Cambria"/>
        <color rgb="FF000000"/>
        <sz val="10.0"/>
      </rPr>
      <t xml:space="preserve">37,44,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</si>
  <si>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Steel Castings to Energy</t>
    </r>
  </si>
  <si>
    <r>
      <rPr>
        <rFont val="Cambria"/>
        <color theme="1"/>
        <sz val="10.0"/>
      </rPr>
      <t>37,52</t>
    </r>
  </si>
  <si>
    <r>
      <rPr>
        <rFont val="Cambria"/>
        <color theme="1"/>
        <sz val="10.0"/>
      </rPr>
      <t>Steel Castings Node in</t>
    </r>
  </si>
  <si>
    <r>
      <rPr>
        <rFont val="Cambria"/>
        <color theme="1"/>
        <sz val="10.0"/>
      </rPr>
      <t>37,53</t>
    </r>
  </si>
  <si>
    <r>
      <rPr>
        <rFont val="Cambria"/>
        <color theme="1"/>
        <sz val="10.0"/>
      </rPr>
      <t>Steel Castings Node out</t>
    </r>
  </si>
  <si>
    <r>
      <rPr>
        <rFont val="Cambria"/>
        <color theme="1"/>
        <sz val="10.0"/>
      </rPr>
      <t>37,54</t>
    </r>
  </si>
  <si>
    <r>
      <rPr>
        <rFont val="Cambria"/>
        <color theme="1"/>
        <sz val="10.0"/>
      </rPr>
      <t>Steel Castings Yield ratio</t>
    </r>
  </si>
  <si>
    <r>
      <rPr>
        <rFont val="Cambria"/>
        <color rgb="FF000000"/>
        <sz val="10.0"/>
      </rPr>
      <t xml:space="preserve">38,39,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</si>
  <si>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Iron Castings to Buildings</t>
    </r>
  </si>
  <si>
    <r>
      <rPr>
        <rFont val="Cambria"/>
        <color rgb="FF000000"/>
        <sz val="10.0"/>
      </rPr>
      <t xml:space="preserve">38,40,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</si>
  <si>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Iron Castings to Infrastructure</t>
    </r>
  </si>
  <si>
    <r>
      <rPr>
        <rFont val="Cambria"/>
        <color rgb="FF000000"/>
        <sz val="10.0"/>
      </rPr>
      <t xml:space="preserve">38,41,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</si>
  <si>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Iron Castings to Cars</t>
    </r>
  </si>
  <si>
    <r>
      <rPr>
        <rFont val="Cambria"/>
        <color rgb="FF000000"/>
        <sz val="10.0"/>
      </rPr>
      <t xml:space="preserve">38,42,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</si>
  <si>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Iron Castings to Trucks</t>
    </r>
  </si>
  <si>
    <r>
      <rPr>
        <rFont val="Cambria"/>
        <color rgb="FF000000"/>
        <sz val="10.0"/>
      </rPr>
      <t xml:space="preserve">38,43,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</si>
  <si>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Iron Castings to Machinery/Eq uipment</t>
    </r>
  </si>
  <si>
    <r>
      <rPr>
        <rFont val="Cambria"/>
        <color rgb="FF000000"/>
        <sz val="10.0"/>
      </rPr>
      <t xml:space="preserve">38,44,
</t>
    </r>
    <r>
      <rPr>
        <rFont val="Cambria"/>
        <color rgb="FF000000"/>
        <sz val="10.0"/>
      </rPr>
      <t>1</t>
    </r>
  </si>
  <si>
    <r>
      <rPr>
        <rFont val="Cambria"/>
        <color theme="1"/>
        <sz val="10.0"/>
      </rPr>
      <t>Iron Castings to Energy</t>
    </r>
  </si>
  <si>
    <r>
      <rPr>
        <rFont val="Cambria"/>
        <color theme="1"/>
        <sz val="10.0"/>
      </rPr>
      <t>38,52</t>
    </r>
  </si>
  <si>
    <r>
      <rPr>
        <rFont val="Cambria"/>
        <color theme="1"/>
        <sz val="10.0"/>
      </rPr>
      <t>Iron Castings Node in</t>
    </r>
  </si>
  <si>
    <r>
      <rPr>
        <rFont val="Cambria"/>
        <color theme="1"/>
        <sz val="10.0"/>
      </rPr>
      <t>38,53</t>
    </r>
  </si>
  <si>
    <r>
      <rPr>
        <rFont val="Cambria"/>
        <color theme="1"/>
        <sz val="10.0"/>
      </rPr>
      <t>Iron Castings Node out</t>
    </r>
  </si>
  <si>
    <r>
      <rPr>
        <rFont val="Cambria"/>
        <color theme="1"/>
        <sz val="10.0"/>
      </rPr>
      <t>38,54</t>
    </r>
  </si>
  <si>
    <r>
      <rPr>
        <rFont val="Cambria"/>
        <color theme="1"/>
        <sz val="10.0"/>
      </rPr>
      <t>Iron Castings Yield ratio</t>
    </r>
  </si>
  <si>
    <r>
      <rPr>
        <rFont val="Cambria"/>
        <color theme="1"/>
        <sz val="10.0"/>
      </rPr>
      <t>39,48</t>
    </r>
  </si>
  <si>
    <r>
      <rPr>
        <rFont val="Cambria"/>
        <color rgb="FF000000"/>
        <sz val="10.0"/>
      </rPr>
      <t xml:space="preserve">Buildings   to
</t>
    </r>
    <r>
      <rPr>
        <rFont val="Cambria"/>
        <color rgb="FF000000"/>
        <sz val="10.0"/>
      </rPr>
      <t>U.S. stocks</t>
    </r>
  </si>
  <si>
    <r>
      <rPr>
        <rFont val="Cambria"/>
        <color theme="1"/>
        <sz val="10.0"/>
      </rPr>
      <t>39,52</t>
    </r>
  </si>
  <si>
    <r>
      <rPr>
        <rFont val="Cambria"/>
        <color theme="1"/>
        <sz val="10.0"/>
      </rPr>
      <t>Buildings Node in</t>
    </r>
  </si>
  <si>
    <r>
      <rPr>
        <rFont val="Cambria"/>
        <color theme="1"/>
        <sz val="10.0"/>
      </rPr>
      <t>39,53</t>
    </r>
  </si>
  <si>
    <r>
      <rPr>
        <rFont val="Cambria"/>
        <color theme="1"/>
        <sz val="10.0"/>
      </rPr>
      <t>Buildings Node out</t>
    </r>
  </si>
  <si>
    <r>
      <rPr>
        <rFont val="Cambria"/>
        <color theme="1"/>
        <sz val="10.0"/>
      </rPr>
      <t>40,48</t>
    </r>
  </si>
  <si>
    <r>
      <rPr>
        <rFont val="Cambria"/>
        <color theme="1"/>
        <sz val="10.0"/>
      </rPr>
      <t>Infrastructure to U.S. stocks</t>
    </r>
  </si>
  <si>
    <r>
      <rPr>
        <rFont val="Cambria"/>
        <color theme="1"/>
        <sz val="10.0"/>
      </rPr>
      <t>40,52</t>
    </r>
  </si>
  <si>
    <r>
      <rPr>
        <rFont val="Cambria"/>
        <color theme="1"/>
        <sz val="10.0"/>
      </rPr>
      <t>Infrastructure Node in</t>
    </r>
  </si>
  <si>
    <r>
      <rPr>
        <rFont val="Cambria"/>
        <color theme="1"/>
        <sz val="10.0"/>
      </rPr>
      <t>40,53</t>
    </r>
  </si>
  <si>
    <r>
      <rPr>
        <rFont val="Cambria"/>
        <color theme="1"/>
        <sz val="10.0"/>
      </rPr>
      <t>Infrastructure Node out</t>
    </r>
  </si>
  <si>
    <r>
      <rPr>
        <rFont val="Cambria"/>
        <color theme="1"/>
        <sz val="10.0"/>
      </rPr>
      <t>41,48</t>
    </r>
  </si>
  <si>
    <r>
      <rPr>
        <rFont val="Cambria"/>
        <color theme="1"/>
        <sz val="10.0"/>
      </rPr>
      <t>Cars   to U.S. stocks</t>
    </r>
  </si>
  <si>
    <r>
      <rPr>
        <rFont val="Cambria"/>
        <color theme="1"/>
        <sz val="10.0"/>
      </rPr>
      <t>41,49</t>
    </r>
  </si>
  <si>
    <r>
      <rPr>
        <rFont val="Cambria"/>
        <color theme="1"/>
        <sz val="10.0"/>
      </rPr>
      <t>Cars   to Export</t>
    </r>
  </si>
  <si>
    <r>
      <rPr>
        <rFont val="Cambria"/>
        <color theme="1"/>
        <sz val="10.0"/>
      </rPr>
      <t>41,52</t>
    </r>
  </si>
  <si>
    <r>
      <rPr>
        <rFont val="Cambria"/>
        <color theme="1"/>
        <sz val="10.0"/>
      </rPr>
      <t>Cars   Node in</t>
    </r>
  </si>
  <si>
    <r>
      <rPr>
        <rFont val="Cambria"/>
        <color theme="1"/>
        <sz val="10.0"/>
      </rPr>
      <t>41,53</t>
    </r>
  </si>
  <si>
    <r>
      <rPr>
        <rFont val="Cambria"/>
        <color theme="1"/>
        <sz val="10.0"/>
      </rPr>
      <t>Cars   Node out</t>
    </r>
  </si>
  <si>
    <r>
      <rPr>
        <rFont val="Cambria"/>
        <color theme="1"/>
        <sz val="10.0"/>
      </rPr>
      <t>42,48</t>
    </r>
  </si>
  <si>
    <r>
      <rPr>
        <rFont val="Cambria"/>
        <color rgb="FF000000"/>
        <sz val="10.0"/>
      </rPr>
      <t xml:space="preserve">Trucks   to
</t>
    </r>
    <r>
      <rPr>
        <rFont val="Cambria"/>
        <color rgb="FF000000"/>
        <sz val="10.0"/>
      </rPr>
      <t>U.S. stocks</t>
    </r>
  </si>
  <si>
    <r>
      <rPr>
        <rFont val="Cambria"/>
        <color theme="1"/>
        <sz val="10.0"/>
      </rPr>
      <t>42,49</t>
    </r>
  </si>
  <si>
    <r>
      <rPr>
        <rFont val="Cambria"/>
        <color theme="1"/>
        <sz val="10.0"/>
      </rPr>
      <t>Trucks   to Export</t>
    </r>
  </si>
  <si>
    <r>
      <rPr>
        <rFont val="Cambria"/>
        <color theme="1"/>
        <sz val="10.0"/>
      </rPr>
      <t>42,52</t>
    </r>
  </si>
  <si>
    <r>
      <rPr>
        <rFont val="Cambria"/>
        <color theme="1"/>
        <sz val="10.0"/>
      </rPr>
      <t>Trucks   Node in</t>
    </r>
  </si>
  <si>
    <r>
      <rPr>
        <rFont val="Cambria"/>
        <color theme="1"/>
        <sz val="10.0"/>
      </rPr>
      <t>42,53</t>
    </r>
  </si>
  <si>
    <r>
      <rPr>
        <rFont val="Cambria"/>
        <color theme="1"/>
        <sz val="10.0"/>
      </rPr>
      <t>Trucks   Node out</t>
    </r>
  </si>
  <si>
    <r>
      <rPr>
        <rFont val="Cambria"/>
        <color theme="1"/>
        <sz val="10.0"/>
      </rPr>
      <t>43,48</t>
    </r>
  </si>
  <si>
    <r>
      <rPr>
        <rFont val="Cambria"/>
        <color rgb="FF000000"/>
        <sz val="10.0"/>
      </rPr>
      <t xml:space="preserve">Machinery/Eq uipment to
</t>
    </r>
    <r>
      <rPr>
        <rFont val="Cambria"/>
        <color rgb="FF000000"/>
        <sz val="10.0"/>
      </rPr>
      <t>U.S. stocks</t>
    </r>
  </si>
  <si>
    <r>
      <rPr>
        <rFont val="Cambria"/>
        <color theme="1"/>
        <sz val="10.0"/>
      </rPr>
      <t>43,49</t>
    </r>
  </si>
  <si>
    <r>
      <rPr>
        <rFont val="Cambria"/>
        <color theme="1"/>
        <sz val="10.0"/>
      </rPr>
      <t>Machinery/Eq uipment to Export</t>
    </r>
  </si>
  <si>
    <r>
      <rPr>
        <rFont val="Cambria"/>
        <color theme="1"/>
        <sz val="10.0"/>
      </rPr>
      <t>43,52</t>
    </r>
  </si>
  <si>
    <r>
      <rPr>
        <rFont val="Cambria"/>
        <color theme="1"/>
        <sz val="10.0"/>
      </rPr>
      <t>Machinery/Eq uipment Node in</t>
    </r>
  </si>
  <si>
    <r>
      <rPr>
        <rFont val="Cambria"/>
        <color theme="1"/>
        <sz val="10.0"/>
      </rPr>
      <t>43,53</t>
    </r>
  </si>
  <si>
    <r>
      <rPr>
        <rFont val="Cambria"/>
        <color theme="1"/>
        <sz val="10.0"/>
      </rPr>
      <t>Machinery/Eq uipment Node out</t>
    </r>
  </si>
  <si>
    <r>
      <rPr>
        <rFont val="Cambria"/>
        <color theme="1"/>
        <sz val="10.0"/>
      </rPr>
      <t>44,48</t>
    </r>
  </si>
  <si>
    <r>
      <rPr>
        <rFont val="Cambria"/>
        <color rgb="FF000000"/>
        <sz val="10.0"/>
      </rPr>
      <t xml:space="preserve">Energy to
</t>
    </r>
    <r>
      <rPr>
        <rFont val="Cambria"/>
        <color rgb="FF000000"/>
        <sz val="10.0"/>
      </rPr>
      <t>U.S. stocks</t>
    </r>
  </si>
  <si>
    <r>
      <rPr>
        <rFont val="Cambria"/>
        <color theme="1"/>
        <sz val="10.0"/>
      </rPr>
      <t>44,49</t>
    </r>
  </si>
  <si>
    <r>
      <rPr>
        <rFont val="Cambria"/>
        <color theme="1"/>
        <sz val="10.0"/>
      </rPr>
      <t>Energy to Export</t>
    </r>
  </si>
  <si>
    <r>
      <rPr>
        <rFont val="Cambria"/>
        <color theme="1"/>
        <sz val="10.0"/>
      </rPr>
      <t>44,52</t>
    </r>
  </si>
  <si>
    <r>
      <rPr>
        <rFont val="Cambria"/>
        <color theme="1"/>
        <sz val="10.0"/>
      </rPr>
      <t>Energy Node in</t>
    </r>
  </si>
  <si>
    <r>
      <rPr>
        <rFont val="Cambria"/>
        <color theme="1"/>
        <sz val="10.0"/>
      </rPr>
      <t>44,53</t>
    </r>
  </si>
  <si>
    <r>
      <rPr>
        <rFont val="Cambria"/>
        <color theme="1"/>
        <sz val="10.0"/>
      </rPr>
      <t>Energy Node out</t>
    </r>
  </si>
  <si>
    <r>
      <rPr>
        <rFont val="Cambria"/>
        <color theme="1"/>
        <sz val="10.0"/>
      </rPr>
      <t>45,48</t>
    </r>
  </si>
  <si>
    <r>
      <rPr>
        <rFont val="Cambria"/>
        <color rgb="FF000000"/>
        <sz val="10.0"/>
      </rPr>
      <t xml:space="preserve">Other/Homela nd Security to
</t>
    </r>
    <r>
      <rPr>
        <rFont val="Cambria"/>
        <color rgb="FF000000"/>
        <sz val="10.0"/>
      </rPr>
      <t>U.S. stocks</t>
    </r>
  </si>
  <si>
    <r>
      <rPr>
        <rFont val="Cambria"/>
        <color theme="1"/>
        <sz val="10.0"/>
      </rPr>
      <t>45,49</t>
    </r>
  </si>
  <si>
    <r>
      <rPr>
        <rFont val="Cambria"/>
        <color theme="1"/>
        <sz val="10.0"/>
      </rPr>
      <t>Other/Homela nd Security to Export</t>
    </r>
  </si>
  <si>
    <r>
      <rPr>
        <rFont val="Cambria"/>
        <color theme="1"/>
        <sz val="10.0"/>
      </rPr>
      <t>45,52</t>
    </r>
  </si>
  <si>
    <r>
      <rPr>
        <rFont val="Cambria"/>
        <color theme="1"/>
        <sz val="10.0"/>
      </rPr>
      <t>Other/Homela nd Security Node in</t>
    </r>
  </si>
  <si>
    <r>
      <rPr>
        <rFont val="Cambria"/>
        <color theme="1"/>
        <sz val="10.0"/>
      </rPr>
      <t>45,53</t>
    </r>
  </si>
  <si>
    <r>
      <rPr>
        <rFont val="Cambria"/>
        <color theme="1"/>
        <sz val="10.0"/>
      </rPr>
      <t>Other/Homela nd Security Node out</t>
    </r>
  </si>
  <si>
    <r>
      <rPr>
        <rFont val="Cambria"/>
        <color theme="1"/>
        <sz val="10.0"/>
      </rPr>
      <t>46,48</t>
    </r>
  </si>
  <si>
    <r>
      <rPr>
        <rFont val="Cambria"/>
        <color rgb="FF000000"/>
        <sz val="10.0"/>
      </rPr>
      <t xml:space="preserve">Domestic Appliances to
</t>
    </r>
    <r>
      <rPr>
        <rFont val="Cambria"/>
        <color rgb="FF000000"/>
        <sz val="10.0"/>
      </rPr>
      <t>U.S. stocks</t>
    </r>
  </si>
  <si>
    <r>
      <rPr>
        <rFont val="Cambria"/>
        <color theme="1"/>
        <sz val="10.0"/>
      </rPr>
      <t>46,49</t>
    </r>
  </si>
  <si>
    <r>
      <rPr>
        <rFont val="Cambria"/>
        <color theme="1"/>
        <sz val="10.0"/>
      </rPr>
      <t>Domestic Appliances to Export</t>
    </r>
  </si>
  <si>
    <r>
      <rPr>
        <rFont val="Cambria"/>
        <color theme="1"/>
        <sz val="10.0"/>
      </rPr>
      <t>46,52</t>
    </r>
  </si>
  <si>
    <r>
      <rPr>
        <rFont val="Cambria"/>
        <color theme="1"/>
        <sz val="10.0"/>
      </rPr>
      <t>Domestic Appliances Node in</t>
    </r>
  </si>
  <si>
    <r>
      <rPr>
        <rFont val="Cambria"/>
        <color theme="1"/>
        <sz val="10.0"/>
      </rPr>
      <t>46,53</t>
    </r>
  </si>
  <si>
    <r>
      <rPr>
        <rFont val="Cambria"/>
        <color theme="1"/>
        <sz val="10.0"/>
      </rPr>
      <t>Domestic Appliances Node out</t>
    </r>
  </si>
  <si>
    <r>
      <rPr>
        <rFont val="Cambria"/>
        <color theme="1"/>
        <sz val="10.0"/>
      </rPr>
      <t>47,48</t>
    </r>
  </si>
  <si>
    <r>
      <rPr>
        <rFont val="Cambria"/>
        <color rgb="FF000000"/>
        <sz val="10.0"/>
      </rPr>
      <t xml:space="preserve">Containers to
</t>
    </r>
    <r>
      <rPr>
        <rFont val="Cambria"/>
        <color rgb="FF000000"/>
        <sz val="10.0"/>
      </rPr>
      <t>U.S. stocks</t>
    </r>
  </si>
  <si>
    <r>
      <rPr>
        <rFont val="Cambria"/>
        <color theme="1"/>
        <sz val="10.0"/>
      </rPr>
      <t>47,49</t>
    </r>
  </si>
  <si>
    <r>
      <rPr>
        <rFont val="Cambria"/>
        <color theme="1"/>
        <sz val="10.0"/>
      </rPr>
      <t>Containers to Export</t>
    </r>
  </si>
  <si>
    <r>
      <rPr>
        <rFont val="Cambria"/>
        <color theme="1"/>
        <sz val="10.0"/>
      </rPr>
      <t>47,52</t>
    </r>
  </si>
  <si>
    <r>
      <rPr>
        <rFont val="Cambria"/>
        <color theme="1"/>
        <sz val="10.0"/>
      </rPr>
      <t>Containers Node in</t>
    </r>
  </si>
  <si>
    <r>
      <rPr>
        <rFont val="Cambria"/>
        <color theme="1"/>
        <sz val="10.0"/>
      </rPr>
      <t>47,53</t>
    </r>
  </si>
  <si>
    <r>
      <rPr>
        <rFont val="Cambria"/>
        <color theme="1"/>
        <sz val="10.0"/>
      </rPr>
      <t>Containers Node out</t>
    </r>
  </si>
  <si>
    <r>
      <rPr>
        <rFont val="Cambria"/>
        <color theme="1"/>
        <sz val="10.0"/>
      </rPr>
      <t>48,1</t>
    </r>
  </si>
  <si>
    <r>
      <rPr>
        <rFont val="Cambria"/>
        <color theme="1"/>
        <sz val="10.0"/>
      </rPr>
      <t>Import to Iron ore</t>
    </r>
  </si>
  <si>
    <r>
      <rPr>
        <rFont val="Cambria"/>
        <color theme="1"/>
        <sz val="10.0"/>
      </rPr>
      <t>48,3</t>
    </r>
  </si>
  <si>
    <r>
      <rPr>
        <rFont val="Cambria"/>
        <color theme="1"/>
        <sz val="10.0"/>
      </rPr>
      <t>Import to Direct Reduction</t>
    </r>
  </si>
  <si>
    <r>
      <rPr>
        <rFont val="Cambria"/>
        <color theme="1"/>
        <sz val="10.0"/>
      </rPr>
      <t>48,5</t>
    </r>
  </si>
  <si>
    <r>
      <rPr>
        <rFont val="Cambria"/>
        <color theme="1"/>
        <sz val="10.0"/>
      </rPr>
      <t>Import to Basic Oxygen Furnace</t>
    </r>
  </si>
  <si>
    <r>
      <rPr>
        <rFont val="Cambria"/>
        <color theme="1"/>
        <sz val="10.0"/>
      </rPr>
      <t>48,6</t>
    </r>
  </si>
  <si>
    <r>
      <rPr>
        <rFont val="Cambria"/>
        <color theme="1"/>
        <sz val="10.0"/>
      </rPr>
      <t>Import to Electric Arc Furnace</t>
    </r>
  </si>
  <si>
    <r>
      <rPr>
        <rFont val="Cambria"/>
        <color theme="1"/>
        <sz val="10.0"/>
      </rPr>
      <t>48,7</t>
    </r>
  </si>
  <si>
    <r>
      <rPr>
        <rFont val="Cambria"/>
        <color theme="1"/>
        <sz val="10.0"/>
      </rPr>
      <t>Import to Cupola Furnace</t>
    </r>
  </si>
  <si>
    <r>
      <rPr>
        <rFont val="Cambria"/>
        <color theme="1"/>
        <sz val="10.0"/>
      </rPr>
      <t>48,12</t>
    </r>
  </si>
  <si>
    <r>
      <rPr>
        <rFont val="Cambria"/>
        <color theme="1"/>
        <sz val="10.0"/>
      </rPr>
      <t>Import to Steel Product Casting</t>
    </r>
  </si>
  <si>
    <r>
      <rPr>
        <rFont val="Cambria"/>
        <color theme="1"/>
        <sz val="10.0"/>
      </rPr>
      <t>48,13</t>
    </r>
  </si>
  <si>
    <r>
      <rPr>
        <rFont val="Cambria"/>
        <color theme="1"/>
        <sz val="10.0"/>
      </rPr>
      <t>Import to Foundry Iron Casting</t>
    </r>
  </si>
  <si>
    <r>
      <rPr>
        <rFont val="Cambria"/>
        <color theme="1"/>
        <sz val="10.0"/>
      </rPr>
      <t>48,24</t>
    </r>
  </si>
  <si>
    <r>
      <rPr>
        <rFont val="Cambria"/>
        <color theme="1"/>
        <sz val="10.0"/>
      </rPr>
      <t>Import to HR Sheet and strip</t>
    </r>
  </si>
  <si>
    <r>
      <rPr>
        <rFont val="Cambria"/>
        <color theme="1"/>
        <sz val="10.0"/>
      </rPr>
      <t>48,25</t>
    </r>
  </si>
  <si>
    <r>
      <rPr>
        <rFont val="Cambria"/>
        <color theme="1"/>
        <sz val="10.0"/>
      </rPr>
      <t>Import to CR Sheet and strip</t>
    </r>
  </si>
  <si>
    <r>
      <rPr>
        <rFont val="Cambria"/>
        <color theme="1"/>
        <sz val="10.0"/>
      </rPr>
      <t>48,26</t>
    </r>
  </si>
  <si>
    <r>
      <rPr>
        <rFont val="Cambria"/>
        <color theme="1"/>
        <sz val="10.0"/>
      </rPr>
      <t>Import to Galvanized</t>
    </r>
  </si>
  <si>
    <r>
      <rPr>
        <rFont val="Cambria"/>
        <color theme="1"/>
        <sz val="10.0"/>
      </rPr>
      <t>48,27</t>
    </r>
  </si>
  <si>
    <r>
      <rPr>
        <rFont val="Cambria"/>
        <color theme="1"/>
        <sz val="10.0"/>
      </rPr>
      <t>Import to Tin mill products</t>
    </r>
  </si>
  <si>
    <r>
      <rPr>
        <rFont val="Cambria"/>
        <color theme="1"/>
        <sz val="10.0"/>
      </rPr>
      <t>48,28</t>
    </r>
  </si>
  <si>
    <r>
      <rPr>
        <rFont val="Cambria"/>
        <color theme="1"/>
        <sz val="10.0"/>
      </rPr>
      <t>Import to pipe and tubing</t>
    </r>
  </si>
  <si>
    <r>
      <rPr>
        <rFont val="Cambria"/>
        <color theme="1"/>
        <sz val="10.0"/>
      </rPr>
      <t>48,29</t>
    </r>
  </si>
  <si>
    <r>
      <rPr>
        <rFont val="Cambria"/>
        <color theme="1"/>
        <sz val="10.0"/>
      </rPr>
      <t>Import to Plates</t>
    </r>
  </si>
  <si>
    <r>
      <rPr>
        <rFont val="Cambria"/>
        <color theme="1"/>
        <sz val="10.0"/>
      </rPr>
      <t>48,30</t>
    </r>
  </si>
  <si>
    <r>
      <rPr>
        <rFont val="Cambria"/>
        <color theme="1"/>
        <sz val="10.0"/>
      </rPr>
      <t>Import to Reinforcing bar</t>
    </r>
  </si>
  <si>
    <r>
      <rPr>
        <rFont val="Cambria"/>
        <color theme="1"/>
        <sz val="10.0"/>
      </rPr>
      <t>48,31</t>
    </r>
  </si>
  <si>
    <r>
      <rPr>
        <rFont val="Cambria"/>
        <color theme="1"/>
        <sz val="10.0"/>
      </rPr>
      <t>Import to Wire and wire rods</t>
    </r>
  </si>
  <si>
    <r>
      <rPr>
        <rFont val="Cambria"/>
        <color theme="1"/>
        <sz val="10.0"/>
      </rPr>
      <t>48,32</t>
    </r>
  </si>
  <si>
    <r>
      <rPr>
        <rFont val="Cambria"/>
        <color theme="1"/>
        <sz val="10.0"/>
      </rPr>
      <t>Import to Bar</t>
    </r>
  </si>
  <si>
    <r>
      <rPr>
        <rFont val="Cambria"/>
        <color theme="1"/>
        <sz val="10.0"/>
      </rPr>
      <t>48,33</t>
    </r>
  </si>
  <si>
    <r>
      <rPr>
        <rFont val="Cambria"/>
        <color theme="1"/>
        <sz val="10.0"/>
      </rPr>
      <t>Import to Light Shaped bars</t>
    </r>
  </si>
  <si>
    <r>
      <rPr>
        <rFont val="Cambria"/>
        <color theme="1"/>
        <sz val="10.0"/>
      </rPr>
      <t>48,34</t>
    </r>
  </si>
  <si>
    <r>
      <rPr>
        <rFont val="Cambria"/>
        <color theme="1"/>
        <sz val="10.0"/>
      </rPr>
      <t>Import to Heavy sections</t>
    </r>
  </si>
  <si>
    <r>
      <rPr>
        <rFont val="Cambria"/>
        <color theme="1"/>
        <sz val="10.0"/>
      </rPr>
      <t>48,35</t>
    </r>
  </si>
  <si>
    <r>
      <rPr>
        <rFont val="Cambria"/>
        <color theme="1"/>
        <sz val="10.0"/>
      </rPr>
      <t>Import to Rail</t>
    </r>
  </si>
  <si>
    <r>
      <rPr>
        <rFont val="Cambria"/>
        <color theme="1"/>
        <sz val="10.0"/>
      </rPr>
      <t>48,36</t>
    </r>
  </si>
  <si>
    <r>
      <rPr>
        <rFont val="Cambria"/>
        <color theme="1"/>
        <sz val="10.0"/>
      </rPr>
      <t>Import to Ingots, Billets, Blooms and Slabs</t>
    </r>
  </si>
  <si>
    <r>
      <rPr>
        <rFont val="Cambria"/>
        <color theme="1"/>
        <sz val="10.0"/>
      </rPr>
      <t>48,37</t>
    </r>
  </si>
  <si>
    <r>
      <rPr>
        <rFont val="Cambria"/>
        <color theme="1"/>
        <sz val="10.0"/>
      </rPr>
      <t>Import to Steel Castings</t>
    </r>
  </si>
  <si>
    <r>
      <rPr>
        <rFont val="Cambria"/>
        <color theme="1"/>
        <sz val="10.0"/>
      </rPr>
      <t>48,38</t>
    </r>
  </si>
  <si>
    <r>
      <rPr>
        <rFont val="Cambria"/>
        <color theme="1"/>
        <sz val="10.0"/>
      </rPr>
      <t>Import to Iron Castings</t>
    </r>
  </si>
  <si>
    <r>
      <rPr>
        <rFont val="Cambria"/>
        <color theme="1"/>
        <sz val="10.0"/>
      </rPr>
      <t>48,41</t>
    </r>
  </si>
  <si>
    <r>
      <rPr>
        <rFont val="Cambria"/>
        <color theme="1"/>
        <sz val="10.0"/>
      </rPr>
      <t>Import to Cars</t>
    </r>
  </si>
  <si>
    <r>
      <rPr>
        <rFont val="Cambria"/>
        <color theme="1"/>
        <sz val="10.0"/>
      </rPr>
      <t>48,42</t>
    </r>
  </si>
  <si>
    <r>
      <rPr>
        <rFont val="Cambria"/>
        <color theme="1"/>
        <sz val="10.0"/>
      </rPr>
      <t>Import to Trucks</t>
    </r>
  </si>
  <si>
    <r>
      <rPr>
        <rFont val="Cambria"/>
        <color theme="1"/>
        <sz val="10.0"/>
      </rPr>
      <t>48,43</t>
    </r>
  </si>
  <si>
    <r>
      <rPr>
        <rFont val="Cambria"/>
        <color theme="1"/>
        <sz val="10.0"/>
      </rPr>
      <t>Import to Machinery/Eq uipment</t>
    </r>
  </si>
  <si>
    <r>
      <rPr>
        <rFont val="Cambria"/>
        <color theme="1"/>
        <sz val="10.0"/>
      </rPr>
      <t>48,44</t>
    </r>
  </si>
  <si>
    <r>
      <rPr>
        <rFont val="Cambria"/>
        <color theme="1"/>
        <sz val="10.0"/>
      </rPr>
      <t>Import to Energy</t>
    </r>
  </si>
  <si>
    <r>
      <rPr>
        <rFont val="Cambria"/>
        <color theme="1"/>
        <sz val="10.0"/>
      </rPr>
      <t>48,45</t>
    </r>
  </si>
  <si>
    <r>
      <rPr>
        <rFont val="Cambria"/>
        <color theme="1"/>
        <sz val="10.0"/>
      </rPr>
      <t>Import to Other/Homela nd Security</t>
    </r>
  </si>
  <si>
    <r>
      <rPr>
        <rFont val="Cambria"/>
        <color theme="1"/>
        <sz val="10.0"/>
      </rPr>
      <t>48,46</t>
    </r>
  </si>
  <si>
    <r>
      <rPr>
        <rFont val="Cambria"/>
        <color theme="1"/>
        <sz val="10.0"/>
      </rPr>
      <t>Import to Domestic Appliances</t>
    </r>
  </si>
  <si>
    <r>
      <rPr>
        <rFont val="Cambria"/>
        <color theme="1"/>
        <sz val="10.0"/>
      </rPr>
      <t>48,47</t>
    </r>
  </si>
  <si>
    <r>
      <rPr>
        <rFont val="Cambria"/>
        <color theme="1"/>
        <sz val="10.0"/>
      </rPr>
      <t>Import to Containers</t>
    </r>
  </si>
  <si>
    <r>
      <rPr>
        <rFont val="Cambria"/>
        <color theme="1"/>
        <sz val="10.0"/>
      </rPr>
      <t>48,52</t>
    </r>
  </si>
  <si>
    <r>
      <rPr>
        <rFont val="Cambria"/>
        <color theme="1"/>
        <sz val="10.0"/>
      </rPr>
      <t>Import Node in</t>
    </r>
  </si>
  <si>
    <r>
      <rPr>
        <rFont val="Cambria"/>
        <color theme="1"/>
        <sz val="10.0"/>
      </rPr>
      <t>48,53</t>
    </r>
  </si>
  <si>
    <r>
      <rPr>
        <rFont val="Cambria"/>
        <color theme="1"/>
        <sz val="10.0"/>
      </rPr>
      <t>Import Node out</t>
    </r>
  </si>
  <si>
    <r>
      <rPr>
        <rFont val="Cambria"/>
        <color theme="1"/>
        <sz val="10.0"/>
      </rPr>
      <t>48,54</t>
    </r>
  </si>
  <si>
    <r>
      <rPr>
        <rFont val="Cambria"/>
        <color theme="1"/>
        <sz val="10.0"/>
      </rPr>
      <t>Import Yield ratio</t>
    </r>
  </si>
  <si>
    <r>
      <rPr>
        <rFont val="Cambria"/>
        <color theme="1"/>
        <sz val="10.0"/>
      </rPr>
      <t>48,55</t>
    </r>
  </si>
  <si>
    <r>
      <rPr>
        <rFont val="Cambria"/>
        <color theme="1"/>
        <sz val="10.0"/>
      </rPr>
      <t>Import Unconvention al</t>
    </r>
  </si>
  <si>
    <r>
      <rPr>
        <rFont val="Cambria"/>
        <color theme="1"/>
        <sz val="10.0"/>
      </rPr>
      <t>50,4</t>
    </r>
  </si>
  <si>
    <r>
      <rPr>
        <rFont val="Cambria"/>
        <color theme="1"/>
        <sz val="10.0"/>
      </rPr>
      <t>Scrap to Scrap Prep</t>
    </r>
  </si>
  <si>
    <r>
      <rPr>
        <rFont val="Cambria"/>
        <color theme="1"/>
        <sz val="10.0"/>
      </rPr>
      <t>Fabrication Scrap (no data sources available)</t>
    </r>
  </si>
  <si>
    <r>
      <rPr>
        <rFont val="Cambria"/>
        <color rgb="FF000000"/>
        <sz val="10.0"/>
      </rPr>
      <t xml:space="preserve">24,39,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</si>
  <si>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HR Sheet to Buildings Scrap</t>
    </r>
  </si>
  <si>
    <r>
      <rPr>
        <rFont val="Cambria"/>
        <color rgb="FF000000"/>
        <sz val="10.0"/>
      </rPr>
      <t xml:space="preserve">24,40,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</si>
  <si>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HR Sheet to Infrastructure Scrap</t>
    </r>
  </si>
  <si>
    <r>
      <rPr>
        <rFont val="Cambria"/>
        <color rgb="FF000000"/>
        <sz val="10.0"/>
      </rPr>
      <t xml:space="preserve">24,41,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</si>
  <si>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HR Sheet to Cars   Scrap</t>
    </r>
  </si>
  <si>
    <r>
      <rPr>
        <rFont val="Cambria"/>
        <color rgb="FF000000"/>
        <sz val="10.0"/>
      </rPr>
      <t xml:space="preserve">24,42,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</si>
  <si>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HR Sheet to Trucks   Scrap</t>
    </r>
  </si>
  <si>
    <r>
      <rPr>
        <rFont val="Cambria"/>
        <color rgb="FF000000"/>
        <sz val="10.0"/>
      </rPr>
      <t xml:space="preserve">24,43,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</si>
  <si>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HR Sheet to Machinery/Eq uipment Scrap</t>
    </r>
  </si>
  <si>
    <r>
      <rPr>
        <rFont val="Cambria"/>
        <color rgb="FF000000"/>
        <sz val="10.0"/>
      </rPr>
      <t xml:space="preserve">24,44,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</si>
  <si>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HR Sheet to Energy Scrap</t>
    </r>
  </si>
  <si>
    <r>
      <rPr>
        <rFont val="Cambria"/>
        <color rgb="FF000000"/>
        <sz val="10.0"/>
      </rPr>
      <t xml:space="preserve">24,46,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</si>
  <si>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HR Sheet to Domestic Appliances Scrap</t>
    </r>
  </si>
  <si>
    <r>
      <rPr>
        <rFont val="Cambria"/>
        <color rgb="FF000000"/>
        <sz val="10.0"/>
      </rPr>
      <t xml:space="preserve">25,41,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</si>
  <si>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CR Sheet to Cars   Scrap</t>
    </r>
  </si>
  <si>
    <r>
      <rPr>
        <rFont val="Cambria"/>
        <color rgb="FF000000"/>
        <sz val="10.0"/>
      </rPr>
      <t xml:space="preserve">25,42,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</si>
  <si>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CR Sheet to Trucks   Scrap</t>
    </r>
  </si>
  <si>
    <r>
      <rPr>
        <rFont val="Cambria"/>
        <color rgb="FF000000"/>
        <sz val="10.0"/>
      </rPr>
      <t xml:space="preserve">25,43,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</si>
  <si>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CR Sheet to Machinery/Eq uipment Scrap</t>
    </r>
  </si>
  <si>
    <r>
      <rPr>
        <rFont val="Cambria"/>
        <color rgb="FF000000"/>
        <sz val="10.0"/>
      </rPr>
      <t xml:space="preserve">25,46,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</si>
  <si>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CR Sheet to Domestic Appliances Scrap</t>
    </r>
  </si>
  <si>
    <r>
      <rPr>
        <rFont val="Cambria"/>
        <color rgb="FF000000"/>
        <sz val="10.0"/>
      </rPr>
      <t xml:space="preserve">25,47,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</si>
  <si>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CR Sheet to Containers Scrap</t>
    </r>
  </si>
  <si>
    <r>
      <rPr>
        <rFont val="Cambria"/>
        <color rgb="FF000000"/>
        <sz val="10.0"/>
      </rPr>
      <t xml:space="preserve">26,39,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</si>
  <si>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Galvanized   to Buildings Scrap</t>
    </r>
  </si>
  <si>
    <r>
      <rPr>
        <rFont val="Cambria"/>
        <color rgb="FF000000"/>
        <sz val="10.0"/>
      </rPr>
      <t xml:space="preserve">26,40,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</si>
  <si>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Galvanized   to Infrastructure Scrap</t>
    </r>
  </si>
  <si>
    <r>
      <rPr>
        <rFont val="Cambria"/>
        <color rgb="FF000000"/>
        <sz val="10.0"/>
      </rPr>
      <t xml:space="preserve">26,41,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</si>
  <si>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Galvanized   to Cars   Scrap</t>
    </r>
  </si>
  <si>
    <r>
      <rPr>
        <rFont val="Cambria"/>
        <color rgb="FF000000"/>
        <sz val="10.0"/>
      </rPr>
      <t xml:space="preserve">26,42,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</si>
  <si>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Galvanized   to Trucks   Scrap</t>
    </r>
  </si>
  <si>
    <r>
      <rPr>
        <rFont val="Cambria"/>
        <color rgb="FF000000"/>
        <sz val="10.0"/>
      </rPr>
      <t xml:space="preserve">27,46,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</si>
  <si>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Tin mill products to Domestic Appliances Scrap</t>
    </r>
  </si>
  <si>
    <r>
      <rPr>
        <rFont val="Cambria"/>
        <color rgb="FF000000"/>
        <sz val="10.0"/>
      </rPr>
      <t xml:space="preserve">27,47,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</si>
  <si>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Tin mill products to Containers Scrap</t>
    </r>
  </si>
  <si>
    <r>
      <rPr>
        <rFont val="Cambria"/>
        <color rgb="FF000000"/>
        <sz val="10.0"/>
      </rPr>
      <t xml:space="preserve">28,39,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</si>
  <si>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Pipe and tubing to Buildings Scrap</t>
    </r>
  </si>
  <si>
    <r>
      <rPr>
        <rFont val="Cambria"/>
        <color rgb="FF000000"/>
        <sz val="10.0"/>
      </rPr>
      <t xml:space="preserve">28,40,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</si>
  <si>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Pipe and tubing to Infrastructure Scrap</t>
    </r>
  </si>
  <si>
    <r>
      <rPr>
        <rFont val="Cambria"/>
        <color rgb="FF000000"/>
        <sz val="10.0"/>
      </rPr>
      <t xml:space="preserve">28,41,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</si>
  <si>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Pipe and tubing to Cars Scrap</t>
    </r>
  </si>
  <si>
    <r>
      <rPr>
        <rFont val="Cambria"/>
        <color rgb="FF000000"/>
        <sz val="10.0"/>
      </rPr>
      <t xml:space="preserve">28,42,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</si>
  <si>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Pipe and tubing to Trucks   Scrap</t>
    </r>
  </si>
  <si>
    <r>
      <rPr>
        <rFont val="Cambria"/>
        <color rgb="FF000000"/>
        <sz val="10.0"/>
      </rPr>
      <t xml:space="preserve">28,43,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</si>
  <si>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Pipe and tubing to Machinery/Eq uipment Scrap</t>
    </r>
  </si>
  <si>
    <r>
      <rPr>
        <rFont val="Cambria"/>
        <color rgb="FF000000"/>
        <sz val="10.0"/>
      </rPr>
      <t xml:space="preserve">28,44,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</si>
  <si>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Pipe and tubing to Energy Scrap</t>
    </r>
  </si>
  <si>
    <r>
      <rPr>
        <rFont val="Cambria"/>
        <color rgb="FF000000"/>
        <sz val="10.0"/>
      </rPr>
      <t xml:space="preserve">29,39,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</si>
  <si>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Plates to Buildings Scrap</t>
    </r>
  </si>
  <si>
    <r>
      <rPr>
        <rFont val="Cambria"/>
        <color rgb="FF000000"/>
        <sz val="10.0"/>
      </rPr>
      <t xml:space="preserve">29,40,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</si>
  <si>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Plates to Infrastructure Scrap</t>
    </r>
  </si>
  <si>
    <r>
      <rPr>
        <rFont val="Cambria"/>
        <color rgb="FF000000"/>
        <sz val="10.0"/>
      </rPr>
      <t xml:space="preserve">29,41,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</si>
  <si>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Plates to Cars Scrap</t>
    </r>
  </si>
  <si>
    <r>
      <rPr>
        <rFont val="Cambria"/>
        <color rgb="FF000000"/>
        <sz val="10.0"/>
      </rPr>
      <t xml:space="preserve">29,42,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</si>
  <si>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Plates to Trucks   Scrap</t>
    </r>
  </si>
  <si>
    <r>
      <rPr>
        <rFont val="Cambria"/>
        <color rgb="FF000000"/>
        <sz val="10.0"/>
      </rPr>
      <t xml:space="preserve">29,43,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</si>
  <si>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Plates to Machinery/Eq uipment Scrap</t>
    </r>
  </si>
  <si>
    <r>
      <rPr>
        <rFont val="Cambria"/>
        <color rgb="FF000000"/>
        <sz val="10.0"/>
      </rPr>
      <t xml:space="preserve">29,44,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</si>
  <si>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Plates to Energy Scrap</t>
    </r>
  </si>
  <si>
    <r>
      <rPr>
        <rFont val="Cambria"/>
        <color rgb="FF000000"/>
        <sz val="10.0"/>
      </rPr>
      <t xml:space="preserve">29,45,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</si>
  <si>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Plates to Other/Homela nd Security Scrap</t>
    </r>
  </si>
  <si>
    <r>
      <rPr>
        <rFont val="Cambria"/>
        <color rgb="FF000000"/>
        <sz val="10.0"/>
      </rPr>
      <t xml:space="preserve">30,39,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</si>
  <si>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Reinforcing bar to Buildings Scrap</t>
    </r>
  </si>
  <si>
    <r>
      <rPr>
        <rFont val="Cambria"/>
        <color rgb="FF000000"/>
        <sz val="10.0"/>
      </rPr>
      <t xml:space="preserve">30,40,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</si>
  <si>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Reinforcing bar to Infrastructure Scrap</t>
    </r>
  </si>
  <si>
    <r>
      <rPr>
        <rFont val="Cambria"/>
        <color rgb="FF000000"/>
        <sz val="10.0"/>
      </rPr>
      <t xml:space="preserve">31,39,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</si>
  <si>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Wire   to Buildings Scrap</t>
    </r>
  </si>
  <si>
    <r>
      <rPr>
        <rFont val="Cambria"/>
        <color rgb="FF000000"/>
        <sz val="10.0"/>
      </rPr>
      <t xml:space="preserve">31,40,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</si>
  <si>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Wire   to Infrastructure Scrap</t>
    </r>
  </si>
  <si>
    <r>
      <rPr>
        <rFont val="Cambria"/>
        <color rgb="FF000000"/>
        <sz val="10.0"/>
      </rPr>
      <t xml:space="preserve">31,41,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</si>
  <si>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Wire   to Cars Scrap</t>
    </r>
  </si>
  <si>
    <r>
      <rPr>
        <rFont val="Cambria"/>
        <color rgb="FF000000"/>
        <sz val="10.0"/>
      </rPr>
      <t xml:space="preserve">31,42,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</si>
  <si>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Wire   to Trucks   Scrap</t>
    </r>
  </si>
  <si>
    <r>
      <rPr>
        <rFont val="Cambria"/>
        <color rgb="FF000000"/>
        <sz val="10.0"/>
      </rPr>
      <t xml:space="preserve">31,43,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</si>
  <si>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Wire   to Machinery/Eq uipment Scrap</t>
    </r>
  </si>
  <si>
    <r>
      <rPr>
        <rFont val="Cambria"/>
        <color rgb="FF000000"/>
        <sz val="10.0"/>
      </rPr>
      <t xml:space="preserve">31,44,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</si>
  <si>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Wire   to Energy Scrap</t>
    </r>
  </si>
  <si>
    <r>
      <rPr>
        <rFont val="Cambria"/>
        <color rgb="FF000000"/>
        <sz val="10.0"/>
      </rPr>
      <t xml:space="preserve">31,45,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</si>
  <si>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Wire   to Other/Homela nd Security Scrap</t>
    </r>
  </si>
  <si>
    <r>
      <rPr>
        <rFont val="Cambria"/>
        <color rgb="FF000000"/>
        <sz val="10.0"/>
      </rPr>
      <t xml:space="preserve">32,39,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</si>
  <si>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Bar to Buildings Scrap</t>
    </r>
  </si>
  <si>
    <r>
      <rPr>
        <rFont val="Cambria"/>
        <color rgb="FF000000"/>
        <sz val="10.0"/>
      </rPr>
      <t xml:space="preserve">32,40,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</si>
  <si>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Bar to Infrastructure Scrap</t>
    </r>
  </si>
  <si>
    <r>
      <rPr>
        <rFont val="Cambria"/>
        <color rgb="FF000000"/>
        <sz val="10.0"/>
      </rPr>
      <t xml:space="preserve">32,41,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</si>
  <si>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Bar to Cars Scrap</t>
    </r>
  </si>
  <si>
    <r>
      <rPr>
        <rFont val="Cambria"/>
        <color rgb="FF000000"/>
        <sz val="10.0"/>
      </rPr>
      <t xml:space="preserve">32,42,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</si>
  <si>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Bar to Trucks Scrap</t>
    </r>
  </si>
  <si>
    <r>
      <rPr>
        <rFont val="Cambria"/>
        <color rgb="FF000000"/>
        <sz val="10.0"/>
      </rPr>
      <t xml:space="preserve">32,43,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</si>
  <si>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Bar to Machinery/Eq uipment Scrap</t>
    </r>
  </si>
  <si>
    <r>
      <rPr>
        <rFont val="Cambria"/>
        <color rgb="FF000000"/>
        <sz val="10.0"/>
      </rPr>
      <t xml:space="preserve">32,44,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</si>
  <si>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Bar to Energy Scrap</t>
    </r>
  </si>
  <si>
    <r>
      <rPr>
        <rFont val="Cambria"/>
        <color rgb="FF000000"/>
        <sz val="10.0"/>
      </rPr>
      <t xml:space="preserve">32,45,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</si>
  <si>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Bar to Other/Homela nd Security Scrap</t>
    </r>
  </si>
  <si>
    <r>
      <rPr>
        <rFont val="Cambria"/>
        <color rgb="FF000000"/>
        <sz val="10.0"/>
      </rPr>
      <t xml:space="preserve">33,39,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</si>
  <si>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Light Shaped bars to Buildings Scrap</t>
    </r>
  </si>
  <si>
    <r>
      <rPr>
        <rFont val="Cambria"/>
        <color rgb="FF000000"/>
        <sz val="10.0"/>
      </rPr>
      <t xml:space="preserve">33,40,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</si>
  <si>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Light Shaped bars to Infrastructure Scrap</t>
    </r>
  </si>
  <si>
    <r>
      <rPr>
        <rFont val="Cambria"/>
        <color rgb="FF000000"/>
        <sz val="10.0"/>
      </rPr>
      <t xml:space="preserve">33,41,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</si>
  <si>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Light Shaped bars to Cars Scrap</t>
    </r>
  </si>
  <si>
    <r>
      <rPr>
        <rFont val="Cambria"/>
        <color rgb="FF000000"/>
        <sz val="10.0"/>
      </rPr>
      <t xml:space="preserve">33,42,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</si>
  <si>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Light Shaped bars to Trucks Scrap</t>
    </r>
  </si>
  <si>
    <r>
      <rPr>
        <rFont val="Cambria"/>
        <color rgb="FF000000"/>
        <sz val="10.0"/>
      </rPr>
      <t xml:space="preserve">34,39,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</si>
  <si>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Heavy sections to Buildings Scrap</t>
    </r>
  </si>
  <si>
    <r>
      <rPr>
        <rFont val="Cambria"/>
        <color rgb="FF000000"/>
        <sz val="10.0"/>
      </rPr>
      <t xml:space="preserve">34,40,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</si>
  <si>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Heavy sections to Infrastructure Scrap</t>
    </r>
  </si>
  <si>
    <r>
      <rPr>
        <rFont val="Cambria"/>
        <color rgb="FF000000"/>
        <sz val="10.0"/>
      </rPr>
      <t xml:space="preserve">35,40,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</si>
  <si>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Rail to Infrastructure Scrap</t>
    </r>
  </si>
  <si>
    <r>
      <rPr>
        <rFont val="Cambria"/>
        <color rgb="FF000000"/>
        <sz val="10.0"/>
      </rPr>
      <t xml:space="preserve">35,43,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</si>
  <si>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Rail to Machinery/Eq uipment Scrap</t>
    </r>
  </si>
  <si>
    <r>
      <rPr>
        <rFont val="Cambria"/>
        <color rgb="FF000000"/>
        <sz val="10.0"/>
      </rPr>
      <t xml:space="preserve">37,39,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</si>
  <si>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Steel Castings to Buildings Scrap</t>
    </r>
  </si>
  <si>
    <r>
      <rPr>
        <rFont val="Cambria"/>
        <color rgb="FF000000"/>
        <sz val="10.0"/>
      </rPr>
      <t xml:space="preserve">37,40,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</si>
  <si>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Steel Castings to Infrastructure Scrap</t>
    </r>
  </si>
  <si>
    <r>
      <rPr>
        <rFont val="Cambria"/>
        <color rgb="FF000000"/>
        <sz val="10.0"/>
      </rPr>
      <t xml:space="preserve">37,41,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</si>
  <si>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Steel Castings to Cars   Scrap</t>
    </r>
  </si>
  <si>
    <r>
      <rPr>
        <rFont val="Cambria"/>
        <color rgb="FF000000"/>
        <sz val="10.0"/>
      </rPr>
      <t xml:space="preserve">37,42,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</si>
  <si>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Steel Castings to Trucks Scrap</t>
    </r>
  </si>
  <si>
    <r>
      <rPr>
        <rFont val="Cambria"/>
        <color rgb="FF000000"/>
        <sz val="10.0"/>
      </rPr>
      <t xml:space="preserve">37,43,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</si>
  <si>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Steel Castings to Machinery/Eq uipment Scrap</t>
    </r>
  </si>
  <si>
    <r>
      <rPr>
        <rFont val="Cambria"/>
        <color rgb="FF000000"/>
        <sz val="10.0"/>
      </rPr>
      <t xml:space="preserve">37,44,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</si>
  <si>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Steel Castings to Energy Scrap</t>
    </r>
  </si>
  <si>
    <r>
      <rPr>
        <rFont val="Cambria"/>
        <color rgb="FF000000"/>
        <sz val="10.0"/>
      </rPr>
      <t xml:space="preserve">38,39,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</si>
  <si>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Iron Castings to Buildings Scrap</t>
    </r>
  </si>
  <si>
    <r>
      <rPr>
        <rFont val="Cambria"/>
        <color rgb="FF000000"/>
        <sz val="10.0"/>
      </rPr>
      <t xml:space="preserve">38,40,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</si>
  <si>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Iron Castings to Infrastructure Scrap</t>
    </r>
  </si>
  <si>
    <r>
      <rPr>
        <rFont val="Cambria"/>
        <color rgb="FF000000"/>
        <sz val="10.0"/>
      </rPr>
      <t xml:space="preserve">38,41,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</si>
  <si>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Iron Castings to Cars   Scrap</t>
    </r>
  </si>
  <si>
    <r>
      <rPr>
        <rFont val="Cambria"/>
        <color rgb="FF000000"/>
        <sz val="10.0"/>
      </rPr>
      <t xml:space="preserve">38,42,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</si>
  <si>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Iron Castings to Trucks Scrap</t>
    </r>
  </si>
  <si>
    <r>
      <rPr>
        <rFont val="Cambria"/>
        <color rgb="FF000000"/>
        <sz val="10.0"/>
      </rPr>
      <t xml:space="preserve">38,43,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</si>
  <si>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Iron Castings to Machinery/Eq uipment Scrap</t>
    </r>
  </si>
  <si>
    <r>
      <rPr>
        <rFont val="Cambria"/>
        <color rgb="FF000000"/>
        <sz val="10.0"/>
      </rPr>
      <t xml:space="preserve">38,44,
</t>
    </r>
    <r>
      <rPr>
        <rFont val="Cambria"/>
        <color rgb="FF000000"/>
        <sz val="10.0"/>
      </rPr>
      <t>2</t>
    </r>
  </si>
  <si>
    <r>
      <rPr>
        <rFont val="Cambria"/>
        <color theme="1"/>
        <sz val="10.0"/>
      </rPr>
      <t>Iron Castings to Energy Scrap</t>
    </r>
  </si>
  <si>
    <r>
      <rPr>
        <rFont val="Cambria"/>
        <color theme="1"/>
        <sz val="10.0"/>
      </rPr>
      <t>Fabrication Yields</t>
    </r>
  </si>
  <si>
    <r>
      <rPr>
        <rFont val="Cambria"/>
        <color rgb="FF000000"/>
        <sz val="10.0"/>
      </rPr>
      <t xml:space="preserve">24,39,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</si>
  <si>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HR Sheet to Buildings Yield</t>
    </r>
  </si>
  <si>
    <r>
      <rPr>
        <rFont val="Cambria"/>
        <color rgb="FF000000"/>
        <sz val="10.0"/>
      </rPr>
      <t xml:space="preserve">24,40,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</si>
  <si>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HR Sheet to Infrastructure Yield</t>
    </r>
  </si>
  <si>
    <r>
      <rPr>
        <rFont val="Cambria"/>
        <color rgb="FF000000"/>
        <sz val="10.0"/>
      </rPr>
      <t xml:space="preserve">24,41,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</si>
  <si>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HR Sheet to Cars   Yield</t>
    </r>
  </si>
  <si>
    <r>
      <rPr>
        <rFont val="Cambria"/>
        <color rgb="FF000000"/>
        <sz val="10.0"/>
      </rPr>
      <t xml:space="preserve">24,42,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</si>
  <si>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HR Sheet to Trucks   Yield</t>
    </r>
  </si>
  <si>
    <r>
      <rPr>
        <rFont val="Cambria"/>
        <color rgb="FF000000"/>
        <sz val="10.0"/>
      </rPr>
      <t xml:space="preserve">24,43,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</si>
  <si>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HR Sheet to Machinery/Eq uipment Yield</t>
    </r>
  </si>
  <si>
    <r>
      <rPr>
        <rFont val="Cambria"/>
        <color rgb="FF000000"/>
        <sz val="10.0"/>
      </rPr>
      <t xml:space="preserve">24,44,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</si>
  <si>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HR Sheet to Energy Yield</t>
    </r>
  </si>
  <si>
    <r>
      <rPr>
        <rFont val="Cambria"/>
        <color rgb="FF000000"/>
        <sz val="10.0"/>
      </rPr>
      <t xml:space="preserve">24,46,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</si>
  <si>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HR Sheet to Domestic Appliances Yield</t>
    </r>
  </si>
  <si>
    <r>
      <rPr>
        <rFont val="Cambria"/>
        <color rgb="FF000000"/>
        <sz val="10.0"/>
      </rPr>
      <t xml:space="preserve">25,41,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</si>
  <si>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CR Sheet to Cars   Yield</t>
    </r>
  </si>
  <si>
    <r>
      <rPr>
        <rFont val="Cambria"/>
        <color rgb="FF000000"/>
        <sz val="10.0"/>
      </rPr>
      <t xml:space="preserve">25,42,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</si>
  <si>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CR Sheet to Trucks   Yield</t>
    </r>
  </si>
  <si>
    <r>
      <rPr>
        <rFont val="Cambria"/>
        <color rgb="FF000000"/>
        <sz val="10.0"/>
      </rPr>
      <t xml:space="preserve">25,43,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</si>
  <si>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CR Sheet to Machinery/Eq uipment Yield</t>
    </r>
  </si>
  <si>
    <r>
      <rPr>
        <rFont val="Cambria"/>
        <color rgb="FF000000"/>
        <sz val="10.0"/>
      </rPr>
      <t xml:space="preserve">25,46,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</si>
  <si>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CR Sheet to Domestic Appliances Yield</t>
    </r>
  </si>
  <si>
    <r>
      <rPr>
        <rFont val="Cambria"/>
        <color rgb="FF000000"/>
        <sz val="10.0"/>
      </rPr>
      <t xml:space="preserve">25,47,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</si>
  <si>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CR Sheet to Containers Yield</t>
    </r>
  </si>
  <si>
    <r>
      <rPr>
        <rFont val="Cambria"/>
        <color rgb="FF000000"/>
        <sz val="10.0"/>
      </rPr>
      <t xml:space="preserve">26,39,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</si>
  <si>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Galvanized   to Buildings Yield</t>
    </r>
  </si>
  <si>
    <r>
      <rPr>
        <rFont val="Cambria"/>
        <color rgb="FF000000"/>
        <sz val="10.0"/>
      </rPr>
      <t xml:space="preserve">26,40,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</si>
  <si>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Galvanized   to Infrastructure Yield</t>
    </r>
  </si>
  <si>
    <r>
      <rPr>
        <rFont val="Cambria"/>
        <color rgb="FF000000"/>
        <sz val="10.0"/>
      </rPr>
      <t xml:space="preserve">26,41,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</si>
  <si>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Galvanized   to Cars   Yield</t>
    </r>
  </si>
  <si>
    <r>
      <rPr>
        <rFont val="Cambria"/>
        <color rgb="FF000000"/>
        <sz val="10.0"/>
      </rPr>
      <t xml:space="preserve">26,42,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</si>
  <si>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Galvanized   to Trucks   Yield</t>
    </r>
  </si>
  <si>
    <r>
      <rPr>
        <rFont val="Cambria"/>
        <color rgb="FF000000"/>
        <sz val="10.0"/>
      </rPr>
      <t xml:space="preserve">27,46,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</si>
  <si>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Tin mill products to Domestic Appliances Yield</t>
    </r>
  </si>
  <si>
    <r>
      <rPr>
        <rFont val="Cambria"/>
        <color rgb="FF000000"/>
        <sz val="10.0"/>
      </rPr>
      <t xml:space="preserve">27,47,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</si>
  <si>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Tin mill products to Containers Yield</t>
    </r>
  </si>
  <si>
    <r>
      <rPr>
        <rFont val="Cambria"/>
        <color rgb="FF000000"/>
        <sz val="10.0"/>
      </rPr>
      <t xml:space="preserve">28,39,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</si>
  <si>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Pipe and tubing to Buildings Yield</t>
    </r>
  </si>
  <si>
    <r>
      <rPr>
        <rFont val="Cambria"/>
        <color rgb="FF000000"/>
        <sz val="10.0"/>
      </rPr>
      <t xml:space="preserve">28,40,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</si>
  <si>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Pipe and tubing to Infrastructure Yield</t>
    </r>
  </si>
  <si>
    <r>
      <rPr>
        <rFont val="Cambria"/>
        <color rgb="FF000000"/>
        <sz val="10.0"/>
      </rPr>
      <t xml:space="preserve">28,41,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</si>
  <si>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Pipe and tubing to Cars Yield</t>
    </r>
  </si>
  <si>
    <r>
      <rPr>
        <rFont val="Cambria"/>
        <color rgb="FF000000"/>
        <sz val="10.0"/>
      </rPr>
      <t xml:space="preserve">28,42,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</si>
  <si>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Pipe and tubing to Trucks   Yield</t>
    </r>
  </si>
  <si>
    <r>
      <rPr>
        <rFont val="Cambria"/>
        <color rgb="FF000000"/>
        <sz val="10.0"/>
      </rPr>
      <t xml:space="preserve">28,43,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</si>
  <si>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Pipe and tubing to Machinery/Eq uipment Yield</t>
    </r>
  </si>
  <si>
    <r>
      <rPr>
        <rFont val="Cambria"/>
        <color rgb="FF000000"/>
        <sz val="10.0"/>
      </rPr>
      <t xml:space="preserve">28,44,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</si>
  <si>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Pipe and tubing to Energy Yield</t>
    </r>
  </si>
  <si>
    <r>
      <rPr>
        <rFont val="Cambria"/>
        <color rgb="FF000000"/>
        <sz val="10.0"/>
      </rPr>
      <t xml:space="preserve">29,39,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</si>
  <si>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Plates to Buildings Yield</t>
    </r>
  </si>
  <si>
    <r>
      <rPr>
        <rFont val="Cambria"/>
        <color rgb="FF000000"/>
        <sz val="10.0"/>
      </rPr>
      <t xml:space="preserve">29,40,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</si>
  <si>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Plates to Infrastructure Yield</t>
    </r>
  </si>
  <si>
    <r>
      <rPr>
        <rFont val="Cambria"/>
        <color rgb="FF000000"/>
        <sz val="10.0"/>
      </rPr>
      <t xml:space="preserve">29,41,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</si>
  <si>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Plates to Cars Yield</t>
    </r>
  </si>
  <si>
    <r>
      <rPr>
        <rFont val="Cambria"/>
        <color rgb="FF000000"/>
        <sz val="10.0"/>
      </rPr>
      <t xml:space="preserve">29,42,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</si>
  <si>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Plates to Trucks   Yield</t>
    </r>
  </si>
  <si>
    <r>
      <rPr>
        <rFont val="Cambria"/>
        <color rgb="FF000000"/>
        <sz val="10.0"/>
      </rPr>
      <t xml:space="preserve">29,43,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</si>
  <si>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Plates to Machinery/Eq uipment Yield</t>
    </r>
  </si>
  <si>
    <r>
      <rPr>
        <rFont val="Cambria"/>
        <color rgb="FF000000"/>
        <sz val="10.0"/>
      </rPr>
      <t xml:space="preserve">29,44,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</si>
  <si>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Plates to Energy Yield</t>
    </r>
  </si>
  <si>
    <r>
      <rPr>
        <rFont val="Cambria"/>
        <color rgb="FF000000"/>
        <sz val="10.0"/>
      </rPr>
      <t xml:space="preserve">29,45,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</si>
  <si>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Plates to Other/Homela nd Security Yield</t>
    </r>
  </si>
  <si>
    <r>
      <rPr>
        <rFont val="Cambria"/>
        <color rgb="FF000000"/>
        <sz val="10.0"/>
      </rPr>
      <t xml:space="preserve">30,39,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</si>
  <si>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Reinforcing bar to Buildings Yield</t>
    </r>
  </si>
  <si>
    <r>
      <rPr>
        <rFont val="Cambria"/>
        <color rgb="FF000000"/>
        <sz val="10.0"/>
      </rPr>
      <t xml:space="preserve">30,40,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</si>
  <si>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Reinforcing bar to Infrastructure Yield</t>
    </r>
  </si>
  <si>
    <r>
      <rPr>
        <rFont val="Cambria"/>
        <color rgb="FF000000"/>
        <sz val="10.0"/>
      </rPr>
      <t xml:space="preserve">31,39,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</si>
  <si>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Wire   to Buildings Yield</t>
    </r>
  </si>
  <si>
    <r>
      <rPr>
        <rFont val="Cambria"/>
        <color rgb="FF000000"/>
        <sz val="10.0"/>
      </rPr>
      <t xml:space="preserve">31,40,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</si>
  <si>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Wire   to Infrastructure Yield</t>
    </r>
  </si>
  <si>
    <r>
      <rPr>
        <rFont val="Cambria"/>
        <color rgb="FF000000"/>
        <sz val="10.0"/>
      </rPr>
      <t xml:space="preserve">31,41,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</si>
  <si>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Wire   to Cars Yield</t>
    </r>
  </si>
  <si>
    <r>
      <rPr>
        <rFont val="Cambria"/>
        <color rgb="FF000000"/>
        <sz val="10.0"/>
      </rPr>
      <t xml:space="preserve">31,42,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</si>
  <si>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Wire   to Trucks   Yield</t>
    </r>
  </si>
  <si>
    <r>
      <rPr>
        <rFont val="Cambria"/>
        <color rgb="FF000000"/>
        <sz val="10.0"/>
      </rPr>
      <t xml:space="preserve">31,43,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</si>
  <si>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Wire   to Machinery/Eq uipment Yield</t>
    </r>
  </si>
  <si>
    <r>
      <rPr>
        <rFont val="Cambria"/>
        <color rgb="FF000000"/>
        <sz val="10.0"/>
      </rPr>
      <t xml:space="preserve">31,44,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</si>
  <si>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Wire   to Energy Yield</t>
    </r>
  </si>
  <si>
    <r>
      <rPr>
        <rFont val="Cambria"/>
        <color rgb="FF000000"/>
        <sz val="10.0"/>
      </rPr>
      <t xml:space="preserve">31,45,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</si>
  <si>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Wire   to Other/Homela nd Security Yield</t>
    </r>
  </si>
  <si>
    <r>
      <rPr>
        <rFont val="Cambria"/>
        <color rgb="FF000000"/>
        <sz val="10.0"/>
      </rPr>
      <t xml:space="preserve">32,39,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</si>
  <si>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Bar to Buildings Yield</t>
    </r>
  </si>
  <si>
    <r>
      <rPr>
        <rFont val="Cambria"/>
        <color rgb="FF000000"/>
        <sz val="10.0"/>
      </rPr>
      <t xml:space="preserve">32,40,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</si>
  <si>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Bar to Infrastructure Yield</t>
    </r>
  </si>
  <si>
    <r>
      <rPr>
        <rFont val="Cambria"/>
        <color rgb="FF000000"/>
        <sz val="10.0"/>
      </rPr>
      <t xml:space="preserve">32,41,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</si>
  <si>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Bar to Cars Yield</t>
    </r>
  </si>
  <si>
    <r>
      <rPr>
        <rFont val="Cambria"/>
        <color rgb="FF000000"/>
        <sz val="10.0"/>
      </rPr>
      <t xml:space="preserve">32,42,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</si>
  <si>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Bar to Trucks Yield</t>
    </r>
  </si>
  <si>
    <r>
      <rPr>
        <rFont val="Cambria"/>
        <color rgb="FF000000"/>
        <sz val="10.0"/>
      </rPr>
      <t xml:space="preserve">32,43,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</si>
  <si>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Bar to Machinery/Eq uipment Yield</t>
    </r>
  </si>
  <si>
    <r>
      <rPr>
        <rFont val="Cambria"/>
        <color rgb="FF000000"/>
        <sz val="10.0"/>
      </rPr>
      <t xml:space="preserve">32,44,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</si>
  <si>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Bar to Energy Yield</t>
    </r>
  </si>
  <si>
    <r>
      <rPr>
        <rFont val="Cambria"/>
        <color rgb="FF000000"/>
        <sz val="10.0"/>
      </rPr>
      <t xml:space="preserve">32,45,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</si>
  <si>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Bar to Other/Homela nd Security Yield</t>
    </r>
  </si>
  <si>
    <r>
      <rPr>
        <rFont val="Cambria"/>
        <color rgb="FF000000"/>
        <sz val="10.0"/>
      </rPr>
      <t xml:space="preserve">33,39,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</si>
  <si>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Light Shaped bars to Buildings Yield</t>
    </r>
  </si>
  <si>
    <r>
      <rPr>
        <rFont val="Cambria"/>
        <color rgb="FF000000"/>
        <sz val="10.0"/>
      </rPr>
      <t xml:space="preserve">33,40,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</si>
  <si>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Light Shaped bars to Infrastructure Yield</t>
    </r>
  </si>
  <si>
    <r>
      <rPr>
        <rFont val="Cambria"/>
        <color rgb="FF000000"/>
        <sz val="10.0"/>
      </rPr>
      <t xml:space="preserve">33,41,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</si>
  <si>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Light Shaped bars to Cars Yield</t>
    </r>
  </si>
  <si>
    <r>
      <rPr>
        <rFont val="Cambria"/>
        <color rgb="FF000000"/>
        <sz val="10.0"/>
      </rPr>
      <t xml:space="preserve">33,42,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</si>
  <si>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Light Shaped bars to Trucks Yield</t>
    </r>
  </si>
  <si>
    <r>
      <rPr>
        <rFont val="Cambria"/>
        <color rgb="FF000000"/>
        <sz val="10.0"/>
      </rPr>
      <t xml:space="preserve">34,39,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</si>
  <si>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Heavy sections to Buildings Yield</t>
    </r>
  </si>
  <si>
    <r>
      <rPr>
        <rFont val="Cambria"/>
        <color rgb="FF000000"/>
        <sz val="10.0"/>
      </rPr>
      <t xml:space="preserve">34,40,
</t>
    </r>
    <r>
      <rPr>
        <rFont val="Cambria"/>
        <color rgb="FF000000"/>
        <sz val="10.0"/>
      </rPr>
      <t>3</t>
    </r>
  </si>
  <si>
    <r>
      <rPr>
        <rFont val="Cambria"/>
        <color theme="1"/>
        <sz val="10.0"/>
      </rPr>
      <t>Heavy sections to Infrastructure Yield</t>
    </r>
  </si>
  <si>
    <t>Description</t>
  </si>
  <si>
    <t>From</t>
  </si>
  <si>
    <t>To</t>
  </si>
  <si>
    <t>Flow</t>
  </si>
  <si>
    <t>Value (kt)</t>
  </si>
  <si>
    <t>Source</t>
  </si>
  <si>
    <t>HR Sheet to Buildings</t>
  </si>
  <si>
    <t>HR Sheet</t>
  </si>
  <si>
    <t>Buildings</t>
  </si>
  <si>
    <t>USGS</t>
  </si>
  <si>
    <t>Galvanized   to Buildings</t>
  </si>
  <si>
    <t xml:space="preserve">Galvanized  </t>
  </si>
  <si>
    <t>Pipe and tubing to Buildings</t>
  </si>
  <si>
    <t>Pipe and Tubing</t>
  </si>
  <si>
    <t>Plates to Buildings</t>
  </si>
  <si>
    <t>Plates</t>
  </si>
  <si>
    <t>Reinforcing bar to Buildings</t>
  </si>
  <si>
    <t>Reinforcing bar</t>
  </si>
  <si>
    <t>Reinforcing Bar</t>
  </si>
  <si>
    <t>Wire   to Buildings</t>
  </si>
  <si>
    <t>Wire</t>
  </si>
  <si>
    <t>Bar to Buildings</t>
  </si>
  <si>
    <t>Bar</t>
  </si>
  <si>
    <t>Light Shaped bars to Buildings</t>
  </si>
  <si>
    <t>Light Shaped Bars</t>
  </si>
  <si>
    <t>Heavy sections to Buildings</t>
  </si>
  <si>
    <t>Heavy Sections</t>
  </si>
  <si>
    <t>Steel Castings to Buildings</t>
  </si>
  <si>
    <t>Steel Castings</t>
  </si>
  <si>
    <t>Iron Castings to Buildings</t>
  </si>
  <si>
    <t>Iron Castings</t>
  </si>
  <si>
    <t>HR Sheet to Buildings Scrap</t>
  </si>
  <si>
    <t>Buildings Scrap</t>
  </si>
  <si>
    <t>Galvanized   to Buildings Scrap</t>
  </si>
  <si>
    <t>Pipe and tubing to Buildings Scrap</t>
  </si>
  <si>
    <t>Plates to Buildings Scrap</t>
  </si>
  <si>
    <t>Reinforcing bar to Buildings Scrap</t>
  </si>
  <si>
    <t>Wire   to Buildings Scrap</t>
  </si>
  <si>
    <t>Bar to Buildings Scrap</t>
  </si>
  <si>
    <t>Light Shaped bars to Buildings Scrap</t>
  </si>
  <si>
    <t>Heavy sections to Buildings Scrap</t>
  </si>
  <si>
    <t>Steel Castings to Buildings Scrap</t>
  </si>
  <si>
    <t>Iron Castings to Buildings Scrap</t>
  </si>
  <si>
    <t>Import to HR Sheet and strip</t>
  </si>
  <si>
    <t>Import</t>
  </si>
  <si>
    <t>HR Sheet and strip</t>
  </si>
  <si>
    <t>Zhu et al. 2019, ES&amp;T</t>
  </si>
  <si>
    <t>Hot Strip Mill to HR Sheet and strip</t>
  </si>
  <si>
    <t>Hot Strip Mill</t>
  </si>
  <si>
    <t>HR Sheet and Strip</t>
  </si>
  <si>
    <t>Galvanizing Plant to Galvanized</t>
  </si>
  <si>
    <t>Galvanizing Plant</t>
  </si>
  <si>
    <t>Galvanized</t>
  </si>
  <si>
    <t>Import to Galvanized</t>
  </si>
  <si>
    <t>Tube Welding Plant to pipe and tubing</t>
  </si>
  <si>
    <t>Tube Welding Plant</t>
  </si>
  <si>
    <t>Seamless Tube Plant to pipe and tubing</t>
  </si>
  <si>
    <t>Seamless Tube Plant</t>
  </si>
  <si>
    <t>Import to pipe and tubing</t>
  </si>
  <si>
    <t>Plate Mill to Plates</t>
  </si>
  <si>
    <t>Plate Mill</t>
  </si>
  <si>
    <t>Import to Plates</t>
  </si>
  <si>
    <t>Rod/Bar Mill to Reinforcing bar</t>
  </si>
  <si>
    <t>Rod/Bar Mill</t>
  </si>
  <si>
    <t>Import to Reinforcing bar</t>
  </si>
  <si>
    <t>Rod/Bar Mill to Wire and wire rods</t>
  </si>
  <si>
    <t>Wire and Wire Rods</t>
  </si>
  <si>
    <t>Import to Wire and wire rods</t>
  </si>
  <si>
    <t>Rod/Bar Mill to Bar</t>
  </si>
  <si>
    <t>Import to Bar</t>
  </si>
  <si>
    <t>Rod/Bar Mill to Light Shaped bars</t>
  </si>
  <si>
    <t>Import to Light Shaped bars</t>
  </si>
  <si>
    <t>Section Mill to Heavy sections</t>
  </si>
  <si>
    <t>Section Mill</t>
  </si>
  <si>
    <t>Import to Heavy sections</t>
  </si>
  <si>
    <t>Steel Product Casting to Steel Castings</t>
  </si>
  <si>
    <t>Steel Product Casting</t>
  </si>
  <si>
    <t>Foundry Iron Casting to Iron Castings</t>
  </si>
  <si>
    <t>Foundry Iron Casting</t>
  </si>
  <si>
    <t>Import to Steel Castings</t>
  </si>
  <si>
    <t>Import to Iron Castings</t>
  </si>
  <si>
    <t>Section Mill to Scrap</t>
  </si>
  <si>
    <t>Scrap</t>
  </si>
  <si>
    <t>Plate Mill to Scrap</t>
  </si>
  <si>
    <t>Tube Welding Plant to Scrap</t>
  </si>
  <si>
    <t>Seamless Tube Plant to Scrap</t>
  </si>
  <si>
    <t>Rod/Bar Mill to Seamless Tube Plant</t>
  </si>
  <si>
    <t>Rod/Bar Mill to Scrap</t>
  </si>
  <si>
    <t>Galvanizing Plant to Scrap</t>
  </si>
  <si>
    <t>Cold Rolling Mill to Galvanizing Plant</t>
  </si>
  <si>
    <t>Cold Rolling Mill</t>
  </si>
  <si>
    <t>Cold Rolling Mill to Scrap</t>
  </si>
  <si>
    <t>Hot Strip Mill to Cold Rolling Mill</t>
  </si>
  <si>
    <t>Hot Strip Mill to Tube Welding Plant</t>
  </si>
  <si>
    <t>Hot Strip Mill to Scrap</t>
  </si>
  <si>
    <t>CC Bloom to Section Mill</t>
  </si>
  <si>
    <t>CC Bloom</t>
  </si>
  <si>
    <t>Primary Mill to Section Mill</t>
  </si>
  <si>
    <t>Primary Mill</t>
  </si>
  <si>
    <t>CC Billet to Rod/Bar Mill</t>
  </si>
  <si>
    <t>CC Billet</t>
  </si>
  <si>
    <t>Primary Mill to Rod/Bar Mill</t>
  </si>
  <si>
    <t>CC Slab to Plate Mill</t>
  </si>
  <si>
    <t>CC Slab</t>
  </si>
  <si>
    <t>Primary Mill to Plate Mill</t>
  </si>
  <si>
    <t>CC Slab to Hot Strip Mill</t>
  </si>
  <si>
    <t>Primary Mill to Hot Strip Mill</t>
  </si>
  <si>
    <t>CC Billet to CC Billet</t>
  </si>
  <si>
    <t>CC Billet to Loss</t>
  </si>
  <si>
    <t>Loss</t>
  </si>
  <si>
    <t>CC Bloom to CC Bloom</t>
  </si>
  <si>
    <t>CC Bloom to Loss</t>
  </si>
  <si>
    <t>CC Slab to CC Slab</t>
  </si>
  <si>
    <t>CC Slab to Loss</t>
  </si>
  <si>
    <t>Primary Mill to Scrap</t>
  </si>
  <si>
    <t>Ingots, Billets, Blooms and Slabs to Primary Mill</t>
  </si>
  <si>
    <t>Ingots, Billets, Blooms</t>
  </si>
  <si>
    <t>Steel Product Casting to Steel Product Casting</t>
  </si>
  <si>
    <t>Steel Product Casting to Loss</t>
  </si>
  <si>
    <t>Foundry Iron Casting to Foundry Iron Casting</t>
  </si>
  <si>
    <t>Foundary Iron Casting</t>
  </si>
  <si>
    <t>Foundry Iron Casting to Loss</t>
  </si>
  <si>
    <t>Import to Steel Product Casting</t>
  </si>
  <si>
    <t>Blast Furnace to Steel Product Casting</t>
  </si>
  <si>
    <t>Blast Furnace</t>
  </si>
  <si>
    <t xml:space="preserve">Watari </t>
  </si>
  <si>
    <t>Scrap Prep to Steel Product Casting</t>
  </si>
  <si>
    <t>Scrap Prep</t>
  </si>
  <si>
    <t>Blast Furnace to Foundry Iron Casting</t>
  </si>
  <si>
    <t>Direct Reduction to Foundry Iron Casting</t>
  </si>
  <si>
    <t>Direct Reduction</t>
  </si>
  <si>
    <t>Scrap Prep to Foundry Iron Casting</t>
  </si>
  <si>
    <t>Import to Foundry Iron Casting</t>
  </si>
  <si>
    <t>Electric Arc Furnace to CC Billet</t>
  </si>
  <si>
    <t>Electric Arc Furnace</t>
  </si>
  <si>
    <t>Electric Arc Furnace to CC Bloom</t>
  </si>
  <si>
    <t>Basic Oxygen Furnace to CC Slab</t>
  </si>
  <si>
    <t>Basic Oxygen Furnace</t>
  </si>
  <si>
    <t>Electric Arc Furnace to CC Slab</t>
  </si>
  <si>
    <t>Basic Oxygen Furnace to Loss</t>
  </si>
  <si>
    <t>Electric Arc Furnace to Ingot Casting</t>
  </si>
  <si>
    <t>Ingot Casting</t>
  </si>
  <si>
    <t>Electric Arc Furnace to Loss</t>
  </si>
  <si>
    <t>Cupola Furnace to Ingot Casting</t>
  </si>
  <si>
    <t>Cupola Furnace</t>
  </si>
  <si>
    <t>Ingot Casting to Ingot Casting</t>
  </si>
  <si>
    <t>Ingot Casting to Ingots, Billets, Blooms and Slabs</t>
  </si>
  <si>
    <t>Ingots, Billets, Blooms and Slabs</t>
  </si>
  <si>
    <t>Ingot Casting to Loss</t>
  </si>
  <si>
    <t>Import to Ingots, Billets, Blooms and Slabs</t>
  </si>
  <si>
    <t>Cupola Furnace to Loss</t>
  </si>
  <si>
    <t>Direct Reduction to Blast Furnace</t>
  </si>
  <si>
    <t>Direct Reduction to Electric Arc Furnace</t>
  </si>
  <si>
    <t>Direct Reduction to Loss</t>
  </si>
  <si>
    <t>Blast Furnace to Basic Oxygen Furnace</t>
  </si>
  <si>
    <t>Blast Furnace to Electric Arc Furnace</t>
  </si>
  <si>
    <t>Blast Furnace to Loss</t>
  </si>
  <si>
    <t>Blast Furnace to Export</t>
  </si>
  <si>
    <t>Export</t>
  </si>
  <si>
    <t>Iron ore to Blast Furnace</t>
  </si>
  <si>
    <t>Iron ore</t>
  </si>
  <si>
    <t>Scrap Prep to Electric Arc Furnace</t>
  </si>
  <si>
    <t>Import to Electric Arc Furnace</t>
  </si>
  <si>
    <t>Scrap Prep to Basic Oxygen Furnace</t>
  </si>
  <si>
    <t>Import to Basic Oxygen Furnace</t>
  </si>
  <si>
    <t>Import to Cupola Furnace</t>
  </si>
  <si>
    <t>Iron ore to Direct Reduction</t>
  </si>
  <si>
    <t>Scrap Prep to Cupola Furnace</t>
  </si>
  <si>
    <t>Import to Iron ore</t>
  </si>
  <si>
    <t>Iron Ore</t>
  </si>
  <si>
    <t>Import to Direct Reduction</t>
  </si>
  <si>
    <t>Scrap to Scrap Prep</t>
  </si>
  <si>
    <t>Start</t>
  </si>
  <si>
    <t>End</t>
  </si>
  <si>
    <t>Iron ore Export</t>
  </si>
  <si>
    <t>Section Mill to Rail</t>
  </si>
  <si>
    <t>Rail</t>
  </si>
  <si>
    <t>Cold Rolling Mill to Tin Mill</t>
  </si>
  <si>
    <t>Tin Mill</t>
  </si>
  <si>
    <t>Cold Rolling Mill to CR Sheet and strip</t>
  </si>
  <si>
    <t>CR Sheet and Strip</t>
  </si>
  <si>
    <t>Tin Mill to Tin mill products</t>
  </si>
  <si>
    <t>Tin Mill Products</t>
  </si>
  <si>
    <t>Tin Mill to Scrap</t>
  </si>
  <si>
    <t>HR Sheet to Infrastructure</t>
  </si>
  <si>
    <t>Infrastructure</t>
  </si>
  <si>
    <t>HR Sheet to Cars</t>
  </si>
  <si>
    <t xml:space="preserve">Cars </t>
  </si>
  <si>
    <t>HR Sheet to Trucks</t>
  </si>
  <si>
    <t>Trucks</t>
  </si>
  <si>
    <t>HR Sheet to Machinery/Eq uipment</t>
  </si>
  <si>
    <t>Machinery/Equipment</t>
  </si>
  <si>
    <t>HR Sheet to Energy</t>
  </si>
  <si>
    <t>Energy</t>
  </si>
  <si>
    <t>HR Sheet to Domestic Appliances</t>
  </si>
  <si>
    <t>Domestic Appliance</t>
  </si>
  <si>
    <t>HR Sheet to Export</t>
  </si>
  <si>
    <t>CR Sheet to Cars</t>
  </si>
  <si>
    <t>CR Sheet</t>
  </si>
  <si>
    <t>CR Sheet to Trucks</t>
  </si>
  <si>
    <t>CR Sheet to Machinery/Eq uipment</t>
  </si>
  <si>
    <t>CR Sheet to Domestic Appliances</t>
  </si>
  <si>
    <t>CR Sheet to Containers</t>
  </si>
  <si>
    <t>Containers</t>
  </si>
  <si>
    <t>CR Sheet to Export</t>
  </si>
  <si>
    <t>Galvanized   to Infrastructure</t>
  </si>
  <si>
    <t>Galvanized   to Cars</t>
  </si>
  <si>
    <t>Galvanized   to Trucks</t>
  </si>
  <si>
    <t>Galvanized   to Export</t>
  </si>
  <si>
    <t>Tin mill products to Domestic Appliances</t>
  </si>
  <si>
    <t>Tin mill products to Containers</t>
  </si>
  <si>
    <t>Tin mill products to Export</t>
  </si>
  <si>
    <t>Pipe and tubing to Infrastructure</t>
  </si>
  <si>
    <t>Pipe and tubing to Cars</t>
  </si>
  <si>
    <t>Pipe and tubing to Trucks</t>
  </si>
  <si>
    <t>Pipe and tubing to Machinery/Eq uipment</t>
  </si>
  <si>
    <t>Pipe and tubing to Energy</t>
  </si>
  <si>
    <t>Pipe and tubing to Export</t>
  </si>
  <si>
    <t>Plates to Infrastructure</t>
  </si>
  <si>
    <t>Plates to Cars</t>
  </si>
  <si>
    <t>Plates to Trucks</t>
  </si>
  <si>
    <t>Plates to Machinery/Eq uipment</t>
  </si>
  <si>
    <t>Plates to Energy</t>
  </si>
  <si>
    <t>Plates to Other/Homela nd Security</t>
  </si>
  <si>
    <t>Other/Homeland and Security</t>
  </si>
  <si>
    <t>Plates to Export</t>
  </si>
  <si>
    <t>Reinforcing bar to Infrastructure</t>
  </si>
  <si>
    <t>Reinforcing bar to Export</t>
  </si>
  <si>
    <t>Wire   to Infrastructure</t>
  </si>
  <si>
    <t>Wire   to Cars</t>
  </si>
  <si>
    <t>Wire   to Trucks</t>
  </si>
  <si>
    <t>Wire   to Machinery/Eq uipment</t>
  </si>
  <si>
    <t>Wire   to Energy</t>
  </si>
  <si>
    <t>Wire   to Other/Homela nd Security</t>
  </si>
  <si>
    <t>Wire   to Export</t>
  </si>
  <si>
    <t>Bar to Infrastructure</t>
  </si>
  <si>
    <t>Bar to Cars</t>
  </si>
  <si>
    <t>Bar to Trucks</t>
  </si>
  <si>
    <t>Bar to Machinery/Eq uipment</t>
  </si>
  <si>
    <t>Bar to Energy</t>
  </si>
  <si>
    <t>Bar to Other/Homela nd Security</t>
  </si>
  <si>
    <t>Bar to Export</t>
  </si>
  <si>
    <t>Light Shaped bars to Infrastructure</t>
  </si>
  <si>
    <t>Light Shaped bars to Cars</t>
  </si>
  <si>
    <t>Light Shaped bars to Trucks</t>
  </si>
  <si>
    <t>Light Shaped bars to Export</t>
  </si>
  <si>
    <t>Heavy sections to Infrastructure</t>
  </si>
  <si>
    <t>Heavy sections to Export</t>
  </si>
  <si>
    <t>Rail to Infrastructure</t>
  </si>
  <si>
    <t>Rail to Machinery/Eq uipment</t>
  </si>
  <si>
    <t>Rail to Export</t>
  </si>
  <si>
    <t>Ingots, Billets, Blooms and Slabs to Export</t>
  </si>
  <si>
    <t>Steel Castings to Infrastructure</t>
  </si>
  <si>
    <t>Steel Castings to Cars</t>
  </si>
  <si>
    <t>Steel Castings to Trucks</t>
  </si>
  <si>
    <t>Steel Castings to Machinery/Eq uipment</t>
  </si>
  <si>
    <t>Steel Castings to Energy</t>
  </si>
  <si>
    <t>Iron Castings to Infrastructure</t>
  </si>
  <si>
    <t>Iron Castings to Cars</t>
  </si>
  <si>
    <t>Iron Castings to Trucks</t>
  </si>
  <si>
    <t>Iron Castings to Machinery/Eq uipment</t>
  </si>
  <si>
    <t>Iron Castings to Energy</t>
  </si>
  <si>
    <t>Import to CR Sheet and strip</t>
  </si>
  <si>
    <t>Import to Tin mill products</t>
  </si>
  <si>
    <t>Import to Rail</t>
  </si>
  <si>
    <t>Import to Cars</t>
  </si>
  <si>
    <t>Import to Trucks</t>
  </si>
  <si>
    <t>Import to Machinery/Eq uipment</t>
  </si>
  <si>
    <t>Import to Energy</t>
  </si>
  <si>
    <t>Import to Other/Homela nd Security</t>
  </si>
  <si>
    <t>Import to Domestic Appliances</t>
  </si>
  <si>
    <t>Import to Containers</t>
  </si>
  <si>
    <t>HR Sheet to Cars   Scrap</t>
  </si>
  <si>
    <t>Cars Scrap</t>
  </si>
  <si>
    <t>HR Sheet to Trucks   Scrap</t>
  </si>
  <si>
    <t>Trucks Scrap</t>
  </si>
  <si>
    <t>HR Sheet to Machinery/Eq uipment Scrap</t>
  </si>
  <si>
    <t>Machinery/Equipment Scrap</t>
  </si>
  <si>
    <t>HR Sheet to Energy Scrap</t>
  </si>
  <si>
    <t>Energy Scrap</t>
  </si>
  <si>
    <t>HR Sheet to Domestic Appliances Scrap</t>
  </si>
  <si>
    <t>Domestic Appliance Scrap</t>
  </si>
  <si>
    <t>CR Sheet to Cars   Scrap</t>
  </si>
  <si>
    <t>CR Sheet to Trucks   Scrap</t>
  </si>
  <si>
    <t>CR Sheet to Machinery/Eq uipment Scrap</t>
  </si>
  <si>
    <t>CR Sheet to Domestic Appliances Scrap</t>
  </si>
  <si>
    <t>CR Sheet to Containers Scrap</t>
  </si>
  <si>
    <t>Containers Scrap</t>
  </si>
  <si>
    <t>Galvanized   to Cars   Scrap</t>
  </si>
  <si>
    <t>Galvanized   to Trucks   Scrap</t>
  </si>
  <si>
    <t>Tin mill products to Domestic Appliances Scrap</t>
  </si>
  <si>
    <t>Domestic Appliances Scrap</t>
  </si>
  <si>
    <t>Tin mill products to Containers Scrap</t>
  </si>
  <si>
    <t>Pipe and tubing to Cars Scrap</t>
  </si>
  <si>
    <t>Pipe and tubing to Trucks   Scrap</t>
  </si>
  <si>
    <t>Pipe and tubing to Machinery/Eq uipment Scrap</t>
  </si>
  <si>
    <t>Pipe and tubing to Energy Scrap</t>
  </si>
  <si>
    <t>Plates to Cars Scrap</t>
  </si>
  <si>
    <t>Plates to Trucks   Scrap</t>
  </si>
  <si>
    <t>Plates to Machinery/Eq uipment Scrap</t>
  </si>
  <si>
    <t>Plates to Energy Scrap</t>
  </si>
  <si>
    <t>Plates to Other/Homela nd Security Scrap</t>
  </si>
  <si>
    <t>Other/Homeland and Security Scrap</t>
  </si>
  <si>
    <t>Wire   to Cars Scrap</t>
  </si>
  <si>
    <t>Wire   to Trucks   Scrap</t>
  </si>
  <si>
    <t>Wire   to Machinery/Eq uipment Scrap</t>
  </si>
  <si>
    <t>Wire   to Energy Scrap</t>
  </si>
  <si>
    <t>Wire   to Other/Homela nd Security Scrap</t>
  </si>
  <si>
    <t>Other/Homenand and Security Scrap</t>
  </si>
  <si>
    <t>Bar to Cars Scrap</t>
  </si>
  <si>
    <t>Bar to Trucks Scrap</t>
  </si>
  <si>
    <t>Bar to Machinery/Eq uipment Scrap</t>
  </si>
  <si>
    <t>Bar to Energy Scrap</t>
  </si>
  <si>
    <t>Bar to Other/Homela nd Security Scrap</t>
  </si>
  <si>
    <t>Light Shaped bars to Cars Scrap</t>
  </si>
  <si>
    <t>Light Shaped bars to Trucks Scrap</t>
  </si>
  <si>
    <t>Rail to Machinery/Eq uipment Scrap</t>
  </si>
  <si>
    <t>Steel Castings to Cars   Scrap</t>
  </si>
  <si>
    <t>Steel Castings to Trucks Scrap</t>
  </si>
  <si>
    <t>Steel Castings to Machinery/Eq uipment Scrap</t>
  </si>
  <si>
    <t>Steel Castings to Energy Scrap</t>
  </si>
  <si>
    <t>Iron Castings to Cars   Scrap</t>
  </si>
  <si>
    <t>Iron Castings to Trucks Scrap</t>
  </si>
  <si>
    <t>Iron Castings to Machinery/Eq uipment Scrap</t>
  </si>
  <si>
    <t>Iron Castings to Energy Scrap</t>
  </si>
  <si>
    <r>
      <rPr>
        <rFont val="Cambria"/>
        <color theme="1"/>
        <sz val="10.0"/>
      </rPr>
      <t>Iron ore Node in</t>
    </r>
  </si>
  <si>
    <r>
      <rPr>
        <rFont val="Cambria"/>
        <color theme="1"/>
        <sz val="10.0"/>
      </rPr>
      <t>Iron ore Node out</t>
    </r>
  </si>
  <si>
    <r>
      <rPr>
        <rFont val="Cambria"/>
        <color theme="1"/>
        <sz val="10.0"/>
      </rPr>
      <t>Blast Furnace Node in</t>
    </r>
  </si>
  <si>
    <r>
      <rPr>
        <rFont val="Cambria"/>
        <color theme="1"/>
        <sz val="10.0"/>
      </rPr>
      <t>Blast Furnace Node out</t>
    </r>
  </si>
  <si>
    <r>
      <rPr>
        <rFont val="Cambria"/>
        <color theme="1"/>
        <sz val="10.0"/>
      </rPr>
      <t>Direct Reduction Node in</t>
    </r>
  </si>
  <si>
    <r>
      <rPr>
        <rFont val="Cambria"/>
        <color theme="1"/>
        <sz val="10.0"/>
      </rPr>
      <t>Direct Reduction Node out</t>
    </r>
  </si>
  <si>
    <r>
      <rPr>
        <rFont val="Cambria"/>
        <color theme="1"/>
        <sz val="10.0"/>
      </rPr>
      <t>Scrap Prep Node in</t>
    </r>
  </si>
  <si>
    <r>
      <rPr>
        <rFont val="Cambria"/>
        <color theme="1"/>
        <sz val="10.0"/>
      </rPr>
      <t>Scrap Prep Node out</t>
    </r>
  </si>
  <si>
    <r>
      <rPr>
        <rFont val="Cambria"/>
        <color theme="1"/>
        <sz val="10.0"/>
      </rPr>
      <t>Basic Oxygen Furnace Node in</t>
    </r>
  </si>
  <si>
    <r>
      <rPr>
        <rFont val="Cambria"/>
        <color theme="1"/>
        <sz val="10.0"/>
      </rPr>
      <t>Basic Oxygen Furnace Node out</t>
    </r>
  </si>
  <si>
    <r>
      <rPr>
        <rFont val="Cambria"/>
        <color theme="1"/>
        <sz val="10.0"/>
      </rPr>
      <t>Electric Arc Furnace Node in</t>
    </r>
  </si>
  <si>
    <r>
      <rPr>
        <rFont val="Cambria"/>
        <color theme="1"/>
        <sz val="10.0"/>
      </rPr>
      <t>Electric Arc Furnace Node out</t>
    </r>
  </si>
  <si>
    <r>
      <rPr>
        <rFont val="Cambria"/>
        <color theme="1"/>
        <sz val="10.0"/>
      </rPr>
      <t>Cupola Furnace Node in</t>
    </r>
  </si>
  <si>
    <r>
      <rPr>
        <rFont val="Cambria"/>
        <color theme="1"/>
        <sz val="10.0"/>
      </rPr>
      <t>Cupola Furnace Node out</t>
    </r>
  </si>
  <si>
    <r>
      <rPr>
        <rFont val="Cambria"/>
        <color theme="1"/>
        <sz val="10.0"/>
      </rPr>
      <t>CC Billet Node in</t>
    </r>
  </si>
  <si>
    <r>
      <rPr>
        <rFont val="Cambria"/>
        <color theme="1"/>
        <sz val="10.0"/>
      </rPr>
      <t>CC Billet Node out</t>
    </r>
  </si>
  <si>
    <r>
      <rPr>
        <rFont val="Cambria"/>
        <color theme="1"/>
        <sz val="10.0"/>
      </rPr>
      <t>CC Bloom Node in</t>
    </r>
  </si>
  <si>
    <r>
      <rPr>
        <rFont val="Cambria"/>
        <color theme="1"/>
        <sz val="10.0"/>
      </rPr>
      <t>CC Bloom Node out</t>
    </r>
  </si>
  <si>
    <r>
      <rPr>
        <rFont val="Cambria"/>
        <color theme="1"/>
        <sz val="10.0"/>
      </rPr>
      <t>Ingot Casting Node in</t>
    </r>
  </si>
  <si>
    <r>
      <rPr>
        <rFont val="Cambria"/>
        <color theme="1"/>
        <sz val="10.0"/>
      </rPr>
      <t>Ingot Casting Node out</t>
    </r>
  </si>
  <si>
    <r>
      <rPr>
        <rFont val="Cambria"/>
        <color theme="1"/>
        <sz val="10.0"/>
      </rPr>
      <t>Steel Product Casting Node in</t>
    </r>
  </si>
  <si>
    <r>
      <rPr>
        <rFont val="Cambria"/>
        <color theme="1"/>
        <sz val="10.0"/>
      </rPr>
      <t>Steel Product Casting Node out</t>
    </r>
  </si>
  <si>
    <r>
      <rPr>
        <rFont val="Cambria"/>
        <color theme="1"/>
        <sz val="10.0"/>
      </rPr>
      <t>Foundry Iron Casting Node in</t>
    </r>
  </si>
  <si>
    <r>
      <rPr>
        <rFont val="Cambria"/>
        <color theme="1"/>
        <sz val="10.0"/>
      </rPr>
      <t>Foundry Iron Casting Node out</t>
    </r>
  </si>
  <si>
    <r>
      <rPr>
        <rFont val="Cambria"/>
        <color theme="1"/>
        <sz val="10.0"/>
      </rPr>
      <t>Hot Strip Mill Node in</t>
    </r>
  </si>
  <si>
    <r>
      <rPr>
        <rFont val="Cambria"/>
        <color theme="1"/>
        <sz val="10.0"/>
      </rPr>
      <t>Hot Strip Mill Node out</t>
    </r>
  </si>
  <si>
    <r>
      <rPr>
        <rFont val="Cambria"/>
        <color theme="1"/>
        <sz val="10.0"/>
      </rPr>
      <t>Plate Mill Node in</t>
    </r>
  </si>
  <si>
    <r>
      <rPr>
        <rFont val="Cambria"/>
        <color theme="1"/>
        <sz val="10.0"/>
      </rPr>
      <t>Plate Mill Node out</t>
    </r>
  </si>
  <si>
    <r>
      <rPr>
        <rFont val="Cambria"/>
        <color theme="1"/>
        <sz val="10.0"/>
      </rPr>
      <t>Rod/Bar Mill Node in</t>
    </r>
  </si>
  <si>
    <r>
      <rPr>
        <rFont val="Cambria"/>
        <color theme="1"/>
        <sz val="10.0"/>
      </rPr>
      <t>Rod/Bar Mill Node out</t>
    </r>
  </si>
  <si>
    <r>
      <rPr>
        <rFont val="Cambria"/>
        <color theme="1"/>
        <sz val="10.0"/>
      </rPr>
      <t>Section Mill Node in</t>
    </r>
  </si>
  <si>
    <r>
      <rPr>
        <rFont val="Cambria"/>
        <color theme="1"/>
        <sz val="10.0"/>
      </rPr>
      <t>Section Mill Node out</t>
    </r>
  </si>
  <si>
    <r>
      <rPr>
        <rFont val="Cambria"/>
        <color theme="1"/>
        <sz val="10.0"/>
      </rPr>
      <t>Primary Mill Node in</t>
    </r>
  </si>
  <si>
    <r>
      <rPr>
        <rFont val="Cambria"/>
        <color theme="1"/>
        <sz val="10.0"/>
      </rPr>
      <t>Primary Mill Node out</t>
    </r>
  </si>
  <si>
    <r>
      <rPr>
        <rFont val="Cambria"/>
        <color theme="1"/>
        <sz val="10.0"/>
      </rPr>
      <t>Infrastructure Node in</t>
    </r>
  </si>
  <si>
    <r>
      <rPr>
        <rFont val="Cambria"/>
        <color theme="1"/>
        <sz val="10.0"/>
      </rPr>
      <t>Infrastructure Node out</t>
    </r>
  </si>
  <si>
    <r>
      <rPr>
        <rFont val="Cambria"/>
        <color theme="1"/>
        <sz val="10.0"/>
      </rPr>
      <t>Iron Castings Node in</t>
    </r>
  </si>
  <si>
    <r>
      <rPr>
        <rFont val="Cambria"/>
        <color theme="1"/>
        <sz val="10.0"/>
      </rPr>
      <t>Iron Castings Node out</t>
    </r>
  </si>
  <si>
    <r>
      <rPr>
        <rFont val="Cambria"/>
        <color theme="1"/>
        <sz val="10.0"/>
      </rPr>
      <t>Steel Castings Node in</t>
    </r>
  </si>
  <si>
    <r>
      <rPr>
        <rFont val="Cambria"/>
        <color theme="1"/>
        <sz val="10.0"/>
      </rPr>
      <t>Steel Castings Node out</t>
    </r>
  </si>
  <si>
    <r>
      <rPr>
        <rFont val="Cambria"/>
        <color theme="1"/>
        <sz val="10.0"/>
      </rPr>
      <t>Heavy sections Node in</t>
    </r>
  </si>
  <si>
    <r>
      <rPr>
        <rFont val="Cambria"/>
        <color theme="1"/>
        <sz val="10.0"/>
      </rPr>
      <t>Heavy sections Node out</t>
    </r>
  </si>
  <si>
    <r>
      <rPr>
        <rFont val="Cambria"/>
        <color theme="1"/>
        <sz val="10.0"/>
      </rPr>
      <t>Light Shaped bars Node in</t>
    </r>
  </si>
  <si>
    <r>
      <rPr>
        <rFont val="Cambria"/>
        <color theme="1"/>
        <sz val="10.0"/>
      </rPr>
      <t>Light Shaped bars Node out</t>
    </r>
  </si>
  <si>
    <r>
      <rPr>
        <rFont val="Cambria"/>
        <color theme="1"/>
        <sz val="10.0"/>
      </rPr>
      <t>Bar Node in</t>
    </r>
  </si>
  <si>
    <r>
      <rPr>
        <rFont val="Cambria"/>
        <color theme="1"/>
        <sz val="10.0"/>
      </rPr>
      <t>Bar Node out</t>
    </r>
  </si>
  <si>
    <r>
      <rPr>
        <rFont val="Cambria"/>
        <color theme="1"/>
        <sz val="10.0"/>
      </rPr>
      <t>Wire   Node in</t>
    </r>
  </si>
  <si>
    <r>
      <rPr>
        <rFont val="Cambria"/>
        <color theme="1"/>
        <sz val="10.0"/>
      </rPr>
      <t>Wire   Node out</t>
    </r>
  </si>
  <si>
    <r>
      <rPr>
        <rFont val="Cambria"/>
        <color theme="1"/>
        <sz val="10.0"/>
      </rPr>
      <t>Reinforcing bar Node in</t>
    </r>
  </si>
  <si>
    <r>
      <rPr>
        <rFont val="Cambria"/>
        <color theme="1"/>
        <sz val="10.0"/>
      </rPr>
      <t>Reinforcing bar Node out</t>
    </r>
  </si>
  <si>
    <r>
      <rPr>
        <rFont val="Cambria"/>
        <color theme="1"/>
        <sz val="10.0"/>
      </rPr>
      <t>Plates Node in</t>
    </r>
  </si>
  <si>
    <r>
      <rPr>
        <rFont val="Cambria"/>
        <color theme="1"/>
        <sz val="10.0"/>
      </rPr>
      <t>Plates Node out</t>
    </r>
  </si>
  <si>
    <r>
      <rPr>
        <rFont val="Cambria"/>
        <color theme="1"/>
        <sz val="10.0"/>
      </rPr>
      <t>Pipe and tubing Node in</t>
    </r>
  </si>
  <si>
    <r>
      <rPr>
        <rFont val="Cambria"/>
        <color theme="1"/>
        <sz val="10.0"/>
      </rPr>
      <t>Pipe and tubing Node out</t>
    </r>
  </si>
  <si>
    <r>
      <rPr>
        <rFont val="Cambria"/>
        <color theme="1"/>
        <sz val="10.0"/>
      </rPr>
      <t>Tin mill products Node in</t>
    </r>
  </si>
  <si>
    <r>
      <rPr>
        <rFont val="Cambria"/>
        <color theme="1"/>
        <sz val="10.0"/>
      </rPr>
      <t>Tin mill products Node out</t>
    </r>
  </si>
  <si>
    <r>
      <rPr>
        <rFont val="Cambria"/>
        <color theme="1"/>
        <sz val="10.0"/>
      </rPr>
      <t>Galvanized Node in</t>
    </r>
  </si>
  <si>
    <r>
      <rPr>
        <rFont val="Cambria"/>
        <color theme="1"/>
        <sz val="10.0"/>
      </rPr>
      <t>Galvanized Node out</t>
    </r>
  </si>
  <si>
    <r>
      <rPr>
        <rFont val="Cambria"/>
        <color theme="1"/>
        <sz val="10.0"/>
      </rPr>
      <t>CR Sheet Node in</t>
    </r>
  </si>
  <si>
    <r>
      <rPr>
        <rFont val="Cambria"/>
        <color theme="1"/>
        <sz val="10.0"/>
      </rPr>
      <t>CR Sheet Node out</t>
    </r>
  </si>
  <si>
    <r>
      <rPr>
        <rFont val="Cambria"/>
        <color theme="1"/>
        <sz val="10.0"/>
      </rPr>
      <t>HR Sheet Node in</t>
    </r>
  </si>
  <si>
    <r>
      <rPr>
        <rFont val="Cambria"/>
        <color theme="1"/>
        <sz val="10.0"/>
      </rPr>
      <t>HR Sheet Node out</t>
    </r>
  </si>
  <si>
    <r>
      <rPr>
        <rFont val="Cambria"/>
        <color theme="1"/>
        <sz val="10.0"/>
      </rPr>
      <t>Galvanizing Plant Node in</t>
    </r>
  </si>
  <si>
    <r>
      <rPr>
        <rFont val="Cambria"/>
        <color theme="1"/>
        <sz val="10.0"/>
      </rPr>
      <t>Galvanizing Plant Node out</t>
    </r>
  </si>
  <si>
    <r>
      <rPr>
        <rFont val="Cambria"/>
        <color theme="1"/>
        <sz val="10.0"/>
      </rPr>
      <t>Seamless Tube Plant Node in</t>
    </r>
  </si>
  <si>
    <r>
      <rPr>
        <rFont val="Cambria"/>
        <color theme="1"/>
        <sz val="10.0"/>
      </rPr>
      <t>Seamless Tube Plant Node out</t>
    </r>
  </si>
  <si>
    <r>
      <rPr>
        <rFont val="Cambria"/>
        <color theme="1"/>
        <sz val="10.0"/>
      </rPr>
      <t>Tube Welding Plant Node in</t>
    </r>
  </si>
  <si>
    <r>
      <rPr>
        <rFont val="Cambria"/>
        <color theme="1"/>
        <sz val="10.0"/>
      </rPr>
      <t>Tube Welding Plant Node out</t>
    </r>
  </si>
  <si>
    <r>
      <rPr>
        <rFont val="Cambria"/>
        <color theme="1"/>
        <sz val="10.0"/>
      </rPr>
      <t>Cold Rolling Mill Node in</t>
    </r>
  </si>
  <si>
    <r>
      <rPr>
        <rFont val="Cambria"/>
        <color theme="1"/>
        <sz val="10.0"/>
      </rPr>
      <t>Cold Rolling Mill Node out</t>
    </r>
  </si>
  <si>
    <t>Buildings Node in</t>
  </si>
  <si>
    <t>Buildings Node out</t>
  </si>
  <si>
    <t>Ingots, Billets, Blooms and Slabs Node in</t>
  </si>
  <si>
    <t>Ingots, Billets, Blooms and Slabs Node out</t>
  </si>
  <si>
    <t>CC Slab Node in</t>
  </si>
  <si>
    <t>CC Slab Node out</t>
  </si>
  <si>
    <t>Buildings in</t>
  </si>
  <si>
    <t>Buildings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</si>
</sst>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000"/>
    <numFmt numFmtId="165" formatCode="0.0000"/>
    <numFmt numFmtId="166" formatCode="0.000"/>
    <numFmt numFmtId="167" formatCode="0.0"/>
    <numFmt numFmtId="168" formatCode="0.00000"/>
    <numFmt numFmtId="169" formatCode="0.0E+00"/>
  </numFmts>
  <fonts count="13">
    <font>
      <sz val="10.0"/>
      <color rgb="FF000000"/>
      <name val="Times New Roman"/>
      <scheme val="minor"/>
    </font>
    <font>
      <sz val="10.0"/>
      <color theme="1"/>
      <name val="Cambria"/>
    </font>
    <font/>
    <font>
      <sz val="10.0"/>
      <color rgb="FF000000"/>
      <name val="Times New Roman"/>
    </font>
    <font>
      <sz val="10.0"/>
      <color rgb="FF000000"/>
      <name val="Cambria"/>
    </font>
    <font>
      <b/>
      <sz val="10.0"/>
      <color theme="1"/>
      <name val="Times New Roman"/>
    </font>
    <font>
      <b/>
      <sz val="10.0"/>
      <color rgb="FF000000"/>
      <name val="Times New Roman"/>
    </font>
    <font>
      <sz val="10.0"/>
      <color theme="1"/>
      <name val="Times New Roman"/>
    </font>
    <font>
      <sz val="12.0"/>
      <color theme="1"/>
      <name val="Cambria"/>
    </font>
    <font>
      <sz val="12.0"/>
      <color rgb="FF000000"/>
      <name val="Cambria"/>
    </font>
    <font>
      <sz val="12.0"/>
      <color rgb="FF000000"/>
      <name val="Times New Roman"/>
    </font>
    <font>
      <sz val="11.0"/>
      <color theme="1"/>
      <name val="Cambria"/>
    </font>
    <font>
      <sz val="11.0"/>
      <color rgb="FF000000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3" fillId="0" fontId="2" numFmtId="0" xfId="0" applyBorder="1" applyFont="1"/>
    <xf borderId="0" fillId="0" fontId="3" numFmtId="0" xfId="0" applyAlignment="1" applyFont="1">
      <alignment horizontal="left" vertical="top"/>
    </xf>
    <xf borderId="1" fillId="0" fontId="4" numFmtId="1" xfId="0" applyAlignment="1" applyBorder="1" applyFont="1" applyNumberFormat="1">
      <alignment horizontal="left" shrinkToFit="1" vertical="top" wrapText="0"/>
    </xf>
    <xf borderId="1" fillId="0" fontId="4" numFmtId="164" xfId="0" applyAlignment="1" applyBorder="1" applyFont="1" applyNumberFormat="1">
      <alignment horizontal="left" shrinkToFit="1" vertical="top" wrapText="0"/>
    </xf>
    <xf borderId="1" fillId="0" fontId="4" numFmtId="11" xfId="0" applyAlignment="1" applyBorder="1" applyFont="1" applyNumberFormat="1">
      <alignment horizontal="left" shrinkToFit="1" vertical="top" wrapText="0"/>
    </xf>
    <xf borderId="2" fillId="0" fontId="4" numFmtId="2" xfId="0" applyAlignment="1" applyBorder="1" applyFont="1" applyNumberFormat="1">
      <alignment horizontal="left" shrinkToFit="1" vertical="top" wrapText="0"/>
    </xf>
    <xf borderId="2" fillId="0" fontId="4" numFmtId="165" xfId="0" applyAlignment="1" applyBorder="1" applyFont="1" applyNumberFormat="1">
      <alignment horizontal="left" shrinkToFit="1" vertical="top" wrapText="0"/>
    </xf>
    <xf borderId="1" fillId="0" fontId="1" numFmtId="0" xfId="0" applyAlignment="1" applyBorder="1" applyFont="1">
      <alignment horizontal="left" shrinkToFit="0" vertical="center" wrapText="1"/>
    </xf>
    <xf borderId="1" fillId="0" fontId="4" numFmtId="1" xfId="0" applyAlignment="1" applyBorder="1" applyFont="1" applyNumberFormat="1">
      <alignment horizontal="left" shrinkToFit="1" vertical="center" wrapText="0"/>
    </xf>
    <xf borderId="1" fillId="0" fontId="4" numFmtId="166" xfId="0" applyAlignment="1" applyBorder="1" applyFont="1" applyNumberFormat="1">
      <alignment horizontal="left" shrinkToFit="1" vertical="center" wrapText="0"/>
    </xf>
    <xf borderId="2" fillId="0" fontId="4" numFmtId="1" xfId="0" applyAlignment="1" applyBorder="1" applyFont="1" applyNumberFormat="1">
      <alignment horizontal="left" shrinkToFit="1" vertical="center" wrapText="0"/>
    </xf>
    <xf borderId="2" fillId="0" fontId="4" numFmtId="1" xfId="0" applyAlignment="1" applyBorder="1" applyFont="1" applyNumberFormat="1">
      <alignment horizontal="left" shrinkToFit="1" vertical="top" wrapText="0"/>
    </xf>
    <xf borderId="1" fillId="0" fontId="4" numFmtId="2" xfId="0" applyAlignment="1" applyBorder="1" applyFont="1" applyNumberFormat="1">
      <alignment horizontal="left" shrinkToFit="1" vertical="top" wrapText="0"/>
    </xf>
    <xf borderId="2" fillId="0" fontId="4" numFmtId="167" xfId="0" applyAlignment="1" applyBorder="1" applyFont="1" applyNumberFormat="1">
      <alignment horizontal="left" shrinkToFit="1" vertical="top" wrapText="0"/>
    </xf>
    <xf borderId="0" fillId="0" fontId="3" numFmtId="164" xfId="0" applyAlignment="1" applyFont="1" applyNumberFormat="1">
      <alignment horizontal="left" vertical="top"/>
    </xf>
    <xf borderId="2" fillId="0" fontId="4" numFmtId="166" xfId="0" applyAlignment="1" applyBorder="1" applyFont="1" applyNumberFormat="1">
      <alignment horizontal="left" shrinkToFit="1" vertical="center" wrapText="0"/>
    </xf>
    <xf borderId="2" fillId="0" fontId="4" numFmtId="168" xfId="0" applyAlignment="1" applyBorder="1" applyFont="1" applyNumberFormat="1">
      <alignment horizontal="left" shrinkToFit="1" vertical="top" wrapText="0"/>
    </xf>
    <xf borderId="2" fillId="0" fontId="4" numFmtId="164" xfId="0" applyAlignment="1" applyBorder="1" applyFont="1" applyNumberFormat="1">
      <alignment horizontal="left" shrinkToFit="1" vertical="top" wrapText="0"/>
    </xf>
    <xf borderId="2" fillId="0" fontId="4" numFmtId="11" xfId="0" applyAlignment="1" applyBorder="1" applyFont="1" applyNumberFormat="1">
      <alignment horizontal="left" shrinkToFit="1" vertical="top" wrapText="0"/>
    </xf>
    <xf borderId="2" fillId="0" fontId="4" numFmtId="168" xfId="0" applyAlignment="1" applyBorder="1" applyFont="1" applyNumberFormat="1">
      <alignment horizontal="left" shrinkToFit="1" vertical="center" wrapText="0"/>
    </xf>
    <xf borderId="2" fillId="0" fontId="4" numFmtId="164" xfId="0" applyAlignment="1" applyBorder="1" applyFont="1" applyNumberFormat="1">
      <alignment horizontal="left" shrinkToFit="1" vertical="center" wrapText="0"/>
    </xf>
    <xf borderId="0" fillId="0" fontId="3" numFmtId="2" xfId="0" applyAlignment="1" applyFont="1" applyNumberFormat="1">
      <alignment horizontal="left" vertical="top"/>
    </xf>
    <xf borderId="2" fillId="0" fontId="4" numFmtId="166" xfId="0" applyAlignment="1" applyBorder="1" applyFont="1" applyNumberFormat="1">
      <alignment horizontal="left" shrinkToFit="1" vertical="top" wrapText="0"/>
    </xf>
    <xf borderId="1" fillId="0" fontId="4" numFmtId="2" xfId="0" applyAlignment="1" applyBorder="1" applyFont="1" applyNumberFormat="1">
      <alignment horizontal="left" shrinkToFit="1" vertical="center" wrapText="0"/>
    </xf>
    <xf borderId="1" fillId="0" fontId="4" numFmtId="11" xfId="0" applyAlignment="1" applyBorder="1" applyFont="1" applyNumberFormat="1">
      <alignment horizontal="left" shrinkToFit="1" vertical="center" wrapText="0"/>
    </xf>
    <xf borderId="2" fillId="0" fontId="4" numFmtId="11" xfId="0" applyAlignment="1" applyBorder="1" applyFont="1" applyNumberFormat="1">
      <alignment horizontal="left" shrinkToFit="1" vertical="center" wrapText="0"/>
    </xf>
    <xf borderId="1" fillId="0" fontId="4" numFmtId="164" xfId="0" applyAlignment="1" applyBorder="1" applyFont="1" applyNumberFormat="1">
      <alignment horizontal="left" shrinkToFit="1" vertical="center" wrapText="0"/>
    </xf>
    <xf borderId="2" fillId="0" fontId="4" numFmtId="2" xfId="0" applyAlignment="1" applyBorder="1" applyFont="1" applyNumberFormat="1">
      <alignment horizontal="left" shrinkToFit="1" vertical="center" wrapText="0"/>
    </xf>
    <xf borderId="2" fillId="0" fontId="4" numFmtId="165" xfId="0" applyAlignment="1" applyBorder="1" applyFont="1" applyNumberFormat="1">
      <alignment horizontal="left" shrinkToFit="1" vertical="center" wrapText="0"/>
    </xf>
    <xf borderId="2" fillId="0" fontId="4" numFmtId="167" xfId="0" applyAlignment="1" applyBorder="1" applyFont="1" applyNumberFormat="1">
      <alignment horizontal="left" shrinkToFit="1" vertical="center" wrapText="0"/>
    </xf>
    <xf borderId="1" fillId="0" fontId="4" numFmtId="167" xfId="0" applyAlignment="1" applyBorder="1" applyFont="1" applyNumberFormat="1">
      <alignment horizontal="left" shrinkToFit="1" vertical="center" wrapText="0"/>
    </xf>
    <xf borderId="1" fillId="0" fontId="4" numFmtId="165" xfId="0" applyAlignment="1" applyBorder="1" applyFont="1" applyNumberFormat="1">
      <alignment horizontal="left" shrinkToFit="1" vertical="center" wrapText="0"/>
    </xf>
    <xf borderId="1" fillId="0" fontId="3" numFmtId="0" xfId="0" applyAlignment="1" applyBorder="1" applyFont="1">
      <alignment horizontal="left" shrinkToFit="0" vertical="top" wrapText="1"/>
    </xf>
    <xf borderId="2" fillId="0" fontId="4" numFmtId="168" xfId="0" applyAlignment="1" applyBorder="1" applyFont="1" applyNumberFormat="1">
      <alignment horizontal="center" shrinkToFit="1" vertical="center" wrapText="0"/>
    </xf>
    <xf borderId="2" fillId="0" fontId="4" numFmtId="164" xfId="0" applyAlignment="1" applyBorder="1" applyFont="1" applyNumberFormat="1">
      <alignment horizontal="center" shrinkToFit="1" vertical="center" wrapText="0"/>
    </xf>
    <xf borderId="2" fillId="0" fontId="4" numFmtId="2" xfId="0" applyAlignment="1" applyBorder="1" applyFont="1" applyNumberFormat="1">
      <alignment horizontal="center" shrinkToFit="1" vertical="top" wrapText="0"/>
    </xf>
    <xf borderId="2" fillId="0" fontId="4" numFmtId="166" xfId="0" applyAlignment="1" applyBorder="1" applyFont="1" applyNumberFormat="1">
      <alignment horizontal="center" shrinkToFit="1" vertical="top" wrapText="0"/>
    </xf>
    <xf borderId="2" fillId="0" fontId="4" numFmtId="165" xfId="0" applyAlignment="1" applyBorder="1" applyFont="1" applyNumberFormat="1">
      <alignment horizontal="center" shrinkToFit="1" vertical="top" wrapText="0"/>
    </xf>
    <xf borderId="2" fillId="0" fontId="4" numFmtId="164" xfId="0" applyAlignment="1" applyBorder="1" applyFont="1" applyNumberFormat="1">
      <alignment horizontal="center" shrinkToFit="1" vertical="top" wrapText="0"/>
    </xf>
    <xf borderId="2" fillId="0" fontId="4" numFmtId="2" xfId="0" applyAlignment="1" applyBorder="1" applyFont="1" applyNumberFormat="1">
      <alignment horizontal="center" shrinkToFit="1" vertical="center" wrapText="0"/>
    </xf>
    <xf borderId="2" fillId="0" fontId="4" numFmtId="168" xfId="0" applyAlignment="1" applyBorder="1" applyFont="1" applyNumberFormat="1">
      <alignment horizontal="center" shrinkToFit="1" vertical="top" wrapText="0"/>
    </xf>
    <xf borderId="1" fillId="0" fontId="4" numFmtId="167" xfId="0" applyAlignment="1" applyBorder="1" applyFont="1" applyNumberFormat="1">
      <alignment horizontal="left" shrinkToFit="1" vertical="top" wrapText="0"/>
    </xf>
    <xf borderId="1" fillId="0" fontId="3" numFmtId="0" xfId="0" applyAlignment="1" applyBorder="1" applyFont="1">
      <alignment horizontal="left" shrinkToFit="0" vertical="center" wrapText="1"/>
    </xf>
    <xf borderId="2" fillId="0" fontId="4" numFmtId="166" xfId="0" applyAlignment="1" applyBorder="1" applyFont="1" applyNumberFormat="1">
      <alignment horizontal="center" shrinkToFit="1" vertical="center" wrapText="0"/>
    </xf>
    <xf borderId="2" fillId="0" fontId="4" numFmtId="165" xfId="0" applyAlignment="1" applyBorder="1" applyFont="1" applyNumberFormat="1">
      <alignment horizontal="center" shrinkToFit="1" vertical="center" wrapText="0"/>
    </xf>
    <xf borderId="1" fillId="0" fontId="4" numFmtId="168" xfId="0" applyAlignment="1" applyBorder="1" applyFont="1" applyNumberFormat="1">
      <alignment horizontal="left" shrinkToFit="1" vertical="top" wrapText="0"/>
    </xf>
    <xf borderId="1" fillId="0" fontId="4" numFmtId="168" xfId="0" applyAlignment="1" applyBorder="1" applyFont="1" applyNumberFormat="1">
      <alignment horizontal="left" shrinkToFit="1" vertical="center" wrapText="0"/>
    </xf>
    <xf borderId="1" fillId="0" fontId="4" numFmtId="165" xfId="0" applyAlignment="1" applyBorder="1" applyFont="1" applyNumberFormat="1">
      <alignment horizontal="left" shrinkToFit="1" vertical="top" wrapText="0"/>
    </xf>
    <xf borderId="1" fillId="0" fontId="4" numFmtId="166" xfId="0" applyAlignment="1" applyBorder="1" applyFont="1" applyNumberFormat="1">
      <alignment horizontal="left" shrinkToFit="1" vertical="top" wrapText="0"/>
    </xf>
    <xf borderId="2" fillId="0" fontId="1" numFmtId="0" xfId="0" applyAlignment="1" applyBorder="1" applyFont="1">
      <alignment horizontal="center" shrinkToFit="0" vertical="top" wrapText="1"/>
    </xf>
    <xf borderId="4" fillId="0" fontId="2" numFmtId="0" xfId="0" applyBorder="1" applyFont="1"/>
    <xf borderId="1" fillId="0" fontId="4" numFmtId="169" xfId="0" applyAlignment="1" applyBorder="1" applyFont="1" applyNumberFormat="1">
      <alignment horizontal="left" shrinkToFit="1" vertical="top" wrapText="0"/>
    </xf>
    <xf borderId="1" fillId="0" fontId="4" numFmtId="169" xfId="0" applyAlignment="1" applyBorder="1" applyFont="1" applyNumberFormat="1">
      <alignment horizontal="left" shrinkToFit="1" vertical="center" wrapText="0"/>
    </xf>
    <xf borderId="2" fillId="0" fontId="4" numFmtId="169" xfId="0" applyAlignment="1" applyBorder="1" applyFont="1" applyNumberFormat="1">
      <alignment horizontal="left" shrinkToFit="1" vertical="top" wrapText="0"/>
    </xf>
    <xf borderId="1" fillId="0" fontId="4" numFmtId="164" xfId="0" applyAlignment="1" applyBorder="1" applyFont="1" applyNumberFormat="1">
      <alignment horizontal="center" shrinkToFit="1" vertical="top" wrapText="0"/>
    </xf>
    <xf borderId="1" fillId="0" fontId="4" numFmtId="164" xfId="0" applyAlignment="1" applyBorder="1" applyFont="1" applyNumberFormat="1">
      <alignment horizontal="center" shrinkToFit="1" vertical="center" wrapText="0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0" fillId="0" fontId="6" numFmtId="2" xfId="0" applyFont="1" applyNumberFormat="1"/>
    <xf borderId="0" fillId="0" fontId="6" numFmtId="165" xfId="0" applyFont="1" applyNumberFormat="1"/>
    <xf borderId="0" fillId="0" fontId="6" numFmtId="0" xfId="0" applyFont="1"/>
    <xf borderId="1" fillId="0" fontId="7" numFmtId="0" xfId="0" applyAlignment="1" applyBorder="1" applyFont="1">
      <alignment horizontal="center" shrinkToFit="0" vertical="center" wrapText="1"/>
    </xf>
    <xf borderId="1" fillId="2" fontId="3" numFmtId="2" xfId="0" applyAlignment="1" applyBorder="1" applyFill="1" applyFont="1" applyNumberFormat="1">
      <alignment horizontal="center" shrinkToFit="1" vertical="center" wrapText="0"/>
    </xf>
    <xf borderId="1" fillId="0" fontId="3" numFmtId="2" xfId="0" applyAlignment="1" applyBorder="1" applyFont="1" applyNumberFormat="1">
      <alignment horizontal="center" vertical="center"/>
    </xf>
    <xf borderId="1" fillId="2" fontId="3" numFmtId="166" xfId="0" applyAlignment="1" applyBorder="1" applyFont="1" applyNumberFormat="1">
      <alignment horizontal="center" shrinkToFit="1" vertical="center" wrapText="0"/>
    </xf>
    <xf borderId="1" fillId="0" fontId="3" numFmtId="165" xfId="0" applyAlignment="1" applyBorder="1" applyFont="1" applyNumberFormat="1">
      <alignment horizontal="center" vertical="center"/>
    </xf>
    <xf borderId="1" fillId="0" fontId="3" numFmtId="168" xfId="0" applyAlignment="1" applyBorder="1" applyFont="1" applyNumberFormat="1">
      <alignment horizontal="center" vertical="center"/>
    </xf>
    <xf borderId="1" fillId="2" fontId="3" numFmtId="165" xfId="0" applyAlignment="1" applyBorder="1" applyFont="1" applyNumberFormat="1">
      <alignment horizontal="center" shrinkToFit="1" vertical="center" wrapText="0"/>
    </xf>
    <xf borderId="1" fillId="0" fontId="3" numFmtId="0" xfId="0" applyAlignment="1" applyBorder="1" applyFont="1">
      <alignment horizontal="center" vertical="center"/>
    </xf>
    <xf borderId="1" fillId="2" fontId="3" numFmtId="168" xfId="0" applyAlignment="1" applyBorder="1" applyFont="1" applyNumberFormat="1">
      <alignment horizontal="center" shrinkToFit="1" vertical="center" wrapText="0"/>
    </xf>
    <xf borderId="1" fillId="2" fontId="3" numFmtId="1" xfId="0" applyAlignment="1" applyBorder="1" applyFont="1" applyNumberFormat="1">
      <alignment horizontal="center" shrinkToFit="1" vertical="center" wrapText="0"/>
    </xf>
    <xf borderId="1" fillId="2" fontId="3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left" shrinkToFit="0" vertical="top" wrapText="1"/>
    </xf>
    <xf borderId="2" fillId="0" fontId="8" numFmtId="0" xfId="0" applyAlignment="1" applyBorder="1" applyFont="1">
      <alignment horizontal="left" shrinkToFit="0" vertical="top" wrapText="1"/>
    </xf>
    <xf borderId="2" fillId="0" fontId="9" numFmtId="164" xfId="0" applyAlignment="1" applyBorder="1" applyFont="1" applyNumberFormat="1">
      <alignment horizontal="left" shrinkToFit="1" vertical="top" wrapText="0"/>
    </xf>
    <xf borderId="0" fillId="0" fontId="10" numFmtId="0" xfId="0" applyAlignment="1" applyFont="1">
      <alignment horizontal="left" vertical="top"/>
    </xf>
    <xf borderId="1" fillId="3" fontId="8" numFmtId="0" xfId="0" applyAlignment="1" applyBorder="1" applyFill="1" applyFont="1">
      <alignment horizontal="left" shrinkToFit="0" vertical="top" wrapText="1"/>
    </xf>
    <xf borderId="5" fillId="3" fontId="8" numFmtId="0" xfId="0" applyAlignment="1" applyBorder="1" applyFont="1">
      <alignment horizontal="left" shrinkToFit="0" vertical="top" wrapText="1"/>
    </xf>
    <xf borderId="5" fillId="3" fontId="9" numFmtId="2" xfId="0" applyAlignment="1" applyBorder="1" applyFont="1" applyNumberFormat="1">
      <alignment horizontal="left" shrinkToFit="1" vertical="top" wrapText="0"/>
    </xf>
    <xf borderId="6" fillId="3" fontId="10" numFmtId="0" xfId="0" applyAlignment="1" applyBorder="1" applyFont="1">
      <alignment horizontal="left" vertical="top"/>
    </xf>
    <xf borderId="2" fillId="0" fontId="9" numFmtId="1" xfId="0" applyAlignment="1" applyBorder="1" applyFont="1" applyNumberFormat="1">
      <alignment horizontal="left" shrinkToFit="1" vertical="center" wrapText="0"/>
    </xf>
    <xf borderId="5" fillId="3" fontId="9" numFmtId="1" xfId="0" applyAlignment="1" applyBorder="1" applyFont="1" applyNumberFormat="1">
      <alignment horizontal="left" shrinkToFit="1" vertical="top" wrapText="0"/>
    </xf>
    <xf borderId="5" fillId="3" fontId="9" numFmtId="167" xfId="0" applyAlignment="1" applyBorder="1" applyFont="1" applyNumberFormat="1">
      <alignment horizontal="left" shrinkToFit="1" vertical="top" wrapText="0"/>
    </xf>
    <xf borderId="5" fillId="3" fontId="9" numFmtId="166" xfId="0" applyAlignment="1" applyBorder="1" applyFont="1" applyNumberFormat="1">
      <alignment horizontal="left" shrinkToFit="1" vertical="center" wrapText="0"/>
    </xf>
    <xf borderId="5" fillId="3" fontId="9" numFmtId="168" xfId="0" applyAlignment="1" applyBorder="1" applyFont="1" applyNumberFormat="1">
      <alignment horizontal="left" shrinkToFit="1" vertical="top" wrapText="0"/>
    </xf>
    <xf borderId="5" fillId="3" fontId="9" numFmtId="164" xfId="0" applyAlignment="1" applyBorder="1" applyFont="1" applyNumberFormat="1">
      <alignment horizontal="left" shrinkToFit="1" vertical="top" wrapText="0"/>
    </xf>
    <xf borderId="5" fillId="3" fontId="9" numFmtId="165" xfId="0" applyAlignment="1" applyBorder="1" applyFont="1" applyNumberFormat="1">
      <alignment horizontal="left" shrinkToFit="1" vertical="top" wrapText="0"/>
    </xf>
    <xf borderId="6" fillId="3" fontId="10" numFmtId="164" xfId="0" applyAlignment="1" applyBorder="1" applyFont="1" applyNumberFormat="1">
      <alignment horizontal="left" vertical="top"/>
    </xf>
    <xf borderId="6" fillId="3" fontId="10" numFmtId="166" xfId="0" applyAlignment="1" applyBorder="1" applyFont="1" applyNumberFormat="1">
      <alignment horizontal="left" vertical="top"/>
    </xf>
    <xf borderId="5" fillId="3" fontId="9" numFmtId="166" xfId="0" applyAlignment="1" applyBorder="1" applyFont="1" applyNumberFormat="1">
      <alignment horizontal="left" shrinkToFit="1" vertical="top" wrapText="0"/>
    </xf>
    <xf borderId="5" fillId="3" fontId="9" numFmtId="168" xfId="0" applyAlignment="1" applyBorder="1" applyFont="1" applyNumberFormat="1">
      <alignment horizontal="left" shrinkToFit="1" vertical="center" wrapText="0"/>
    </xf>
    <xf borderId="5" fillId="3" fontId="9" numFmtId="2" xfId="0" applyAlignment="1" applyBorder="1" applyFont="1" applyNumberFormat="1">
      <alignment horizontal="left" shrinkToFit="1" vertical="center" wrapText="0"/>
    </xf>
    <xf borderId="2" fillId="0" fontId="9" numFmtId="168" xfId="0" applyAlignment="1" applyBorder="1" applyFont="1" applyNumberFormat="1">
      <alignment horizontal="left" shrinkToFit="1" vertical="center" wrapText="0"/>
    </xf>
    <xf borderId="5" fillId="3" fontId="9" numFmtId="165" xfId="0" applyAlignment="1" applyBorder="1" applyFont="1" applyNumberFormat="1">
      <alignment horizontal="left" shrinkToFit="1" vertical="center" wrapText="0"/>
    </xf>
    <xf borderId="5" fillId="3" fontId="9" numFmtId="167" xfId="0" applyAlignment="1" applyBorder="1" applyFont="1" applyNumberFormat="1">
      <alignment horizontal="left" shrinkToFit="1" vertical="center" wrapText="0"/>
    </xf>
    <xf borderId="5" fillId="3" fontId="9" numFmtId="2" xfId="0" applyAlignment="1" applyBorder="1" applyFont="1" applyNumberFormat="1">
      <alignment horizontal="center" shrinkToFit="1" vertical="top" wrapText="0"/>
    </xf>
    <xf borderId="5" fillId="3" fontId="9" numFmtId="166" xfId="0" applyAlignment="1" applyBorder="1" applyFont="1" applyNumberFormat="1">
      <alignment horizontal="center" shrinkToFit="1" vertical="top" wrapText="0"/>
    </xf>
    <xf borderId="5" fillId="3" fontId="9" numFmtId="165" xfId="0" applyAlignment="1" applyBorder="1" applyFont="1" applyNumberFormat="1">
      <alignment horizontal="center" shrinkToFit="1" vertical="top" wrapText="0"/>
    </xf>
    <xf borderId="5" fillId="3" fontId="9" numFmtId="168" xfId="0" applyAlignment="1" applyBorder="1" applyFont="1" applyNumberFormat="1">
      <alignment horizontal="center" shrinkToFit="1" vertical="top" wrapText="0"/>
    </xf>
    <xf borderId="5" fillId="3" fontId="9" numFmtId="166" xfId="0" applyAlignment="1" applyBorder="1" applyFont="1" applyNumberFormat="1">
      <alignment horizontal="center" shrinkToFit="1" vertical="center" wrapText="0"/>
    </xf>
    <xf borderId="5" fillId="3" fontId="9" numFmtId="2" xfId="0" applyAlignment="1" applyBorder="1" applyFont="1" applyNumberFormat="1">
      <alignment horizontal="center" shrinkToFit="1" vertical="center" wrapText="0"/>
    </xf>
    <xf borderId="6" fillId="3" fontId="10" numFmtId="2" xfId="0" applyAlignment="1" applyBorder="1" applyFont="1" applyNumberFormat="1">
      <alignment horizontal="left" vertical="top"/>
    </xf>
    <xf borderId="5" fillId="3" fontId="9" numFmtId="165" xfId="0" applyAlignment="1" applyBorder="1" applyFont="1" applyNumberFormat="1">
      <alignment horizontal="center" shrinkToFit="1" vertical="center" wrapText="0"/>
    </xf>
    <xf borderId="6" fillId="3" fontId="10" numFmtId="165" xfId="0" applyAlignment="1" applyBorder="1" applyFont="1" applyNumberFormat="1">
      <alignment horizontal="left" vertical="top"/>
    </xf>
    <xf borderId="5" fillId="3" fontId="9" numFmtId="164" xfId="0" applyAlignment="1" applyBorder="1" applyFont="1" applyNumberFormat="1">
      <alignment horizontal="left" shrinkToFit="1" vertical="center" wrapText="0"/>
    </xf>
    <xf borderId="2" fillId="0" fontId="9" numFmtId="1" xfId="0" applyAlignment="1" applyBorder="1" applyFont="1" applyNumberFormat="1">
      <alignment horizontal="left" shrinkToFit="1" vertical="top" wrapText="0"/>
    </xf>
    <xf borderId="5" fillId="3" fontId="9" numFmtId="1" xfId="0" applyAlignment="1" applyBorder="1" applyFont="1" applyNumberFormat="1">
      <alignment horizontal="left" shrinkToFit="1" vertical="center" wrapText="0"/>
    </xf>
    <xf borderId="2" fillId="0" fontId="9" numFmtId="2" xfId="0" applyAlignment="1" applyBorder="1" applyFont="1" applyNumberFormat="1">
      <alignment horizontal="left" shrinkToFit="1" vertical="top" wrapText="0"/>
    </xf>
    <xf borderId="5" fillId="3" fontId="9" numFmtId="164" xfId="0" applyAlignment="1" applyBorder="1" applyFont="1" applyNumberFormat="1">
      <alignment horizontal="center" shrinkToFit="1" vertical="top" wrapText="0"/>
    </xf>
    <xf borderId="5" fillId="3" fontId="9" numFmtId="168" xfId="0" applyAlignment="1" applyBorder="1" applyFont="1" applyNumberFormat="1">
      <alignment horizontal="center" shrinkToFit="1" vertical="center" wrapText="0"/>
    </xf>
    <xf borderId="5" fillId="3" fontId="9" numFmtId="164" xfId="0" applyAlignment="1" applyBorder="1" applyFont="1" applyNumberFormat="1">
      <alignment horizontal="center" shrinkToFit="1" vertical="center" wrapText="0"/>
    </xf>
    <xf borderId="2" fillId="0" fontId="4" numFmtId="2" xfId="0" applyAlignment="1" applyBorder="1" applyFont="1" applyNumberFormat="1">
      <alignment shrinkToFit="1" vertical="top" wrapText="0"/>
    </xf>
    <xf borderId="2" fillId="0" fontId="4" numFmtId="167" xfId="0" applyAlignment="1" applyBorder="1" applyFont="1" applyNumberFormat="1">
      <alignment shrinkToFit="1" vertical="top" wrapText="0"/>
    </xf>
    <xf borderId="2" fillId="0" fontId="4" numFmtId="166" xfId="0" applyAlignment="1" applyBorder="1" applyFont="1" applyNumberFormat="1">
      <alignment shrinkToFit="1" vertical="center" wrapText="0"/>
    </xf>
    <xf borderId="2" fillId="0" fontId="4" numFmtId="2" xfId="0" applyAlignment="1" applyBorder="1" applyFont="1" applyNumberFormat="1">
      <alignment shrinkToFit="1" vertical="center" wrapText="0"/>
    </xf>
    <xf borderId="2" fillId="0" fontId="4" numFmtId="168" xfId="0" applyAlignment="1" applyBorder="1" applyFont="1" applyNumberFormat="1">
      <alignment shrinkToFit="1" vertical="center" wrapText="0"/>
    </xf>
    <xf borderId="2" fillId="0" fontId="4" numFmtId="166" xfId="0" applyAlignment="1" applyBorder="1" applyFont="1" applyNumberFormat="1">
      <alignment shrinkToFit="1" vertical="top" wrapText="0"/>
    </xf>
    <xf borderId="2" fillId="0" fontId="4" numFmtId="165" xfId="0" applyAlignment="1" applyBorder="1" applyFont="1" applyNumberFormat="1">
      <alignment shrinkToFit="1" vertical="top" wrapText="0"/>
    </xf>
    <xf borderId="2" fillId="0" fontId="4" numFmtId="165" xfId="0" applyAlignment="1" applyBorder="1" applyFont="1" applyNumberFormat="1">
      <alignment shrinkToFit="1" vertical="center" wrapText="0"/>
    </xf>
    <xf borderId="1" fillId="2" fontId="11" numFmtId="0" xfId="0" applyAlignment="1" applyBorder="1" applyFont="1">
      <alignment horizontal="center" shrinkToFit="0" vertical="center" wrapText="1"/>
    </xf>
    <xf borderId="5" fillId="2" fontId="12" numFmtId="2" xfId="0" applyAlignment="1" applyBorder="1" applyFont="1" applyNumberFormat="1">
      <alignment horizontal="center" shrinkToFit="1" vertical="center" wrapText="0"/>
    </xf>
    <xf borderId="1" fillId="0" fontId="11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center" wrapText="0"/>
    </xf>
    <xf borderId="0" fillId="0" fontId="3" numFmtId="0" xfId="0" applyFont="1"/>
    <xf borderId="1" fillId="0" fontId="3" numFmtId="2" xfId="0" applyAlignment="1" applyBorder="1" applyFont="1" applyNumberFormat="1">
      <alignment horizontal="center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695325</xdr:colOff>
      <xdr:row>0</xdr:row>
      <xdr:rowOff>-19050</xdr:rowOff>
    </xdr:from>
    <xdr:ext cx="2343150" cy="38100"/>
    <xdr:sp>
      <xdr:nvSpPr>
        <xdr:cNvPr id="3" name="Shape 3"/>
        <xdr:cNvSpPr/>
      </xdr:nvSpPr>
      <xdr:spPr>
        <a:xfrm>
          <a:off x="4169980" y="3780000"/>
          <a:ext cx="2352040" cy="0"/>
        </a:xfrm>
        <a:custGeom>
          <a:rect b="b" l="l" r="r" t="t"/>
          <a:pathLst>
            <a:path extrusionOk="0" h="120000" w="2352040">
              <a:moveTo>
                <a:pt x="0" y="0"/>
              </a:moveTo>
              <a:lnTo>
                <a:pt x="2351434" y="0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-19050</xdr:rowOff>
    </xdr:from>
    <xdr:ext cx="2343150" cy="38100"/>
    <xdr:sp>
      <xdr:nvSpPr>
        <xdr:cNvPr id="3" name="Shape 3"/>
        <xdr:cNvSpPr/>
      </xdr:nvSpPr>
      <xdr:spPr>
        <a:xfrm>
          <a:off x="4169980" y="3780000"/>
          <a:ext cx="2352040" cy="0"/>
        </a:xfrm>
        <a:custGeom>
          <a:rect b="b" l="l" r="r" t="t"/>
          <a:pathLst>
            <a:path extrusionOk="0" h="120000" w="2352040">
              <a:moveTo>
                <a:pt x="0" y="0"/>
              </a:moveTo>
              <a:lnTo>
                <a:pt x="2351434" y="0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8.0"/>
    <col customWidth="1" min="3" max="6" width="14.0"/>
    <col customWidth="1" min="7" max="7" width="11.43"/>
    <col customWidth="1" min="8" max="8" width="2.0"/>
    <col customWidth="1" min="9" max="9" width="11.29"/>
    <col customWidth="1" min="10" max="10" width="2.43"/>
    <col customWidth="1" min="11" max="11" width="12.43"/>
    <col customWidth="1" min="12" max="26" width="8.86"/>
  </cols>
  <sheetData>
    <row r="1" ht="4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2" t="s">
        <v>7</v>
      </c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1" t="s">
        <v>8</v>
      </c>
      <c r="B2" s="1" t="s">
        <v>9</v>
      </c>
      <c r="C2" s="5">
        <v>25595.0</v>
      </c>
      <c r="D2" s="6">
        <v>0.001831</v>
      </c>
      <c r="E2" s="5">
        <v>26643.0</v>
      </c>
      <c r="F2" s="7">
        <v>2.77E-5</v>
      </c>
      <c r="G2" s="8">
        <v>26306.54</v>
      </c>
      <c r="H2" s="3"/>
      <c r="I2" s="9">
        <v>3.0E-4</v>
      </c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6.0" customHeight="1">
      <c r="A3" s="10" t="s">
        <v>10</v>
      </c>
      <c r="B3" s="1" t="s">
        <v>11</v>
      </c>
      <c r="C3" s="11">
        <v>0.0</v>
      </c>
      <c r="D3" s="11">
        <v>0.0</v>
      </c>
      <c r="E3" s="12">
        <v>2279.708</v>
      </c>
      <c r="F3" s="11">
        <v>0.0</v>
      </c>
      <c r="G3" s="13">
        <v>2565.0</v>
      </c>
      <c r="H3" s="3"/>
      <c r="I3" s="13">
        <v>0.0</v>
      </c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0" customHeight="1">
      <c r="A4" s="1" t="s">
        <v>12</v>
      </c>
      <c r="B4" s="1" t="s">
        <v>13</v>
      </c>
      <c r="C4" s="5">
        <v>7559.0</v>
      </c>
      <c r="D4" s="5">
        <v>0.0</v>
      </c>
      <c r="E4" s="5">
        <v>7559.0</v>
      </c>
      <c r="F4" s="5">
        <v>0.0</v>
      </c>
      <c r="G4" s="14">
        <v>7559.0</v>
      </c>
      <c r="H4" s="3"/>
      <c r="I4" s="14">
        <v>0.0</v>
      </c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1" t="s">
        <v>14</v>
      </c>
      <c r="B5" s="1" t="s">
        <v>15</v>
      </c>
      <c r="C5" s="5">
        <v>25595.0</v>
      </c>
      <c r="D5" s="5">
        <v>0.0</v>
      </c>
      <c r="E5" s="15">
        <v>36481.71</v>
      </c>
      <c r="F5" s="5">
        <v>0.0</v>
      </c>
      <c r="G5" s="8">
        <v>26306.54</v>
      </c>
      <c r="H5" s="3"/>
      <c r="I5" s="14">
        <v>0.0</v>
      </c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0" customHeight="1">
      <c r="A6" s="1" t="s">
        <v>16</v>
      </c>
      <c r="B6" s="1" t="s">
        <v>17</v>
      </c>
      <c r="C6" s="5">
        <v>25595.0</v>
      </c>
      <c r="D6" s="5">
        <v>0.0</v>
      </c>
      <c r="E6" s="15">
        <v>36481.71</v>
      </c>
      <c r="F6" s="5">
        <v>0.0</v>
      </c>
      <c r="G6" s="8">
        <v>26306.54</v>
      </c>
      <c r="H6" s="3"/>
      <c r="I6" s="14">
        <v>0.0</v>
      </c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1" t="s">
        <v>18</v>
      </c>
      <c r="B7" s="1" t="s">
        <v>19</v>
      </c>
      <c r="C7" s="5">
        <v>1.0</v>
      </c>
      <c r="D7" s="5">
        <v>0.0</v>
      </c>
      <c r="E7" s="5">
        <v>1.0</v>
      </c>
      <c r="F7" s="5">
        <v>0.0</v>
      </c>
      <c r="G7" s="14">
        <v>1.0</v>
      </c>
      <c r="H7" s="3"/>
      <c r="I7" s="14">
        <v>0.0</v>
      </c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8.0" customHeight="1">
      <c r="A8" s="1" t="s">
        <v>20</v>
      </c>
      <c r="B8" s="1" t="s">
        <v>21</v>
      </c>
      <c r="C8" s="5">
        <v>21800.0</v>
      </c>
      <c r="D8" s="5">
        <v>0.0</v>
      </c>
      <c r="E8" s="15">
        <v>24854.19</v>
      </c>
      <c r="F8" s="5">
        <v>0.0</v>
      </c>
      <c r="G8" s="16">
        <v>23822.8</v>
      </c>
      <c r="H8" s="3"/>
      <c r="I8" s="14">
        <v>0.0</v>
      </c>
      <c r="J8" s="3"/>
      <c r="K8" s="17">
        <f>G8+G9+G10+G11+G12+G13</f>
        <v>28645.25633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6.0" customHeight="1">
      <c r="A9" s="10" t="s">
        <v>22</v>
      </c>
      <c r="B9" s="1" t="s">
        <v>23</v>
      </c>
      <c r="C9" s="11">
        <v>2190.0</v>
      </c>
      <c r="D9" s="11">
        <v>0.0</v>
      </c>
      <c r="E9" s="11">
        <v>3190.0</v>
      </c>
      <c r="F9" s="11">
        <v>0.0</v>
      </c>
      <c r="G9" s="18">
        <v>3064.143</v>
      </c>
      <c r="H9" s="3"/>
      <c r="I9" s="13">
        <v>0.0</v>
      </c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8.0" customHeight="1">
      <c r="A10" s="1" t="s">
        <v>24</v>
      </c>
      <c r="B10" s="1" t="s">
        <v>25</v>
      </c>
      <c r="C10" s="5">
        <v>80.0</v>
      </c>
      <c r="D10" s="5">
        <v>0.0</v>
      </c>
      <c r="E10" s="5">
        <v>80.0</v>
      </c>
      <c r="F10" s="5">
        <v>0.0</v>
      </c>
      <c r="G10" s="19">
        <v>98.40526</v>
      </c>
      <c r="H10" s="3"/>
      <c r="I10" s="14">
        <v>0.0</v>
      </c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6.0" customHeight="1">
      <c r="A11" s="10" t="s">
        <v>26</v>
      </c>
      <c r="B11" s="1" t="s">
        <v>27</v>
      </c>
      <c r="C11" s="11">
        <v>2000.0</v>
      </c>
      <c r="D11" s="11">
        <v>0.0</v>
      </c>
      <c r="E11" s="11">
        <v>972.0</v>
      </c>
      <c r="F11" s="11">
        <v>0.0</v>
      </c>
      <c r="G11" s="18">
        <v>1369.247</v>
      </c>
      <c r="H11" s="3"/>
      <c r="I11" s="13">
        <v>0.0</v>
      </c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" t="s">
        <v>28</v>
      </c>
      <c r="B12" s="1" t="s">
        <v>29</v>
      </c>
      <c r="C12" s="5">
        <v>22.0</v>
      </c>
      <c r="D12" s="6">
        <v>3.062225</v>
      </c>
      <c r="E12" s="15">
        <v>21.92</v>
      </c>
      <c r="F12" s="6">
        <v>3.031528</v>
      </c>
      <c r="G12" s="20">
        <v>7.205767</v>
      </c>
      <c r="H12" s="3"/>
      <c r="I12" s="9">
        <v>0.2291</v>
      </c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" t="s">
        <v>30</v>
      </c>
      <c r="B13" s="1" t="s">
        <v>31</v>
      </c>
      <c r="C13" s="5">
        <v>207.0</v>
      </c>
      <c r="D13" s="5">
        <v>0.0</v>
      </c>
      <c r="E13" s="15">
        <v>205.26</v>
      </c>
      <c r="F13" s="5">
        <v>0.0</v>
      </c>
      <c r="G13" s="9">
        <v>283.4553</v>
      </c>
      <c r="H13" s="3"/>
      <c r="I13" s="14">
        <v>0.0</v>
      </c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" t="s">
        <v>32</v>
      </c>
      <c r="B14" s="1" t="s">
        <v>33</v>
      </c>
      <c r="C14" s="5">
        <v>30580.0</v>
      </c>
      <c r="D14" s="6">
        <v>4.73E-4</v>
      </c>
      <c r="E14" s="5">
        <v>29323.0</v>
      </c>
      <c r="F14" s="6">
        <v>8.27E-4</v>
      </c>
      <c r="G14" s="8">
        <v>28645.26</v>
      </c>
      <c r="H14" s="3"/>
      <c r="I14" s="20">
        <v>0.002349</v>
      </c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" t="s">
        <v>34</v>
      </c>
      <c r="B15" s="1" t="s">
        <v>35</v>
      </c>
      <c r="C15" s="5">
        <v>29387.0</v>
      </c>
      <c r="D15" s="7">
        <v>1.8E-7</v>
      </c>
      <c r="E15" s="7">
        <v>29100.0</v>
      </c>
      <c r="F15" s="7">
        <v>7.72E-5</v>
      </c>
      <c r="G15" s="16">
        <v>28361.8</v>
      </c>
      <c r="H15" s="3"/>
      <c r="I15" s="21">
        <v>0.00112</v>
      </c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" t="s">
        <v>36</v>
      </c>
      <c r="B16" s="1" t="s">
        <v>37</v>
      </c>
      <c r="C16" s="15">
        <v>0.99</v>
      </c>
      <c r="D16" s="7">
        <v>3.81E-6</v>
      </c>
      <c r="E16" s="7">
        <v>0.99</v>
      </c>
      <c r="F16" s="7">
        <v>3.81E-6</v>
      </c>
      <c r="G16" s="20">
        <v>0.990105</v>
      </c>
      <c r="H16" s="3"/>
      <c r="I16" s="21">
        <v>3.55E-6</v>
      </c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6.0" customHeight="1">
      <c r="A17" s="10" t="s">
        <v>38</v>
      </c>
      <c r="B17" s="1" t="s">
        <v>39</v>
      </c>
      <c r="C17" s="11">
        <v>80.0</v>
      </c>
      <c r="D17" s="11">
        <v>0.0</v>
      </c>
      <c r="E17" s="11">
        <v>80.0</v>
      </c>
      <c r="F17" s="11">
        <v>0.0</v>
      </c>
      <c r="G17" s="22">
        <v>98.40526</v>
      </c>
      <c r="H17" s="3"/>
      <c r="I17" s="23">
        <v>0.048696</v>
      </c>
      <c r="J17" s="3"/>
      <c r="K17" s="24">
        <f>G14-G15</f>
        <v>283.46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6.0" customHeight="1">
      <c r="A18" s="10" t="s">
        <v>40</v>
      </c>
      <c r="B18" s="1" t="s">
        <v>41</v>
      </c>
      <c r="C18" s="11">
        <v>2680.0</v>
      </c>
      <c r="D18" s="11">
        <v>0.0</v>
      </c>
      <c r="E18" s="11">
        <v>2680.0</v>
      </c>
      <c r="F18" s="11">
        <v>0.0</v>
      </c>
      <c r="G18" s="18">
        <v>2338.715</v>
      </c>
      <c r="H18" s="3"/>
      <c r="I18" s="23">
        <v>0.014919</v>
      </c>
      <c r="J18" s="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8.0" customHeight="1">
      <c r="A19" s="1" t="s">
        <v>42</v>
      </c>
      <c r="B19" s="1" t="s">
        <v>43</v>
      </c>
      <c r="C19" s="5">
        <v>1715.0</v>
      </c>
      <c r="D19" s="6">
        <v>0.057312</v>
      </c>
      <c r="E19" s="5">
        <v>1815.0</v>
      </c>
      <c r="F19" s="6">
        <v>0.073679</v>
      </c>
      <c r="G19" s="25">
        <v>2551.633</v>
      </c>
      <c r="H19" s="3"/>
      <c r="I19" s="20">
        <v>0.420625</v>
      </c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8.0" customHeight="1">
      <c r="A20" s="1" t="s">
        <v>44</v>
      </c>
      <c r="B20" s="1" t="s">
        <v>45</v>
      </c>
      <c r="C20" s="5">
        <v>3.0</v>
      </c>
      <c r="D20" s="5">
        <v>0.0</v>
      </c>
      <c r="E20" s="5">
        <v>3.0</v>
      </c>
      <c r="F20" s="5">
        <v>0.0</v>
      </c>
      <c r="G20" s="20">
        <v>2.804654</v>
      </c>
      <c r="H20" s="3"/>
      <c r="I20" s="21">
        <v>0.0039</v>
      </c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6.0" customHeight="1">
      <c r="A21" s="10" t="s">
        <v>46</v>
      </c>
      <c r="B21" s="1" t="s">
        <v>47</v>
      </c>
      <c r="C21" s="11">
        <v>26.0</v>
      </c>
      <c r="D21" s="11">
        <v>0.0</v>
      </c>
      <c r="E21" s="26">
        <v>31.71</v>
      </c>
      <c r="F21" s="11">
        <v>0.0</v>
      </c>
      <c r="G21" s="22">
        <v>54.06801</v>
      </c>
      <c r="H21" s="3"/>
      <c r="I21" s="13">
        <v>0.0</v>
      </c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6.0" customHeight="1">
      <c r="A22" s="10" t="s">
        <v>48</v>
      </c>
      <c r="B22" s="1" t="s">
        <v>49</v>
      </c>
      <c r="C22" s="11">
        <v>3715.0</v>
      </c>
      <c r="D22" s="11">
        <v>0.0</v>
      </c>
      <c r="E22" s="26">
        <v>4529.71</v>
      </c>
      <c r="F22" s="11">
        <v>0.0</v>
      </c>
      <c r="G22" s="18">
        <v>4947.221</v>
      </c>
      <c r="H22" s="3"/>
      <c r="I22" s="13">
        <v>0.0</v>
      </c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6.75" customHeight="1">
      <c r="A23" s="10" t="s">
        <v>50</v>
      </c>
      <c r="B23" s="1" t="s">
        <v>51</v>
      </c>
      <c r="C23" s="11">
        <v>3689.0</v>
      </c>
      <c r="D23" s="27">
        <v>3.38E-8</v>
      </c>
      <c r="E23" s="27">
        <v>4500.0</v>
      </c>
      <c r="F23" s="27">
        <v>0.0443</v>
      </c>
      <c r="G23" s="18">
        <v>4893.153</v>
      </c>
      <c r="H23" s="3"/>
      <c r="I23" s="23">
        <v>0.098132</v>
      </c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6.75" customHeight="1">
      <c r="A24" s="10" t="s">
        <v>52</v>
      </c>
      <c r="B24" s="1" t="s">
        <v>53</v>
      </c>
      <c r="C24" s="26">
        <v>0.99</v>
      </c>
      <c r="D24" s="27">
        <v>3.81E-6</v>
      </c>
      <c r="E24" s="27">
        <v>0.99</v>
      </c>
      <c r="F24" s="27">
        <v>3.81E-6</v>
      </c>
      <c r="G24" s="23">
        <v>0.989071</v>
      </c>
      <c r="H24" s="3"/>
      <c r="I24" s="28">
        <v>6.53E-6</v>
      </c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8.75" customHeight="1">
      <c r="A25" s="1" t="s">
        <v>54</v>
      </c>
      <c r="B25" s="1" t="s">
        <v>55</v>
      </c>
      <c r="C25" s="5">
        <v>4790.0</v>
      </c>
      <c r="D25" s="5">
        <v>0.0</v>
      </c>
      <c r="E25" s="5">
        <v>4495.0</v>
      </c>
      <c r="F25" s="6">
        <v>0.003489</v>
      </c>
      <c r="G25" s="25">
        <v>4890.348</v>
      </c>
      <c r="H25" s="3"/>
      <c r="I25" s="20">
        <v>4.04E-4</v>
      </c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6.75" customHeight="1">
      <c r="A26" s="10" t="s">
        <v>56</v>
      </c>
      <c r="B26" s="1" t="s">
        <v>57</v>
      </c>
      <c r="C26" s="11">
        <v>5920.0</v>
      </c>
      <c r="D26" s="11">
        <v>0.0</v>
      </c>
      <c r="E26" s="11">
        <v>10000.0</v>
      </c>
      <c r="F26" s="29">
        <v>0.436983</v>
      </c>
      <c r="G26" s="30">
        <v>8831.98</v>
      </c>
      <c r="H26" s="3"/>
      <c r="I26" s="23">
        <v>0.222598</v>
      </c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6.75" customHeight="1">
      <c r="A27" s="10" t="s">
        <v>58</v>
      </c>
      <c r="B27" s="1" t="s">
        <v>59</v>
      </c>
      <c r="C27" s="11">
        <v>43100.0</v>
      </c>
      <c r="D27" s="11">
        <v>0.0</v>
      </c>
      <c r="E27" s="11">
        <v>54748.0</v>
      </c>
      <c r="F27" s="29">
        <v>0.067195</v>
      </c>
      <c r="G27" s="30">
        <v>49388.84</v>
      </c>
      <c r="H27" s="3"/>
      <c r="I27" s="23">
        <v>0.019587</v>
      </c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6.75" customHeight="1">
      <c r="A28" s="10" t="s">
        <v>60</v>
      </c>
      <c r="B28" s="1" t="s">
        <v>61</v>
      </c>
      <c r="C28" s="11">
        <v>64.0</v>
      </c>
      <c r="D28" s="11">
        <v>0.0</v>
      </c>
      <c r="E28" s="11">
        <v>64.0</v>
      </c>
      <c r="F28" s="11">
        <v>0.0</v>
      </c>
      <c r="G28" s="22">
        <v>62.49709</v>
      </c>
      <c r="H28" s="3"/>
      <c r="I28" s="23">
        <v>5.07E-4</v>
      </c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6.75" customHeight="1">
      <c r="A29" s="10" t="s">
        <v>62</v>
      </c>
      <c r="B29" s="1" t="s">
        <v>63</v>
      </c>
      <c r="C29" s="11">
        <v>1183.0</v>
      </c>
      <c r="D29" s="11">
        <v>0.0</v>
      </c>
      <c r="E29" s="11">
        <v>405.0</v>
      </c>
      <c r="F29" s="29">
        <v>0.397903</v>
      </c>
      <c r="G29" s="31">
        <v>431.9055</v>
      </c>
      <c r="H29" s="3"/>
      <c r="I29" s="23">
        <v>0.370858</v>
      </c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6.0" customHeight="1">
      <c r="A30" s="10" t="s">
        <v>64</v>
      </c>
      <c r="B30" s="1" t="s">
        <v>65</v>
      </c>
      <c r="C30" s="11">
        <v>5560.0</v>
      </c>
      <c r="D30" s="11">
        <v>0.0</v>
      </c>
      <c r="E30" s="11">
        <v>4000.0</v>
      </c>
      <c r="F30" s="29">
        <v>0.072425</v>
      </c>
      <c r="G30" s="32">
        <v>3393.5</v>
      </c>
      <c r="H30" s="3"/>
      <c r="I30" s="23">
        <v>0.139687</v>
      </c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1" t="s">
        <v>66</v>
      </c>
      <c r="B31" s="1" t="s">
        <v>67</v>
      </c>
      <c r="C31" s="5">
        <v>58600.0</v>
      </c>
      <c r="D31" s="6">
        <v>0.038782</v>
      </c>
      <c r="E31" s="5">
        <v>69217.0</v>
      </c>
      <c r="F31" s="6">
        <v>0.003461</v>
      </c>
      <c r="G31" s="8">
        <v>62108.72</v>
      </c>
      <c r="H31" s="3"/>
      <c r="I31" s="19">
        <v>0.02289</v>
      </c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1" t="s">
        <v>68</v>
      </c>
      <c r="B32" s="1" t="s">
        <v>69</v>
      </c>
      <c r="C32" s="5">
        <v>58600.0</v>
      </c>
      <c r="D32" s="5">
        <v>0.0</v>
      </c>
      <c r="E32" s="5">
        <v>69217.0</v>
      </c>
      <c r="F32" s="6">
        <v>0.030199</v>
      </c>
      <c r="G32" s="8">
        <v>62108.72</v>
      </c>
      <c r="H32" s="3"/>
      <c r="I32" s="20">
        <v>0.003298</v>
      </c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1" t="s">
        <v>70</v>
      </c>
      <c r="B33" s="1" t="s">
        <v>71</v>
      </c>
      <c r="C33" s="5">
        <v>1.0</v>
      </c>
      <c r="D33" s="5">
        <v>0.0</v>
      </c>
      <c r="E33" s="5">
        <v>1.0</v>
      </c>
      <c r="F33" s="5">
        <v>0.0</v>
      </c>
      <c r="G33" s="14">
        <v>1.0</v>
      </c>
      <c r="H33" s="3"/>
      <c r="I33" s="21">
        <v>2.0E-22</v>
      </c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6.0" customHeight="1">
      <c r="A34" s="10" t="s">
        <v>72</v>
      </c>
      <c r="B34" s="1" t="s">
        <v>73</v>
      </c>
      <c r="C34" s="11">
        <v>32056.0</v>
      </c>
      <c r="D34" s="11">
        <v>0.0</v>
      </c>
      <c r="E34" s="11">
        <v>32100.0</v>
      </c>
      <c r="F34" s="11">
        <v>0.0</v>
      </c>
      <c r="G34" s="30">
        <v>32314.48</v>
      </c>
      <c r="H34" s="3"/>
      <c r="I34" s="13">
        <v>0.0</v>
      </c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6.0" customHeight="1">
      <c r="A35" s="10" t="s">
        <v>74</v>
      </c>
      <c r="B35" s="1" t="s">
        <v>75</v>
      </c>
      <c r="C35" s="11">
        <v>4748.0</v>
      </c>
      <c r="D35" s="11">
        <v>0.0</v>
      </c>
      <c r="E35" s="26">
        <v>4754.19</v>
      </c>
      <c r="F35" s="11">
        <v>0.0</v>
      </c>
      <c r="G35" s="18">
        <v>2786.386</v>
      </c>
      <c r="H35" s="3"/>
      <c r="I35" s="13">
        <v>0.0</v>
      </c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6.0" customHeight="1">
      <c r="A36" s="10" t="s">
        <v>76</v>
      </c>
      <c r="B36" s="1" t="s">
        <v>77</v>
      </c>
      <c r="C36" s="11">
        <v>36804.0</v>
      </c>
      <c r="D36" s="11">
        <v>0.0</v>
      </c>
      <c r="E36" s="26">
        <v>36854.19</v>
      </c>
      <c r="F36" s="11">
        <v>0.0</v>
      </c>
      <c r="G36" s="30">
        <v>35100.86</v>
      </c>
      <c r="H36" s="3"/>
      <c r="I36" s="13">
        <v>0.0</v>
      </c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6.0" customHeight="1">
      <c r="A37" s="10" t="s">
        <v>78</v>
      </c>
      <c r="B37" s="1" t="s">
        <v>79</v>
      </c>
      <c r="C37" s="11">
        <v>32056.0</v>
      </c>
      <c r="D37" s="29">
        <v>0.002442</v>
      </c>
      <c r="E37" s="11">
        <v>32100.0</v>
      </c>
      <c r="F37" s="29">
        <v>0.002453</v>
      </c>
      <c r="G37" s="30">
        <v>32314.48</v>
      </c>
      <c r="H37" s="3"/>
      <c r="I37" s="23">
        <v>0.002558</v>
      </c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6.0" customHeight="1">
      <c r="A38" s="10" t="s">
        <v>80</v>
      </c>
      <c r="B38" s="1" t="s">
        <v>81</v>
      </c>
      <c r="C38" s="26">
        <v>0.87</v>
      </c>
      <c r="D38" s="27">
        <v>5.5E-7</v>
      </c>
      <c r="E38" s="27">
        <v>0.87</v>
      </c>
      <c r="F38" s="27">
        <v>5.5E-7</v>
      </c>
      <c r="G38" s="23">
        <v>0.920618</v>
      </c>
      <c r="H38" s="3"/>
      <c r="I38" s="23">
        <v>0.001353</v>
      </c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8.0" customHeight="1">
      <c r="A39" s="1" t="s">
        <v>82</v>
      </c>
      <c r="B39" s="1" t="s">
        <v>83</v>
      </c>
      <c r="C39" s="5">
        <v>88200.0</v>
      </c>
      <c r="D39" s="5">
        <v>0.0</v>
      </c>
      <c r="E39" s="5">
        <v>87588.0</v>
      </c>
      <c r="F39" s="7">
        <v>4.43E-5</v>
      </c>
      <c r="G39" s="8">
        <v>86732.07</v>
      </c>
      <c r="H39" s="3"/>
      <c r="I39" s="20">
        <v>2.55E-4</v>
      </c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6.0" customHeight="1">
      <c r="A40" s="10" t="s">
        <v>84</v>
      </c>
      <c r="B40" s="1" t="s">
        <v>85</v>
      </c>
      <c r="C40" s="11">
        <v>30118.0</v>
      </c>
      <c r="D40" s="11">
        <v>0.0</v>
      </c>
      <c r="E40" s="26">
        <v>28367.39</v>
      </c>
      <c r="F40" s="11">
        <v>0.0</v>
      </c>
      <c r="G40" s="30">
        <v>28192.85</v>
      </c>
      <c r="H40" s="3"/>
      <c r="I40" s="13">
        <v>0.0</v>
      </c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6.0" customHeight="1">
      <c r="A41" s="10" t="s">
        <v>86</v>
      </c>
      <c r="B41" s="1" t="s">
        <v>87</v>
      </c>
      <c r="C41" s="11">
        <v>19206.0</v>
      </c>
      <c r="D41" s="11">
        <v>0.0</v>
      </c>
      <c r="E41" s="26">
        <v>19221.51</v>
      </c>
      <c r="F41" s="11">
        <v>0.0</v>
      </c>
      <c r="G41" s="30">
        <v>18794.21</v>
      </c>
      <c r="H41" s="3"/>
      <c r="I41" s="13">
        <v>0.0</v>
      </c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6.0" customHeight="1">
      <c r="A42" s="10" t="s">
        <v>88</v>
      </c>
      <c r="B42" s="1" t="s">
        <v>89</v>
      </c>
      <c r="C42" s="11">
        <v>6778.0</v>
      </c>
      <c r="D42" s="11">
        <v>0.0</v>
      </c>
      <c r="E42" s="26">
        <v>6783.39</v>
      </c>
      <c r="F42" s="11">
        <v>0.0</v>
      </c>
      <c r="G42" s="18">
        <v>6515.128</v>
      </c>
      <c r="H42" s="3"/>
      <c r="I42" s="13">
        <v>0.0</v>
      </c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6.0" customHeight="1">
      <c r="A43" s="10" t="s">
        <v>90</v>
      </c>
      <c r="B43" s="1" t="s">
        <v>91</v>
      </c>
      <c r="C43" s="11">
        <v>1077.0</v>
      </c>
      <c r="D43" s="11">
        <v>0.0</v>
      </c>
      <c r="E43" s="26">
        <v>1059.92</v>
      </c>
      <c r="F43" s="11">
        <v>0.0</v>
      </c>
      <c r="G43" s="31">
        <v>857.9023</v>
      </c>
      <c r="H43" s="3"/>
      <c r="I43" s="13">
        <v>0.0</v>
      </c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6.0" customHeight="1">
      <c r="A44" s="10" t="s">
        <v>92</v>
      </c>
      <c r="B44" s="1" t="s">
        <v>93</v>
      </c>
      <c r="C44" s="11">
        <v>6716.0</v>
      </c>
      <c r="D44" s="11">
        <v>0.0</v>
      </c>
      <c r="E44" s="26">
        <v>6921.23</v>
      </c>
      <c r="F44" s="11">
        <v>0.0</v>
      </c>
      <c r="G44" s="18">
        <v>3594.359</v>
      </c>
      <c r="H44" s="3"/>
      <c r="I44" s="13">
        <v>0.0</v>
      </c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6.0" customHeight="1">
      <c r="A45" s="10" t="s">
        <v>94</v>
      </c>
      <c r="B45" s="1" t="s">
        <v>95</v>
      </c>
      <c r="C45" s="11">
        <v>60506.0</v>
      </c>
      <c r="D45" s="11">
        <v>0.0</v>
      </c>
      <c r="E45" s="26">
        <v>62353.44</v>
      </c>
      <c r="F45" s="11">
        <v>0.0</v>
      </c>
      <c r="G45" s="30">
        <v>57954.45</v>
      </c>
      <c r="H45" s="3"/>
      <c r="I45" s="13">
        <v>0.0</v>
      </c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6.0" customHeight="1">
      <c r="A46" s="10" t="s">
        <v>96</v>
      </c>
      <c r="B46" s="1" t="s">
        <v>97</v>
      </c>
      <c r="C46" s="11">
        <v>53790.0</v>
      </c>
      <c r="D46" s="29">
        <v>4.64E-4</v>
      </c>
      <c r="E46" s="33">
        <v>55432.2</v>
      </c>
      <c r="F46" s="34">
        <v>0.0013</v>
      </c>
      <c r="G46" s="30">
        <v>54360.09</v>
      </c>
      <c r="H46" s="3"/>
      <c r="I46" s="23">
        <v>5.77E-4</v>
      </c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6.0" customHeight="1">
      <c r="A47" s="10" t="s">
        <v>98</v>
      </c>
      <c r="B47" s="1" t="s">
        <v>99</v>
      </c>
      <c r="C47" s="26">
        <v>0.89</v>
      </c>
      <c r="D47" s="27">
        <v>5.28E-7</v>
      </c>
      <c r="E47" s="27">
        <v>0.89</v>
      </c>
      <c r="F47" s="27">
        <v>5.28E-7</v>
      </c>
      <c r="G47" s="22">
        <v>0.93798</v>
      </c>
      <c r="H47" s="3"/>
      <c r="I47" s="23">
        <v>0.001266</v>
      </c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48.0" customHeight="1">
      <c r="A48" s="1" t="s">
        <v>100</v>
      </c>
      <c r="B48" s="1" t="s">
        <v>101</v>
      </c>
      <c r="C48" s="5">
        <v>0.0</v>
      </c>
      <c r="D48" s="5">
        <v>0.0</v>
      </c>
      <c r="E48" s="35"/>
      <c r="F48" s="35"/>
      <c r="G48" s="14">
        <v>0.0</v>
      </c>
      <c r="H48" s="3"/>
      <c r="I48" s="14">
        <v>0.0</v>
      </c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6.0" customHeight="1">
      <c r="A49" s="10" t="s">
        <v>102</v>
      </c>
      <c r="B49" s="1" t="s">
        <v>103</v>
      </c>
      <c r="C49" s="11">
        <v>56.0</v>
      </c>
      <c r="D49" s="11">
        <v>0.0</v>
      </c>
      <c r="E49" s="26">
        <v>55.74</v>
      </c>
      <c r="F49" s="11">
        <v>0.0</v>
      </c>
      <c r="G49" s="22">
        <v>57.50341</v>
      </c>
      <c r="H49" s="3"/>
      <c r="I49" s="13">
        <v>0.0</v>
      </c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6.0" customHeight="1">
      <c r="A50" s="10" t="s">
        <v>104</v>
      </c>
      <c r="B50" s="1" t="s">
        <v>105</v>
      </c>
      <c r="C50" s="11">
        <v>8.0</v>
      </c>
      <c r="D50" s="11">
        <v>0.0</v>
      </c>
      <c r="E50" s="26">
        <v>8.26</v>
      </c>
      <c r="F50" s="11">
        <v>0.0</v>
      </c>
      <c r="G50" s="22">
        <v>4.99368</v>
      </c>
      <c r="H50" s="3"/>
      <c r="I50" s="13">
        <v>0.0</v>
      </c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6.0" customHeight="1">
      <c r="A51" s="10" t="s">
        <v>106</v>
      </c>
      <c r="B51" s="1" t="s">
        <v>107</v>
      </c>
      <c r="C51" s="11">
        <v>64.0</v>
      </c>
      <c r="D51" s="11">
        <v>0.0</v>
      </c>
      <c r="E51" s="11">
        <v>64.0</v>
      </c>
      <c r="F51" s="11">
        <v>0.0</v>
      </c>
      <c r="G51" s="22">
        <v>62.49709</v>
      </c>
      <c r="H51" s="3"/>
      <c r="I51" s="23">
        <v>5.07E-4</v>
      </c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6.0" customHeight="1">
      <c r="A52" s="10" t="s">
        <v>108</v>
      </c>
      <c r="B52" s="1" t="s">
        <v>109</v>
      </c>
      <c r="C52" s="11">
        <v>56.0</v>
      </c>
      <c r="D52" s="11">
        <v>0.0</v>
      </c>
      <c r="E52" s="26">
        <v>55.74</v>
      </c>
      <c r="F52" s="11">
        <v>0.0</v>
      </c>
      <c r="G52" s="36">
        <v>57.50341</v>
      </c>
      <c r="H52" s="3"/>
      <c r="I52" s="13">
        <v>0.0</v>
      </c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6.0" customHeight="1">
      <c r="A53" s="10" t="s">
        <v>110</v>
      </c>
      <c r="B53" s="1" t="s">
        <v>111</v>
      </c>
      <c r="C53" s="26">
        <v>0.87</v>
      </c>
      <c r="D53" s="27">
        <v>4.39E-7</v>
      </c>
      <c r="E53" s="27">
        <v>0.87</v>
      </c>
      <c r="F53" s="27">
        <v>4.39E-7</v>
      </c>
      <c r="G53" s="37">
        <v>0.920081</v>
      </c>
      <c r="H53" s="3"/>
      <c r="I53" s="23">
        <v>0.001057</v>
      </c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4.0" customHeight="1">
      <c r="A54" s="1" t="s">
        <v>112</v>
      </c>
      <c r="B54" s="1" t="s">
        <v>113</v>
      </c>
      <c r="C54" s="5">
        <v>1953.0</v>
      </c>
      <c r="D54" s="5">
        <v>0.0</v>
      </c>
      <c r="E54" s="15">
        <v>1899.06</v>
      </c>
      <c r="F54" s="5">
        <v>0.0</v>
      </c>
      <c r="G54" s="38">
        <v>2236.22</v>
      </c>
      <c r="H54" s="3"/>
      <c r="I54" s="14">
        <v>0.0</v>
      </c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4.0" customHeight="1">
      <c r="A55" s="1" t="s">
        <v>114</v>
      </c>
      <c r="B55" s="1" t="s">
        <v>115</v>
      </c>
      <c r="C55" s="5">
        <v>52379.0</v>
      </c>
      <c r="D55" s="5">
        <v>0.0</v>
      </c>
      <c r="E55" s="15">
        <v>50671.96</v>
      </c>
      <c r="F55" s="5">
        <v>0.0</v>
      </c>
      <c r="G55" s="38">
        <v>51369.83</v>
      </c>
      <c r="H55" s="3"/>
      <c r="I55" s="14">
        <v>0.0</v>
      </c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4.0" customHeight="1">
      <c r="A56" s="1" t="s">
        <v>116</v>
      </c>
      <c r="B56" s="1" t="s">
        <v>117</v>
      </c>
      <c r="C56" s="5">
        <v>9504.0</v>
      </c>
      <c r="D56" s="5">
        <v>0.0</v>
      </c>
      <c r="E56" s="15">
        <v>9511.66</v>
      </c>
      <c r="F56" s="5">
        <v>0.0</v>
      </c>
      <c r="G56" s="39">
        <v>8482.007</v>
      </c>
      <c r="H56" s="3"/>
      <c r="I56" s="14">
        <v>0.0</v>
      </c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4.0" customHeight="1">
      <c r="A57" s="1" t="s">
        <v>118</v>
      </c>
      <c r="B57" s="1" t="s">
        <v>119</v>
      </c>
      <c r="C57" s="5">
        <v>292.0</v>
      </c>
      <c r="D57" s="5">
        <v>0.0</v>
      </c>
      <c r="E57" s="15">
        <v>283.77</v>
      </c>
      <c r="F57" s="5">
        <v>0.0</v>
      </c>
      <c r="G57" s="40">
        <v>655.4893</v>
      </c>
      <c r="H57" s="3"/>
      <c r="I57" s="14">
        <v>0.0</v>
      </c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4.0" customHeight="1">
      <c r="A58" s="1" t="s">
        <v>120</v>
      </c>
      <c r="B58" s="1" t="s">
        <v>121</v>
      </c>
      <c r="C58" s="5">
        <v>64127.0</v>
      </c>
      <c r="D58" s="5">
        <v>0.0</v>
      </c>
      <c r="E58" s="15">
        <v>62366.44</v>
      </c>
      <c r="F58" s="5">
        <v>0.0</v>
      </c>
      <c r="G58" s="38">
        <v>62743.55</v>
      </c>
      <c r="H58" s="3"/>
      <c r="I58" s="14">
        <v>0.0</v>
      </c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4.0" customHeight="1">
      <c r="A59" s="1" t="s">
        <v>122</v>
      </c>
      <c r="B59" s="1" t="s">
        <v>123</v>
      </c>
      <c r="C59" s="5">
        <v>61883.0</v>
      </c>
      <c r="D59" s="5">
        <v>0.0</v>
      </c>
      <c r="E59" s="15">
        <v>60183.62</v>
      </c>
      <c r="F59" s="5">
        <v>0.0</v>
      </c>
      <c r="G59" s="38">
        <v>59851.84</v>
      </c>
      <c r="H59" s="3"/>
      <c r="I59" s="14">
        <v>0.0</v>
      </c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4.0" customHeight="1">
      <c r="A60" s="1" t="s">
        <v>124</v>
      </c>
      <c r="B60" s="1" t="s">
        <v>125</v>
      </c>
      <c r="C60" s="15">
        <v>0.97</v>
      </c>
      <c r="D60" s="7">
        <v>1.12E-5</v>
      </c>
      <c r="E60" s="7">
        <v>0.97</v>
      </c>
      <c r="F60" s="7">
        <v>1.12E-5</v>
      </c>
      <c r="G60" s="41">
        <v>0.953912</v>
      </c>
      <c r="H60" s="3"/>
      <c r="I60" s="21">
        <v>5.51E-5</v>
      </c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6.0" customHeight="1">
      <c r="A61" s="10" t="s">
        <v>126</v>
      </c>
      <c r="B61" s="1" t="s">
        <v>127</v>
      </c>
      <c r="C61" s="11">
        <v>86867.0</v>
      </c>
      <c r="D61" s="11">
        <v>0.0</v>
      </c>
      <c r="E61" s="11">
        <v>86083.0</v>
      </c>
      <c r="F61" s="27">
        <v>7.49E-5</v>
      </c>
      <c r="G61" s="42">
        <v>85035.43</v>
      </c>
      <c r="H61" s="3"/>
      <c r="I61" s="23">
        <v>4.09E-4</v>
      </c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0" customHeight="1">
      <c r="A62" s="1" t="s">
        <v>128</v>
      </c>
      <c r="B62" s="1" t="s">
        <v>129</v>
      </c>
      <c r="C62" s="5">
        <v>427.0</v>
      </c>
      <c r="D62" s="5">
        <v>0.0</v>
      </c>
      <c r="E62" s="15">
        <v>427.36</v>
      </c>
      <c r="F62" s="5">
        <v>0.0</v>
      </c>
      <c r="G62" s="38">
        <v>430.35</v>
      </c>
      <c r="H62" s="3"/>
      <c r="I62" s="14">
        <v>0.0</v>
      </c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1" t="s">
        <v>130</v>
      </c>
      <c r="B63" s="1" t="s">
        <v>131</v>
      </c>
      <c r="C63" s="5">
        <v>19142.0</v>
      </c>
      <c r="D63" s="5">
        <v>0.0</v>
      </c>
      <c r="E63" s="15">
        <v>19157.65</v>
      </c>
      <c r="F63" s="5">
        <v>0.0</v>
      </c>
      <c r="G63" s="38">
        <v>18712.49</v>
      </c>
      <c r="H63" s="3"/>
      <c r="I63" s="14">
        <v>0.0</v>
      </c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1" t="s">
        <v>132</v>
      </c>
      <c r="B64" s="1" t="s">
        <v>133</v>
      </c>
      <c r="C64" s="5">
        <v>64.0</v>
      </c>
      <c r="D64" s="5">
        <v>0.0</v>
      </c>
      <c r="E64" s="15">
        <v>63.86</v>
      </c>
      <c r="F64" s="5">
        <v>0.0</v>
      </c>
      <c r="G64" s="43">
        <v>81.71773</v>
      </c>
      <c r="H64" s="3"/>
      <c r="I64" s="14">
        <v>0.0</v>
      </c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0" customHeight="1">
      <c r="A65" s="1" t="s">
        <v>134</v>
      </c>
      <c r="B65" s="1" t="s">
        <v>135</v>
      </c>
      <c r="C65" s="5">
        <v>19633.0</v>
      </c>
      <c r="D65" s="5">
        <v>0.0</v>
      </c>
      <c r="E65" s="15">
        <v>19648.87</v>
      </c>
      <c r="F65" s="5">
        <v>0.0</v>
      </c>
      <c r="G65" s="38">
        <v>19224.56</v>
      </c>
      <c r="H65" s="3"/>
      <c r="I65" s="14">
        <v>0.0</v>
      </c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1" t="s">
        <v>136</v>
      </c>
      <c r="B66" s="1" t="s">
        <v>137</v>
      </c>
      <c r="C66" s="5">
        <v>19142.0</v>
      </c>
      <c r="D66" s="5">
        <v>0.0</v>
      </c>
      <c r="E66" s="15">
        <v>19157.65</v>
      </c>
      <c r="F66" s="5">
        <v>0.0</v>
      </c>
      <c r="G66" s="38">
        <v>18712.49</v>
      </c>
      <c r="H66" s="3"/>
      <c r="I66" s="14">
        <v>0.0</v>
      </c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4.0" customHeight="1">
      <c r="A67" s="1" t="s">
        <v>138</v>
      </c>
      <c r="B67" s="1" t="s">
        <v>139</v>
      </c>
      <c r="C67" s="15">
        <v>0.98</v>
      </c>
      <c r="D67" s="7">
        <v>1.1E-5</v>
      </c>
      <c r="E67" s="7">
        <v>0.98</v>
      </c>
      <c r="F67" s="7">
        <v>1.1E-5</v>
      </c>
      <c r="G67" s="41">
        <v>0.973364</v>
      </c>
      <c r="H67" s="3"/>
      <c r="I67" s="21">
        <v>1.17E-6</v>
      </c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6.0" customHeight="1">
      <c r="A68" s="10" t="s">
        <v>140</v>
      </c>
      <c r="B68" s="1" t="s">
        <v>141</v>
      </c>
      <c r="C68" s="11">
        <v>89100.0</v>
      </c>
      <c r="D68" s="11">
        <v>0.0</v>
      </c>
      <c r="E68" s="11">
        <v>93474.0</v>
      </c>
      <c r="F68" s="29">
        <v>0.002217</v>
      </c>
      <c r="G68" s="42">
        <v>92910.27</v>
      </c>
      <c r="H68" s="3"/>
      <c r="I68" s="23">
        <v>0.001682</v>
      </c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4.0" customHeight="1">
      <c r="A69" s="1" t="s">
        <v>142</v>
      </c>
      <c r="B69" s="1" t="s">
        <v>143</v>
      </c>
      <c r="C69" s="5">
        <v>276.0</v>
      </c>
      <c r="D69" s="5">
        <v>0.0</v>
      </c>
      <c r="E69" s="15">
        <v>276.39</v>
      </c>
      <c r="F69" s="5">
        <v>0.0</v>
      </c>
      <c r="G69" s="40">
        <v>295.2265</v>
      </c>
      <c r="H69" s="3"/>
      <c r="I69" s="14">
        <v>0.0</v>
      </c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1" t="s">
        <v>144</v>
      </c>
      <c r="B70" s="1" t="s">
        <v>145</v>
      </c>
      <c r="C70" s="5">
        <v>6737.0</v>
      </c>
      <c r="D70" s="5">
        <v>0.0</v>
      </c>
      <c r="E70" s="15">
        <v>6742.09</v>
      </c>
      <c r="F70" s="5">
        <v>0.0</v>
      </c>
      <c r="G70" s="39">
        <v>6471.104</v>
      </c>
      <c r="H70" s="3"/>
      <c r="I70" s="14">
        <v>0.0</v>
      </c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4.0" customHeight="1">
      <c r="A71" s="1" t="s">
        <v>146</v>
      </c>
      <c r="B71" s="1" t="s">
        <v>147</v>
      </c>
      <c r="C71" s="5">
        <v>41.0</v>
      </c>
      <c r="D71" s="5">
        <v>0.0</v>
      </c>
      <c r="E71" s="44">
        <v>41.3</v>
      </c>
      <c r="F71" s="5">
        <v>0.0</v>
      </c>
      <c r="G71" s="43">
        <v>44.02412</v>
      </c>
      <c r="H71" s="3"/>
      <c r="I71" s="14">
        <v>0.0</v>
      </c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4.0" customHeight="1">
      <c r="A72" s="1" t="s">
        <v>148</v>
      </c>
      <c r="B72" s="1" t="s">
        <v>149</v>
      </c>
      <c r="C72" s="5">
        <v>7054.0</v>
      </c>
      <c r="D72" s="5">
        <v>0.0</v>
      </c>
      <c r="E72" s="15">
        <v>7059.78</v>
      </c>
      <c r="F72" s="5">
        <v>0.0</v>
      </c>
      <c r="G72" s="39">
        <v>6810.354</v>
      </c>
      <c r="H72" s="3"/>
      <c r="I72" s="14">
        <v>0.0</v>
      </c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4.0" customHeight="1">
      <c r="A73" s="1" t="s">
        <v>150</v>
      </c>
      <c r="B73" s="1" t="s">
        <v>151</v>
      </c>
      <c r="C73" s="5">
        <v>6737.0</v>
      </c>
      <c r="D73" s="5">
        <v>0.0</v>
      </c>
      <c r="E73" s="15">
        <v>6742.09</v>
      </c>
      <c r="F73" s="5">
        <v>0.0</v>
      </c>
      <c r="G73" s="25">
        <v>6471.104</v>
      </c>
      <c r="H73" s="3"/>
      <c r="I73" s="14">
        <v>0.0</v>
      </c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4.0" customHeight="1">
      <c r="A74" s="1" t="s">
        <v>152</v>
      </c>
      <c r="B74" s="1" t="s">
        <v>153</v>
      </c>
      <c r="C74" s="15">
        <v>0.96</v>
      </c>
      <c r="D74" s="7">
        <v>1.14E-5</v>
      </c>
      <c r="E74" s="7">
        <v>0.96</v>
      </c>
      <c r="F74" s="7">
        <v>1.14E-5</v>
      </c>
      <c r="G74" s="20">
        <v>0.950186</v>
      </c>
      <c r="H74" s="3"/>
      <c r="I74" s="21">
        <v>1.06E-5</v>
      </c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6.0" customHeight="1">
      <c r="A75" s="10" t="s">
        <v>154</v>
      </c>
      <c r="B75" s="1" t="s">
        <v>155</v>
      </c>
      <c r="C75" s="11">
        <v>0.0</v>
      </c>
      <c r="D75" s="11">
        <v>0.0</v>
      </c>
      <c r="E75" s="45"/>
      <c r="F75" s="45"/>
      <c r="G75" s="13">
        <v>0.0</v>
      </c>
      <c r="H75" s="3"/>
      <c r="I75" s="13">
        <v>0.0</v>
      </c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6.0" customHeight="1">
      <c r="A76" s="10" t="s">
        <v>156</v>
      </c>
      <c r="B76" s="1" t="s">
        <v>157</v>
      </c>
      <c r="C76" s="11">
        <v>17.0</v>
      </c>
      <c r="D76" s="11">
        <v>0.0</v>
      </c>
      <c r="E76" s="26">
        <v>16.99</v>
      </c>
      <c r="F76" s="11">
        <v>0.0</v>
      </c>
      <c r="G76" s="22">
        <v>19.94561</v>
      </c>
      <c r="H76" s="3"/>
      <c r="I76" s="13">
        <v>0.0</v>
      </c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60.0" customHeight="1">
      <c r="A77" s="10" t="s">
        <v>158</v>
      </c>
      <c r="B77" s="1" t="s">
        <v>159</v>
      </c>
      <c r="C77" s="11">
        <v>1110.0</v>
      </c>
      <c r="D77" s="29">
        <v>0.010361</v>
      </c>
      <c r="E77" s="11">
        <v>1110.0</v>
      </c>
      <c r="F77" s="29">
        <v>0.010361</v>
      </c>
      <c r="G77" s="31">
        <v>911.2429</v>
      </c>
      <c r="H77" s="3"/>
      <c r="I77" s="23">
        <v>0.056776</v>
      </c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4.0" customHeight="1">
      <c r="A78" s="1" t="s">
        <v>160</v>
      </c>
      <c r="B78" s="1" t="s">
        <v>161</v>
      </c>
      <c r="C78" s="5">
        <v>6.0</v>
      </c>
      <c r="D78" s="5">
        <v>0.0</v>
      </c>
      <c r="E78" s="15">
        <v>5.66</v>
      </c>
      <c r="F78" s="5">
        <v>0.0</v>
      </c>
      <c r="G78" s="20">
        <v>4.162769</v>
      </c>
      <c r="H78" s="3"/>
      <c r="I78" s="14">
        <v>0.0</v>
      </c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4.0" customHeight="1">
      <c r="A79" s="1" t="s">
        <v>162</v>
      </c>
      <c r="B79" s="1" t="s">
        <v>163</v>
      </c>
      <c r="C79" s="5">
        <v>1133.0</v>
      </c>
      <c r="D79" s="5">
        <v>0.0</v>
      </c>
      <c r="E79" s="15">
        <v>1132.65</v>
      </c>
      <c r="F79" s="5">
        <v>0.0</v>
      </c>
      <c r="G79" s="9">
        <v>935.3513</v>
      </c>
      <c r="H79" s="3"/>
      <c r="I79" s="14">
        <v>0.0</v>
      </c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1" t="s">
        <v>164</v>
      </c>
      <c r="B80" s="1" t="s">
        <v>165</v>
      </c>
      <c r="C80" s="5">
        <v>1110.0</v>
      </c>
      <c r="D80" s="5">
        <v>0.0</v>
      </c>
      <c r="E80" s="5">
        <v>1110.0</v>
      </c>
      <c r="F80" s="5">
        <v>0.0</v>
      </c>
      <c r="G80" s="9">
        <v>911.2429</v>
      </c>
      <c r="H80" s="3"/>
      <c r="I80" s="14">
        <v>0.0</v>
      </c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4.0" customHeight="1">
      <c r="A81" s="1" t="s">
        <v>166</v>
      </c>
      <c r="B81" s="1" t="s">
        <v>167</v>
      </c>
      <c r="C81" s="15">
        <v>0.98</v>
      </c>
      <c r="D81" s="5">
        <v>0.0</v>
      </c>
      <c r="E81" s="15">
        <v>0.98</v>
      </c>
      <c r="F81" s="5">
        <v>0.0</v>
      </c>
      <c r="G81" s="20">
        <v>0.974225</v>
      </c>
      <c r="H81" s="3"/>
      <c r="I81" s="21">
        <v>1.45E-5</v>
      </c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48.0" customHeight="1">
      <c r="A82" s="1" t="s">
        <v>168</v>
      </c>
      <c r="B82" s="1" t="s">
        <v>169</v>
      </c>
      <c r="C82" s="5">
        <v>281.0</v>
      </c>
      <c r="D82" s="5">
        <v>0.0</v>
      </c>
      <c r="E82" s="15">
        <v>281.23</v>
      </c>
      <c r="F82" s="5">
        <v>0.0</v>
      </c>
      <c r="G82" s="9">
        <v>254.8855</v>
      </c>
      <c r="H82" s="3"/>
      <c r="I82" s="14">
        <v>0.0</v>
      </c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6.0" customHeight="1">
      <c r="A83" s="10" t="s">
        <v>170</v>
      </c>
      <c r="B83" s="1" t="s">
        <v>171</v>
      </c>
      <c r="C83" s="11">
        <v>400.0</v>
      </c>
      <c r="D83" s="11">
        <v>0.0</v>
      </c>
      <c r="E83" s="11">
        <v>400.0</v>
      </c>
      <c r="F83" s="11">
        <v>0.0</v>
      </c>
      <c r="G83" s="31">
        <v>381.5483</v>
      </c>
      <c r="H83" s="3"/>
      <c r="I83" s="23">
        <v>0.001958</v>
      </c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6.0" customHeight="1">
      <c r="A84" s="10" t="s">
        <v>172</v>
      </c>
      <c r="B84" s="1" t="s">
        <v>173</v>
      </c>
      <c r="C84" s="11">
        <v>85.0</v>
      </c>
      <c r="D84" s="11">
        <v>0.0</v>
      </c>
      <c r="E84" s="26">
        <v>85.06</v>
      </c>
      <c r="F84" s="11">
        <v>0.0</v>
      </c>
      <c r="G84" s="31">
        <v>148.7624</v>
      </c>
      <c r="H84" s="3"/>
      <c r="I84" s="13">
        <v>0.0</v>
      </c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6.0" customHeight="1">
      <c r="A85" s="10" t="s">
        <v>174</v>
      </c>
      <c r="B85" s="1" t="s">
        <v>175</v>
      </c>
      <c r="C85" s="11">
        <v>766.0</v>
      </c>
      <c r="D85" s="11">
        <v>0.0</v>
      </c>
      <c r="E85" s="26">
        <v>766.28</v>
      </c>
      <c r="F85" s="11">
        <v>0.0</v>
      </c>
      <c r="G85" s="31">
        <v>785.1963</v>
      </c>
      <c r="H85" s="3"/>
      <c r="I85" s="13">
        <v>0.0</v>
      </c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6.0" customHeight="1">
      <c r="A86" s="10" t="s">
        <v>176</v>
      </c>
      <c r="B86" s="1" t="s">
        <v>177</v>
      </c>
      <c r="C86" s="11">
        <v>400.0</v>
      </c>
      <c r="D86" s="11">
        <v>0.0</v>
      </c>
      <c r="E86" s="11">
        <v>400.0</v>
      </c>
      <c r="F86" s="11">
        <v>0.0</v>
      </c>
      <c r="G86" s="31">
        <v>381.5483</v>
      </c>
      <c r="H86" s="3"/>
      <c r="I86" s="13">
        <v>0.0</v>
      </c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6.0" customHeight="1">
      <c r="A87" s="10" t="s">
        <v>178</v>
      </c>
      <c r="B87" s="1" t="s">
        <v>179</v>
      </c>
      <c r="C87" s="12">
        <v>0.522</v>
      </c>
      <c r="D87" s="11">
        <v>0.0</v>
      </c>
      <c r="E87" s="26">
        <v>0.52</v>
      </c>
      <c r="F87" s="27">
        <v>8.56E-6</v>
      </c>
      <c r="G87" s="23">
        <v>0.485927</v>
      </c>
      <c r="H87" s="3"/>
      <c r="I87" s="23">
        <v>0.002784</v>
      </c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48.0" customHeight="1">
      <c r="A88" s="1" t="s">
        <v>180</v>
      </c>
      <c r="B88" s="1" t="s">
        <v>181</v>
      </c>
      <c r="C88" s="5">
        <v>1388.0</v>
      </c>
      <c r="D88" s="5">
        <v>0.0</v>
      </c>
      <c r="E88" s="15">
        <v>987.88</v>
      </c>
      <c r="F88" s="5">
        <v>0.0</v>
      </c>
      <c r="G88" s="25">
        <v>1180.754</v>
      </c>
      <c r="H88" s="3"/>
      <c r="I88" s="14">
        <v>0.0</v>
      </c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6.0" customHeight="1">
      <c r="A89" s="10" t="s">
        <v>182</v>
      </c>
      <c r="B89" s="1" t="s">
        <v>183</v>
      </c>
      <c r="C89" s="11">
        <v>4000.0</v>
      </c>
      <c r="D89" s="11">
        <v>0.0</v>
      </c>
      <c r="E89" s="11">
        <v>4000.0</v>
      </c>
      <c r="F89" s="11">
        <v>0.0</v>
      </c>
      <c r="G89" s="46">
        <v>3702.275</v>
      </c>
      <c r="H89" s="3"/>
      <c r="I89" s="23">
        <v>0.005097</v>
      </c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6.0" customHeight="1">
      <c r="A90" s="10" t="s">
        <v>184</v>
      </c>
      <c r="B90" s="1" t="s">
        <v>185</v>
      </c>
      <c r="C90" s="11">
        <v>673.0</v>
      </c>
      <c r="D90" s="11">
        <v>0.0</v>
      </c>
      <c r="E90" s="11">
        <v>1073.0</v>
      </c>
      <c r="F90" s="11">
        <v>0.0</v>
      </c>
      <c r="G90" s="46">
        <v>1141.377</v>
      </c>
      <c r="H90" s="3"/>
      <c r="I90" s="13">
        <v>0.0</v>
      </c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6.0" customHeight="1">
      <c r="A91" s="10" t="s">
        <v>186</v>
      </c>
      <c r="B91" s="1" t="s">
        <v>187</v>
      </c>
      <c r="C91" s="11">
        <v>6061.0</v>
      </c>
      <c r="D91" s="11">
        <v>0.0</v>
      </c>
      <c r="E91" s="26">
        <v>6060.61</v>
      </c>
      <c r="F91" s="11">
        <v>0.0</v>
      </c>
      <c r="G91" s="46">
        <v>6024.406</v>
      </c>
      <c r="H91" s="3"/>
      <c r="I91" s="13">
        <v>0.0</v>
      </c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6.0" customHeight="1">
      <c r="A92" s="10" t="s">
        <v>188</v>
      </c>
      <c r="B92" s="1" t="s">
        <v>189</v>
      </c>
      <c r="C92" s="11">
        <v>4000.0</v>
      </c>
      <c r="D92" s="11">
        <v>0.0</v>
      </c>
      <c r="E92" s="11">
        <v>4000.0</v>
      </c>
      <c r="F92" s="11">
        <v>0.0</v>
      </c>
      <c r="G92" s="46">
        <v>3702.275</v>
      </c>
      <c r="H92" s="3"/>
      <c r="I92" s="13">
        <v>0.0</v>
      </c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6.0" customHeight="1">
      <c r="A93" s="10" t="s">
        <v>190</v>
      </c>
      <c r="B93" s="1" t="s">
        <v>191</v>
      </c>
      <c r="C93" s="26">
        <v>0.66</v>
      </c>
      <c r="D93" s="11">
        <v>0.0</v>
      </c>
      <c r="E93" s="26">
        <v>0.66</v>
      </c>
      <c r="F93" s="11">
        <v>0.0</v>
      </c>
      <c r="G93" s="37">
        <v>0.614546</v>
      </c>
      <c r="H93" s="3"/>
      <c r="I93" s="23">
        <v>0.002765</v>
      </c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6.0" customHeight="1">
      <c r="A94" s="10" t="s">
        <v>192</v>
      </c>
      <c r="B94" s="1" t="s">
        <v>193</v>
      </c>
      <c r="C94" s="11">
        <v>32866.0</v>
      </c>
      <c r="D94" s="11">
        <v>0.0</v>
      </c>
      <c r="E94" s="26">
        <v>30998.65</v>
      </c>
      <c r="F94" s="11">
        <v>0.0</v>
      </c>
      <c r="G94" s="42">
        <v>32870.09</v>
      </c>
      <c r="H94" s="3"/>
      <c r="I94" s="13">
        <v>0.0</v>
      </c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6.0" customHeight="1">
      <c r="A95" s="10" t="s">
        <v>194</v>
      </c>
      <c r="B95" s="1" t="s">
        <v>195</v>
      </c>
      <c r="C95" s="11">
        <v>2459.0</v>
      </c>
      <c r="D95" s="11">
        <v>0.0</v>
      </c>
      <c r="E95" s="26">
        <v>2458.82</v>
      </c>
      <c r="F95" s="11">
        <v>0.0</v>
      </c>
      <c r="G95" s="46">
        <v>2759.891</v>
      </c>
      <c r="H95" s="3"/>
      <c r="I95" s="13">
        <v>0.0</v>
      </c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6.0" customHeight="1">
      <c r="A96" s="10" t="s">
        <v>196</v>
      </c>
      <c r="B96" s="1" t="s">
        <v>197</v>
      </c>
      <c r="C96" s="11">
        <v>20640.0</v>
      </c>
      <c r="D96" s="11">
        <v>0.0</v>
      </c>
      <c r="E96" s="11">
        <v>20640.0</v>
      </c>
      <c r="F96" s="11">
        <v>0.0</v>
      </c>
      <c r="G96" s="42">
        <v>19443.15</v>
      </c>
      <c r="H96" s="3"/>
      <c r="I96" s="23">
        <v>0.003093</v>
      </c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4.0" customHeight="1">
      <c r="A97" s="1" t="s">
        <v>198</v>
      </c>
      <c r="B97" s="1" t="s">
        <v>199</v>
      </c>
      <c r="C97" s="5">
        <v>2332.0</v>
      </c>
      <c r="D97" s="5">
        <v>0.0</v>
      </c>
      <c r="E97" s="15">
        <v>2254.06</v>
      </c>
      <c r="F97" s="5">
        <v>0.0</v>
      </c>
      <c r="G97" s="39">
        <v>1852.291</v>
      </c>
      <c r="H97" s="3"/>
      <c r="I97" s="14">
        <v>0.0</v>
      </c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4.0" customHeight="1">
      <c r="A98" s="1" t="s">
        <v>200</v>
      </c>
      <c r="B98" s="1" t="s">
        <v>201</v>
      </c>
      <c r="C98" s="5">
        <v>58297.0</v>
      </c>
      <c r="D98" s="5">
        <v>0.0</v>
      </c>
      <c r="E98" s="15">
        <v>56351.54</v>
      </c>
      <c r="F98" s="5">
        <v>0.0</v>
      </c>
      <c r="G98" s="38">
        <v>56925.42</v>
      </c>
      <c r="H98" s="3"/>
      <c r="I98" s="14">
        <v>0.0</v>
      </c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4.0" customHeight="1">
      <c r="A99" s="1" t="s">
        <v>202</v>
      </c>
      <c r="B99" s="1" t="s">
        <v>203</v>
      </c>
      <c r="C99" s="5">
        <v>55965.0</v>
      </c>
      <c r="D99" s="5">
        <v>0.0</v>
      </c>
      <c r="E99" s="15">
        <v>54097.48</v>
      </c>
      <c r="F99" s="5">
        <v>0.0</v>
      </c>
      <c r="G99" s="38">
        <v>55073.13</v>
      </c>
      <c r="H99" s="3"/>
      <c r="I99" s="14">
        <v>0.0</v>
      </c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4.0" customHeight="1">
      <c r="A100" s="1" t="s">
        <v>204</v>
      </c>
      <c r="B100" s="1" t="s">
        <v>205</v>
      </c>
      <c r="C100" s="15">
        <v>0.96</v>
      </c>
      <c r="D100" s="5">
        <v>0.0</v>
      </c>
      <c r="E100" s="15">
        <v>0.96</v>
      </c>
      <c r="F100" s="5">
        <v>0.0</v>
      </c>
      <c r="G100" s="41">
        <v>0.967461</v>
      </c>
      <c r="H100" s="3"/>
      <c r="I100" s="21">
        <v>2.52E-5</v>
      </c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4.0" customHeight="1">
      <c r="A101" s="1" t="s">
        <v>206</v>
      </c>
      <c r="B101" s="1" t="s">
        <v>207</v>
      </c>
      <c r="C101" s="5">
        <v>9520.0</v>
      </c>
      <c r="D101" s="5">
        <v>0.0</v>
      </c>
      <c r="E101" s="5">
        <v>9520.0</v>
      </c>
      <c r="F101" s="5">
        <v>0.0</v>
      </c>
      <c r="G101" s="39">
        <v>8929.217</v>
      </c>
      <c r="H101" s="3"/>
      <c r="I101" s="20">
        <v>0.003543</v>
      </c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4.0" customHeight="1">
      <c r="A102" s="1" t="s">
        <v>208</v>
      </c>
      <c r="B102" s="1" t="s">
        <v>209</v>
      </c>
      <c r="C102" s="5">
        <v>1058.0</v>
      </c>
      <c r="D102" s="5">
        <v>0.0</v>
      </c>
      <c r="E102" s="15">
        <v>1057.78</v>
      </c>
      <c r="F102" s="5">
        <v>0.0</v>
      </c>
      <c r="G102" s="40">
        <v>470.1164</v>
      </c>
      <c r="H102" s="3"/>
      <c r="I102" s="14">
        <v>0.0</v>
      </c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4.0" customHeight="1">
      <c r="A103" s="1" t="s">
        <v>210</v>
      </c>
      <c r="B103" s="1" t="s">
        <v>211</v>
      </c>
      <c r="C103" s="5">
        <v>10578.0</v>
      </c>
      <c r="D103" s="5">
        <v>0.0</v>
      </c>
      <c r="E103" s="15">
        <v>10577.78</v>
      </c>
      <c r="F103" s="5">
        <v>0.0</v>
      </c>
      <c r="G103" s="39">
        <v>9399.333</v>
      </c>
      <c r="H103" s="3"/>
      <c r="I103" s="14">
        <v>0.0</v>
      </c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4.0" customHeight="1">
      <c r="A104" s="1" t="s">
        <v>212</v>
      </c>
      <c r="B104" s="1" t="s">
        <v>213</v>
      </c>
      <c r="C104" s="5">
        <v>9520.0</v>
      </c>
      <c r="D104" s="5">
        <v>0.0</v>
      </c>
      <c r="E104" s="5">
        <v>9520.0</v>
      </c>
      <c r="F104" s="5">
        <v>0.0</v>
      </c>
      <c r="G104" s="39">
        <v>8929.217</v>
      </c>
      <c r="H104" s="3"/>
      <c r="I104" s="14">
        <v>0.0</v>
      </c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4.0" customHeight="1">
      <c r="A105" s="1" t="s">
        <v>214</v>
      </c>
      <c r="B105" s="1" t="s">
        <v>215</v>
      </c>
      <c r="C105" s="44">
        <v>0.9</v>
      </c>
      <c r="D105" s="5">
        <v>0.0</v>
      </c>
      <c r="E105" s="44">
        <v>0.9</v>
      </c>
      <c r="F105" s="5">
        <v>0.0</v>
      </c>
      <c r="G105" s="41">
        <v>0.949984</v>
      </c>
      <c r="H105" s="3"/>
      <c r="I105" s="20">
        <v>0.001286</v>
      </c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6.0" customHeight="1">
      <c r="A106" s="10" t="s">
        <v>216</v>
      </c>
      <c r="B106" s="1" t="s">
        <v>217</v>
      </c>
      <c r="C106" s="11">
        <v>2624.0</v>
      </c>
      <c r="D106" s="11">
        <v>0.0</v>
      </c>
      <c r="E106" s="26">
        <v>2623.64</v>
      </c>
      <c r="F106" s="11">
        <v>0.0</v>
      </c>
      <c r="G106" s="46">
        <v>2563.114</v>
      </c>
      <c r="H106" s="3"/>
      <c r="I106" s="13">
        <v>0.0</v>
      </c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6.0" customHeight="1">
      <c r="A107" s="10" t="s">
        <v>218</v>
      </c>
      <c r="B107" s="1" t="s">
        <v>219</v>
      </c>
      <c r="C107" s="11">
        <v>7000.0</v>
      </c>
      <c r="D107" s="11">
        <v>0.0</v>
      </c>
      <c r="E107" s="11">
        <v>7000.0</v>
      </c>
      <c r="F107" s="11">
        <v>0.0</v>
      </c>
      <c r="G107" s="46">
        <v>8190.219</v>
      </c>
      <c r="H107" s="3"/>
      <c r="I107" s="23">
        <v>0.026598</v>
      </c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6.0" customHeight="1">
      <c r="A108" s="10" t="s">
        <v>220</v>
      </c>
      <c r="B108" s="1" t="s">
        <v>221</v>
      </c>
      <c r="C108" s="11">
        <v>2513.0</v>
      </c>
      <c r="D108" s="11">
        <v>0.0</v>
      </c>
      <c r="E108" s="11">
        <v>2513.0</v>
      </c>
      <c r="F108" s="11">
        <v>0.0</v>
      </c>
      <c r="G108" s="46">
        <v>2062.274</v>
      </c>
      <c r="H108" s="3"/>
      <c r="I108" s="23">
        <v>0.029596</v>
      </c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4.0" customHeight="1">
      <c r="A109" s="1" t="s">
        <v>222</v>
      </c>
      <c r="B109" s="1" t="s">
        <v>223</v>
      </c>
      <c r="C109" s="5">
        <v>6020.0</v>
      </c>
      <c r="D109" s="5">
        <v>0.0</v>
      </c>
      <c r="E109" s="5">
        <v>6020.0</v>
      </c>
      <c r="F109" s="5">
        <v>0.0</v>
      </c>
      <c r="G109" s="39">
        <v>5897.131</v>
      </c>
      <c r="H109" s="3"/>
      <c r="I109" s="20">
        <v>3.83E-4</v>
      </c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6.0" customHeight="1">
      <c r="A110" s="10" t="s">
        <v>224</v>
      </c>
      <c r="B110" s="1" t="s">
        <v>225</v>
      </c>
      <c r="C110" s="11">
        <v>1870.0</v>
      </c>
      <c r="D110" s="11">
        <v>0.0</v>
      </c>
      <c r="E110" s="11">
        <v>1870.0</v>
      </c>
      <c r="F110" s="11">
        <v>0.0</v>
      </c>
      <c r="G110" s="46">
        <v>1547.354</v>
      </c>
      <c r="H110" s="3"/>
      <c r="I110" s="23">
        <v>0.027388</v>
      </c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4.0" customHeight="1">
      <c r="A111" s="1" t="s">
        <v>226</v>
      </c>
      <c r="B111" s="1" t="s">
        <v>227</v>
      </c>
      <c r="C111" s="5">
        <v>1278.0</v>
      </c>
      <c r="D111" s="5">
        <v>0.0</v>
      </c>
      <c r="E111" s="44">
        <v>1278.3</v>
      </c>
      <c r="F111" s="5">
        <v>0.0</v>
      </c>
      <c r="G111" s="40">
        <v>476.1133</v>
      </c>
      <c r="H111" s="3"/>
      <c r="I111" s="14">
        <v>0.0</v>
      </c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4.0" customHeight="1">
      <c r="A112" s="1" t="s">
        <v>228</v>
      </c>
      <c r="B112" s="1" t="s">
        <v>229</v>
      </c>
      <c r="C112" s="5">
        <v>21305.0</v>
      </c>
      <c r="D112" s="5">
        <v>0.0</v>
      </c>
      <c r="E112" s="15">
        <v>21304.94</v>
      </c>
      <c r="F112" s="5">
        <v>0.0</v>
      </c>
      <c r="G112" s="38">
        <v>20736.21</v>
      </c>
      <c r="H112" s="3"/>
      <c r="I112" s="14">
        <v>0.0</v>
      </c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4.0" customHeight="1">
      <c r="A113" s="1" t="s">
        <v>230</v>
      </c>
      <c r="B113" s="1" t="s">
        <v>231</v>
      </c>
      <c r="C113" s="5">
        <v>20027.0</v>
      </c>
      <c r="D113" s="5">
        <v>0.0</v>
      </c>
      <c r="E113" s="15">
        <v>20026.64</v>
      </c>
      <c r="F113" s="5">
        <v>0.0</v>
      </c>
      <c r="G113" s="38">
        <v>20260.09</v>
      </c>
      <c r="H113" s="3"/>
      <c r="I113" s="14">
        <v>0.0</v>
      </c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4.0" customHeight="1">
      <c r="A114" s="1" t="s">
        <v>232</v>
      </c>
      <c r="B114" s="1" t="s">
        <v>233</v>
      </c>
      <c r="C114" s="15">
        <v>0.94</v>
      </c>
      <c r="D114" s="5">
        <v>0.0</v>
      </c>
      <c r="E114" s="15">
        <v>0.94</v>
      </c>
      <c r="F114" s="5">
        <v>0.0</v>
      </c>
      <c r="G114" s="43">
        <v>0.97704</v>
      </c>
      <c r="H114" s="3"/>
      <c r="I114" s="20">
        <v>6.47E-4</v>
      </c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6.0" customHeight="1">
      <c r="A115" s="10" t="s">
        <v>234</v>
      </c>
      <c r="B115" s="1" t="s">
        <v>235</v>
      </c>
      <c r="C115" s="11">
        <v>5570.0</v>
      </c>
      <c r="D115" s="11">
        <v>0.0</v>
      </c>
      <c r="E115" s="11">
        <v>5570.0</v>
      </c>
      <c r="F115" s="11">
        <v>0.0</v>
      </c>
      <c r="G115" s="46">
        <v>5814.144</v>
      </c>
      <c r="H115" s="3"/>
      <c r="I115" s="23">
        <v>0.001768</v>
      </c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4.0" customHeight="1">
      <c r="A116" s="1" t="s">
        <v>236</v>
      </c>
      <c r="B116" s="1" t="s">
        <v>237</v>
      </c>
      <c r="C116" s="5">
        <v>1178.0</v>
      </c>
      <c r="D116" s="5">
        <v>0.0</v>
      </c>
      <c r="E116" s="5">
        <v>1178.0</v>
      </c>
      <c r="F116" s="5">
        <v>0.0</v>
      </c>
      <c r="G116" s="40">
        <v>998.1672</v>
      </c>
      <c r="H116" s="3"/>
      <c r="I116" s="19">
        <v>0.02144</v>
      </c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4.0" customHeight="1">
      <c r="A117" s="1" t="s">
        <v>238</v>
      </c>
      <c r="B117" s="1" t="s">
        <v>239</v>
      </c>
      <c r="C117" s="5">
        <v>750.0</v>
      </c>
      <c r="D117" s="5">
        <v>0.0</v>
      </c>
      <c r="E117" s="15">
        <v>749.78</v>
      </c>
      <c r="F117" s="5">
        <v>0.0</v>
      </c>
      <c r="G117" s="40">
        <v>358.6472</v>
      </c>
      <c r="H117" s="3"/>
      <c r="I117" s="14">
        <v>0.0</v>
      </c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4.0" customHeight="1">
      <c r="A118" s="1" t="s">
        <v>240</v>
      </c>
      <c r="B118" s="1" t="s">
        <v>241</v>
      </c>
      <c r="C118" s="5">
        <v>7498.0</v>
      </c>
      <c r="D118" s="5">
        <v>0.0</v>
      </c>
      <c r="E118" s="15">
        <v>7497.78</v>
      </c>
      <c r="F118" s="5">
        <v>0.0</v>
      </c>
      <c r="G118" s="39">
        <v>7170.959</v>
      </c>
      <c r="H118" s="3"/>
      <c r="I118" s="14">
        <v>0.0</v>
      </c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4.0" customHeight="1">
      <c r="A119" s="1" t="s">
        <v>242</v>
      </c>
      <c r="B119" s="1" t="s">
        <v>243</v>
      </c>
      <c r="C119" s="5">
        <v>6748.0</v>
      </c>
      <c r="D119" s="5">
        <v>0.0</v>
      </c>
      <c r="E119" s="5">
        <v>6748.0</v>
      </c>
      <c r="F119" s="5">
        <v>0.0</v>
      </c>
      <c r="G119" s="39">
        <v>6812.312</v>
      </c>
      <c r="H119" s="3"/>
      <c r="I119" s="14">
        <v>0.0</v>
      </c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4.0" customHeight="1">
      <c r="A120" s="1" t="s">
        <v>244</v>
      </c>
      <c r="B120" s="1" t="s">
        <v>245</v>
      </c>
      <c r="C120" s="44">
        <v>0.9</v>
      </c>
      <c r="D120" s="5">
        <v>0.0</v>
      </c>
      <c r="E120" s="44">
        <v>0.9</v>
      </c>
      <c r="F120" s="5">
        <v>0.0</v>
      </c>
      <c r="G120" s="41">
        <v>0.949986</v>
      </c>
      <c r="H120" s="3"/>
      <c r="I120" s="20">
        <v>0.001286</v>
      </c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6.0" customHeight="1">
      <c r="A121" s="10" t="s">
        <v>246</v>
      </c>
      <c r="B121" s="1" t="s">
        <v>247</v>
      </c>
      <c r="C121" s="11">
        <v>5918.0</v>
      </c>
      <c r="D121" s="11">
        <v>0.0</v>
      </c>
      <c r="E121" s="26">
        <v>5679.58</v>
      </c>
      <c r="F121" s="11">
        <v>0.0</v>
      </c>
      <c r="G121" s="46">
        <v>5555.588</v>
      </c>
      <c r="H121" s="3"/>
      <c r="I121" s="13">
        <v>0.0</v>
      </c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4.0" customHeight="1">
      <c r="A122" s="1" t="s">
        <v>248</v>
      </c>
      <c r="B122" s="1" t="s">
        <v>249</v>
      </c>
      <c r="C122" s="5">
        <v>1074.0</v>
      </c>
      <c r="D122" s="5">
        <v>0.0</v>
      </c>
      <c r="E122" s="15">
        <v>1066.12</v>
      </c>
      <c r="F122" s="5">
        <v>0.0</v>
      </c>
      <c r="G122" s="40">
        <v>917.3263</v>
      </c>
      <c r="H122" s="3"/>
      <c r="I122" s="14">
        <v>0.0</v>
      </c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6.0" customHeight="1">
      <c r="A123" s="10" t="s">
        <v>250</v>
      </c>
      <c r="B123" s="1" t="s">
        <v>251</v>
      </c>
      <c r="C123" s="11">
        <v>2163.0</v>
      </c>
      <c r="D123" s="11">
        <v>0.0</v>
      </c>
      <c r="E123" s="26">
        <v>2147.29</v>
      </c>
      <c r="F123" s="11">
        <v>0.0</v>
      </c>
      <c r="G123" s="46">
        <v>2023.714</v>
      </c>
      <c r="H123" s="3"/>
      <c r="I123" s="13">
        <v>0.0</v>
      </c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4.0" customHeight="1">
      <c r="A124" s="1" t="s">
        <v>252</v>
      </c>
      <c r="B124" s="1" t="s">
        <v>253</v>
      </c>
      <c r="C124" s="5">
        <v>761.0</v>
      </c>
      <c r="D124" s="5">
        <v>0.0</v>
      </c>
      <c r="E124" s="15">
        <v>755.69</v>
      </c>
      <c r="F124" s="5">
        <v>0.0</v>
      </c>
      <c r="G124" s="40">
        <v>699.8552</v>
      </c>
      <c r="H124" s="3"/>
      <c r="I124" s="14">
        <v>0.0</v>
      </c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4.0" customHeight="1">
      <c r="A125" s="1" t="s">
        <v>254</v>
      </c>
      <c r="B125" s="1" t="s">
        <v>255</v>
      </c>
      <c r="C125" s="5">
        <v>804.0</v>
      </c>
      <c r="D125" s="5">
        <v>0.0</v>
      </c>
      <c r="E125" s="15">
        <v>782.32</v>
      </c>
      <c r="F125" s="5">
        <v>0.0</v>
      </c>
      <c r="G125" s="40">
        <v>530.9682</v>
      </c>
      <c r="H125" s="3"/>
      <c r="I125" s="14">
        <v>0.0</v>
      </c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4.0" customHeight="1">
      <c r="A126" s="1" t="s">
        <v>256</v>
      </c>
      <c r="B126" s="1" t="s">
        <v>257</v>
      </c>
      <c r="C126" s="5">
        <v>10720.0</v>
      </c>
      <c r="D126" s="5">
        <v>0.0</v>
      </c>
      <c r="E126" s="5">
        <v>10431.0</v>
      </c>
      <c r="F126" s="5">
        <v>0.0</v>
      </c>
      <c r="G126" s="39">
        <v>9727.452</v>
      </c>
      <c r="H126" s="3"/>
      <c r="I126" s="14">
        <v>0.0</v>
      </c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4.0" customHeight="1">
      <c r="A127" s="1" t="s">
        <v>258</v>
      </c>
      <c r="B127" s="1" t="s">
        <v>259</v>
      </c>
      <c r="C127" s="5">
        <v>9916.0</v>
      </c>
      <c r="D127" s="5">
        <v>0.0</v>
      </c>
      <c r="E127" s="15">
        <v>9648.68</v>
      </c>
      <c r="F127" s="5">
        <v>0.0</v>
      </c>
      <c r="G127" s="25">
        <v>9196.484</v>
      </c>
      <c r="H127" s="3"/>
      <c r="I127" s="14">
        <v>0.0</v>
      </c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4.0" customHeight="1">
      <c r="A128" s="1" t="s">
        <v>260</v>
      </c>
      <c r="B128" s="1" t="s">
        <v>261</v>
      </c>
      <c r="C128" s="15">
        <v>0.93</v>
      </c>
      <c r="D128" s="7">
        <v>1.22E-5</v>
      </c>
      <c r="E128" s="7">
        <v>0.93</v>
      </c>
      <c r="F128" s="7">
        <v>1.22E-5</v>
      </c>
      <c r="G128" s="20">
        <v>0.945415</v>
      </c>
      <c r="H128" s="3"/>
      <c r="I128" s="20">
        <v>2.03E-4</v>
      </c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6.0" customHeight="1">
      <c r="A129" s="10" t="s">
        <v>262</v>
      </c>
      <c r="B129" s="1" t="s">
        <v>263</v>
      </c>
      <c r="C129" s="11">
        <v>0.0</v>
      </c>
      <c r="D129" s="11">
        <v>0.0</v>
      </c>
      <c r="E129" s="45"/>
      <c r="F129" s="45"/>
      <c r="G129" s="13">
        <v>0.0</v>
      </c>
      <c r="H129" s="3"/>
      <c r="I129" s="13">
        <v>0.0</v>
      </c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48.0" customHeight="1">
      <c r="A130" s="1" t="s">
        <v>264</v>
      </c>
      <c r="B130" s="1" t="s">
        <v>265</v>
      </c>
      <c r="C130" s="5">
        <v>18689.0</v>
      </c>
      <c r="D130" s="5">
        <v>0.0</v>
      </c>
      <c r="E130" s="15">
        <v>16912.99</v>
      </c>
      <c r="F130" s="5">
        <v>0.0</v>
      </c>
      <c r="G130" s="8">
        <v>16221.86</v>
      </c>
      <c r="H130" s="3"/>
      <c r="I130" s="14">
        <v>0.0</v>
      </c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6.0" customHeight="1">
      <c r="A131" s="10" t="s">
        <v>266</v>
      </c>
      <c r="B131" s="1" t="s">
        <v>267</v>
      </c>
      <c r="C131" s="11">
        <v>1873.0</v>
      </c>
      <c r="D131" s="11">
        <v>0.0</v>
      </c>
      <c r="E131" s="26">
        <v>1872.73</v>
      </c>
      <c r="F131" s="11">
        <v>0.0</v>
      </c>
      <c r="G131" s="18">
        <v>2172.209</v>
      </c>
      <c r="H131" s="3"/>
      <c r="I131" s="13">
        <v>0.0</v>
      </c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48.0" customHeight="1">
      <c r="A132" s="1" t="s">
        <v>268</v>
      </c>
      <c r="B132" s="1" t="s">
        <v>269</v>
      </c>
      <c r="C132" s="5">
        <v>10694.0</v>
      </c>
      <c r="D132" s="5">
        <v>0.0</v>
      </c>
      <c r="E132" s="5">
        <v>10694.0</v>
      </c>
      <c r="F132" s="5">
        <v>0.0</v>
      </c>
      <c r="G132" s="8">
        <v>12462.99</v>
      </c>
      <c r="H132" s="3"/>
      <c r="I132" s="20">
        <v>0.025174</v>
      </c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4.0" customHeight="1">
      <c r="A133" s="1" t="s">
        <v>270</v>
      </c>
      <c r="B133" s="1" t="s">
        <v>271</v>
      </c>
      <c r="C133" s="5">
        <v>1610.0</v>
      </c>
      <c r="D133" s="5">
        <v>0.0</v>
      </c>
      <c r="E133" s="15">
        <v>1518.93</v>
      </c>
      <c r="F133" s="5">
        <v>0.0</v>
      </c>
      <c r="G133" s="25">
        <v>2013.035</v>
      </c>
      <c r="H133" s="3"/>
      <c r="I133" s="14">
        <v>0.0</v>
      </c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4.0" customHeight="1">
      <c r="A134" s="1" t="s">
        <v>272</v>
      </c>
      <c r="B134" s="1" t="s">
        <v>273</v>
      </c>
      <c r="C134" s="5">
        <v>32866.0</v>
      </c>
      <c r="D134" s="5">
        <v>0.0</v>
      </c>
      <c r="E134" s="15">
        <v>30998.65</v>
      </c>
      <c r="F134" s="5">
        <v>0.0</v>
      </c>
      <c r="G134" s="8">
        <v>32870.09</v>
      </c>
      <c r="H134" s="3"/>
      <c r="I134" s="14">
        <v>0.0</v>
      </c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4.0" customHeight="1">
      <c r="A135" s="1" t="s">
        <v>274</v>
      </c>
      <c r="B135" s="1" t="s">
        <v>275</v>
      </c>
      <c r="C135" s="5">
        <v>31256.0</v>
      </c>
      <c r="D135" s="5">
        <v>0.0</v>
      </c>
      <c r="E135" s="15">
        <v>29479.72</v>
      </c>
      <c r="F135" s="5">
        <v>0.0</v>
      </c>
      <c r="G135" s="8">
        <v>30857.05</v>
      </c>
      <c r="H135" s="3"/>
      <c r="I135" s="14">
        <v>0.0</v>
      </c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6.0" customHeight="1">
      <c r="A136" s="10" t="s">
        <v>276</v>
      </c>
      <c r="B136" s="1" t="s">
        <v>277</v>
      </c>
      <c r="C136" s="26">
        <v>0.95</v>
      </c>
      <c r="D136" s="27">
        <v>4.61E-7</v>
      </c>
      <c r="E136" s="27">
        <v>0.95</v>
      </c>
      <c r="F136" s="27">
        <v>4.61E-7</v>
      </c>
      <c r="G136" s="23">
        <v>0.938758</v>
      </c>
      <c r="H136" s="3"/>
      <c r="I136" s="28">
        <v>6.91E-5</v>
      </c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6.0" customHeight="1">
      <c r="A137" s="10" t="s">
        <v>278</v>
      </c>
      <c r="B137" s="1" t="s">
        <v>279</v>
      </c>
      <c r="C137" s="11">
        <v>2299.0</v>
      </c>
      <c r="D137" s="11">
        <v>0.0</v>
      </c>
      <c r="E137" s="11">
        <v>2299.0</v>
      </c>
      <c r="F137" s="11">
        <v>0.0</v>
      </c>
      <c r="G137" s="18">
        <v>2660.939</v>
      </c>
      <c r="H137" s="3"/>
      <c r="I137" s="13">
        <v>0.0</v>
      </c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4.0" customHeight="1">
      <c r="A138" s="1" t="s">
        <v>280</v>
      </c>
      <c r="B138" s="1" t="s">
        <v>281</v>
      </c>
      <c r="C138" s="5">
        <v>160.0</v>
      </c>
      <c r="D138" s="5">
        <v>0.0</v>
      </c>
      <c r="E138" s="15">
        <v>159.82</v>
      </c>
      <c r="F138" s="5">
        <v>0.0</v>
      </c>
      <c r="G138" s="19">
        <v>98.95233</v>
      </c>
      <c r="H138" s="3"/>
      <c r="I138" s="14">
        <v>0.0</v>
      </c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4.0" customHeight="1">
      <c r="A139" s="1" t="s">
        <v>282</v>
      </c>
      <c r="B139" s="1" t="s">
        <v>283</v>
      </c>
      <c r="C139" s="5">
        <v>2459.0</v>
      </c>
      <c r="D139" s="5">
        <v>0.0</v>
      </c>
      <c r="E139" s="15">
        <v>2458.82</v>
      </c>
      <c r="F139" s="5">
        <v>0.0</v>
      </c>
      <c r="G139" s="25">
        <v>2759.891</v>
      </c>
      <c r="H139" s="3"/>
      <c r="I139" s="14">
        <v>0.0</v>
      </c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6.0" customHeight="1">
      <c r="A140" s="10" t="s">
        <v>284</v>
      </c>
      <c r="B140" s="1" t="s">
        <v>285</v>
      </c>
      <c r="C140" s="11">
        <v>2299.0</v>
      </c>
      <c r="D140" s="11">
        <v>0.0</v>
      </c>
      <c r="E140" s="11">
        <v>2299.0</v>
      </c>
      <c r="F140" s="11">
        <v>0.0</v>
      </c>
      <c r="G140" s="18">
        <v>2660.939</v>
      </c>
      <c r="H140" s="3"/>
      <c r="I140" s="23">
        <v>0.022802</v>
      </c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6.0" customHeight="1">
      <c r="A141" s="10" t="s">
        <v>286</v>
      </c>
      <c r="B141" s="1" t="s">
        <v>287</v>
      </c>
      <c r="C141" s="26">
        <v>0.94</v>
      </c>
      <c r="D141" s="27">
        <v>1.19E-5</v>
      </c>
      <c r="E141" s="27">
        <v>0.94</v>
      </c>
      <c r="F141" s="27">
        <v>1.19E-5</v>
      </c>
      <c r="G141" s="23">
        <v>0.964145</v>
      </c>
      <c r="H141" s="3"/>
      <c r="I141" s="23">
        <v>4.05E-4</v>
      </c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48.0" customHeight="1">
      <c r="A142" s="1" t="s">
        <v>288</v>
      </c>
      <c r="B142" s="1" t="s">
        <v>289</v>
      </c>
      <c r="C142" s="5">
        <v>4718.0</v>
      </c>
      <c r="D142" s="5">
        <v>0.0</v>
      </c>
      <c r="E142" s="5">
        <v>4718.0</v>
      </c>
      <c r="F142" s="5">
        <v>0.0</v>
      </c>
      <c r="G142" s="25">
        <v>5064.614</v>
      </c>
      <c r="H142" s="3"/>
      <c r="I142" s="20">
        <v>0.004966</v>
      </c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48.0" customHeight="1">
      <c r="A143" s="1" t="s">
        <v>290</v>
      </c>
      <c r="B143" s="1" t="s">
        <v>291</v>
      </c>
      <c r="C143" s="5">
        <v>2419.0</v>
      </c>
      <c r="D143" s="5">
        <v>0.0</v>
      </c>
      <c r="E143" s="5">
        <v>2419.0</v>
      </c>
      <c r="F143" s="5">
        <v>0.0</v>
      </c>
      <c r="G143" s="39">
        <v>2403.675</v>
      </c>
      <c r="H143" s="3"/>
      <c r="I143" s="14">
        <v>0.0</v>
      </c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6.0" customHeight="1">
      <c r="A144" s="10" t="s">
        <v>292</v>
      </c>
      <c r="B144" s="1" t="s">
        <v>293</v>
      </c>
      <c r="C144" s="11">
        <v>205.0</v>
      </c>
      <c r="D144" s="11">
        <v>0.0</v>
      </c>
      <c r="E144" s="26">
        <v>204.64</v>
      </c>
      <c r="F144" s="11">
        <v>0.0</v>
      </c>
      <c r="G144" s="47">
        <v>159.4388</v>
      </c>
      <c r="H144" s="3"/>
      <c r="I144" s="13">
        <v>0.0</v>
      </c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6.0" customHeight="1">
      <c r="A145" s="10" t="s">
        <v>294</v>
      </c>
      <c r="B145" s="1" t="s">
        <v>295</v>
      </c>
      <c r="C145" s="11">
        <v>2624.0</v>
      </c>
      <c r="D145" s="11">
        <v>0.0</v>
      </c>
      <c r="E145" s="26">
        <v>2623.64</v>
      </c>
      <c r="F145" s="11">
        <v>0.0</v>
      </c>
      <c r="G145" s="46">
        <v>2563.114</v>
      </c>
      <c r="H145" s="3"/>
      <c r="I145" s="13">
        <v>0.0</v>
      </c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6.0" customHeight="1">
      <c r="A146" s="10" t="s">
        <v>296</v>
      </c>
      <c r="B146" s="1" t="s">
        <v>297</v>
      </c>
      <c r="C146" s="11">
        <v>2419.0</v>
      </c>
      <c r="D146" s="11">
        <v>0.0</v>
      </c>
      <c r="E146" s="11">
        <v>2419.0</v>
      </c>
      <c r="F146" s="11">
        <v>0.0</v>
      </c>
      <c r="G146" s="46">
        <v>2403.675</v>
      </c>
      <c r="H146" s="3"/>
      <c r="I146" s="28">
        <v>3.69E-5</v>
      </c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6.0" customHeight="1">
      <c r="A147" s="10" t="s">
        <v>298</v>
      </c>
      <c r="B147" s="1" t="s">
        <v>299</v>
      </c>
      <c r="C147" s="26">
        <v>0.92</v>
      </c>
      <c r="D147" s="27">
        <v>1.96E-6</v>
      </c>
      <c r="E147" s="27">
        <v>0.92</v>
      </c>
      <c r="F147" s="27">
        <v>1.96E-6</v>
      </c>
      <c r="G147" s="37">
        <v>0.937795</v>
      </c>
      <c r="H147" s="3"/>
      <c r="I147" s="23">
        <v>1.22E-4</v>
      </c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6.0" customHeight="1">
      <c r="A148" s="10" t="s">
        <v>300</v>
      </c>
      <c r="B148" s="1" t="s">
        <v>301</v>
      </c>
      <c r="C148" s="11">
        <v>16490.0</v>
      </c>
      <c r="D148" s="11">
        <v>0.0</v>
      </c>
      <c r="E148" s="11">
        <v>16490.0</v>
      </c>
      <c r="F148" s="11">
        <v>0.0</v>
      </c>
      <c r="G148" s="42">
        <v>15491.69</v>
      </c>
      <c r="H148" s="3"/>
      <c r="I148" s="23">
        <v>0.003372</v>
      </c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4.0" customHeight="1">
      <c r="A149" s="1" t="s">
        <v>302</v>
      </c>
      <c r="B149" s="1" t="s">
        <v>303</v>
      </c>
      <c r="C149" s="5">
        <v>423.0</v>
      </c>
      <c r="D149" s="5">
        <v>0.0</v>
      </c>
      <c r="E149" s="15">
        <v>422.82</v>
      </c>
      <c r="F149" s="5">
        <v>0.0</v>
      </c>
      <c r="G149" s="40">
        <v>730.1644</v>
      </c>
      <c r="H149" s="3"/>
      <c r="I149" s="14">
        <v>0.0</v>
      </c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4.0" customHeight="1">
      <c r="A150" s="1" t="s">
        <v>304</v>
      </c>
      <c r="B150" s="1" t="s">
        <v>305</v>
      </c>
      <c r="C150" s="5">
        <v>16913.0</v>
      </c>
      <c r="D150" s="5">
        <v>0.0</v>
      </c>
      <c r="E150" s="15">
        <v>16912.82</v>
      </c>
      <c r="F150" s="5">
        <v>0.0</v>
      </c>
      <c r="G150" s="38">
        <v>16221.86</v>
      </c>
      <c r="H150" s="3"/>
      <c r="I150" s="14">
        <v>0.0</v>
      </c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6.0" customHeight="1">
      <c r="A151" s="10" t="s">
        <v>306</v>
      </c>
      <c r="B151" s="1" t="s">
        <v>307</v>
      </c>
      <c r="C151" s="11">
        <v>16490.0</v>
      </c>
      <c r="D151" s="11">
        <v>0.0</v>
      </c>
      <c r="E151" s="11">
        <v>16490.0</v>
      </c>
      <c r="F151" s="11">
        <v>0.0</v>
      </c>
      <c r="G151" s="42">
        <v>15491.69</v>
      </c>
      <c r="H151" s="3"/>
      <c r="I151" s="13">
        <v>0.0</v>
      </c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6.0" customHeight="1">
      <c r="A152" s="10" t="s">
        <v>308</v>
      </c>
      <c r="B152" s="1" t="s">
        <v>309</v>
      </c>
      <c r="C152" s="26">
        <v>0.98</v>
      </c>
      <c r="D152" s="27">
        <v>1.1E-5</v>
      </c>
      <c r="E152" s="27">
        <v>0.98</v>
      </c>
      <c r="F152" s="27">
        <v>1.1E-5</v>
      </c>
      <c r="G152" s="37">
        <v>0.954989</v>
      </c>
      <c r="H152" s="3"/>
      <c r="I152" s="23">
        <v>1.76E-4</v>
      </c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6.0" customHeight="1">
      <c r="A153" s="10" t="s">
        <v>310</v>
      </c>
      <c r="B153" s="1" t="s">
        <v>311</v>
      </c>
      <c r="C153" s="11">
        <v>1751.0</v>
      </c>
      <c r="D153" s="11">
        <v>0.0</v>
      </c>
      <c r="E153" s="11">
        <v>1751.0</v>
      </c>
      <c r="F153" s="11">
        <v>0.0</v>
      </c>
      <c r="G153" s="46">
        <v>2014.254</v>
      </c>
      <c r="H153" s="3"/>
      <c r="I153" s="23">
        <v>0.020795</v>
      </c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4.0" customHeight="1">
      <c r="A154" s="1" t="s">
        <v>312</v>
      </c>
      <c r="B154" s="1" t="s">
        <v>313</v>
      </c>
      <c r="C154" s="5">
        <v>122.0</v>
      </c>
      <c r="D154" s="5">
        <v>0.0</v>
      </c>
      <c r="E154" s="15">
        <v>121.73</v>
      </c>
      <c r="F154" s="5">
        <v>0.0</v>
      </c>
      <c r="G154" s="40">
        <v>157.9554</v>
      </c>
      <c r="H154" s="3"/>
      <c r="I154" s="14">
        <v>0.0</v>
      </c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4.0" customHeight="1">
      <c r="A155" s="1" t="s">
        <v>314</v>
      </c>
      <c r="B155" s="1" t="s">
        <v>315</v>
      </c>
      <c r="C155" s="5">
        <v>1873.0</v>
      </c>
      <c r="D155" s="5">
        <v>0.0</v>
      </c>
      <c r="E155" s="15">
        <v>1872.73</v>
      </c>
      <c r="F155" s="5">
        <v>0.0</v>
      </c>
      <c r="G155" s="39">
        <v>2172.209</v>
      </c>
      <c r="H155" s="3"/>
      <c r="I155" s="14">
        <v>0.0</v>
      </c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4.0" customHeight="1">
      <c r="A156" s="1" t="s">
        <v>316</v>
      </c>
      <c r="B156" s="1" t="s">
        <v>317</v>
      </c>
      <c r="C156" s="5">
        <v>1751.0</v>
      </c>
      <c r="D156" s="5">
        <v>0.0</v>
      </c>
      <c r="E156" s="5">
        <v>1751.0</v>
      </c>
      <c r="F156" s="5">
        <v>0.0</v>
      </c>
      <c r="G156" s="39">
        <v>2014.254</v>
      </c>
      <c r="H156" s="3"/>
      <c r="I156" s="14">
        <v>0.0</v>
      </c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4.0" customHeight="1">
      <c r="A157" s="1" t="s">
        <v>318</v>
      </c>
      <c r="B157" s="1" t="s">
        <v>319</v>
      </c>
      <c r="C157" s="15">
        <v>0.94</v>
      </c>
      <c r="D157" s="7">
        <v>1.19E-5</v>
      </c>
      <c r="E157" s="7">
        <v>0.94</v>
      </c>
      <c r="F157" s="7">
        <v>1.19E-5</v>
      </c>
      <c r="G157" s="41">
        <v>0.927283</v>
      </c>
      <c r="H157" s="3"/>
      <c r="I157" s="21">
        <v>2.84E-5</v>
      </c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8.5" customHeight="1">
      <c r="A158" s="35" t="s">
        <v>320</v>
      </c>
      <c r="B158" s="1" t="s">
        <v>321</v>
      </c>
      <c r="C158" s="5">
        <v>10530.0</v>
      </c>
      <c r="D158" s="6">
        <v>0.001201</v>
      </c>
      <c r="E158" s="15">
        <v>12765.22</v>
      </c>
      <c r="F158" s="6">
        <v>0.017395</v>
      </c>
      <c r="G158" s="38">
        <v>10501.51</v>
      </c>
      <c r="H158" s="3"/>
      <c r="I158" s="20">
        <v>0.001191</v>
      </c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8.5" customHeight="1">
      <c r="A159" s="35" t="s">
        <v>322</v>
      </c>
      <c r="B159" s="1" t="s">
        <v>323</v>
      </c>
      <c r="C159" s="5">
        <v>1916.0</v>
      </c>
      <c r="D159" s="48">
        <v>0.11802</v>
      </c>
      <c r="E159" s="15">
        <v>2881.18</v>
      </c>
      <c r="F159" s="6">
        <v>0.070079</v>
      </c>
      <c r="G159" s="39">
        <v>2972.603</v>
      </c>
      <c r="H159" s="3"/>
      <c r="I159" s="20">
        <v>0.066182</v>
      </c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8.5" customHeight="1">
      <c r="A160" s="35" t="s">
        <v>324</v>
      </c>
      <c r="B160" s="1" t="s">
        <v>325</v>
      </c>
      <c r="C160" s="5">
        <v>2388.0</v>
      </c>
      <c r="D160" s="6">
        <v>0.027656</v>
      </c>
      <c r="E160" s="15">
        <v>2411.76</v>
      </c>
      <c r="F160" s="6">
        <v>0.026561</v>
      </c>
      <c r="G160" s="38">
        <v>2964.68</v>
      </c>
      <c r="H160" s="3"/>
      <c r="I160" s="20">
        <v>0.010775</v>
      </c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8.5" customHeight="1">
      <c r="A161" s="35" t="s">
        <v>326</v>
      </c>
      <c r="B161" s="1" t="s">
        <v>327</v>
      </c>
      <c r="C161" s="5">
        <v>141.0</v>
      </c>
      <c r="D161" s="5">
        <v>0.0</v>
      </c>
      <c r="E161" s="15">
        <v>172.05</v>
      </c>
      <c r="F161" s="6">
        <v>0.012123</v>
      </c>
      <c r="G161" s="19">
        <v>71.09608</v>
      </c>
      <c r="H161" s="3"/>
      <c r="I161" s="20">
        <v>0.061448</v>
      </c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6.0" customHeight="1">
      <c r="A162" s="35" t="s">
        <v>328</v>
      </c>
      <c r="B162" s="1" t="s">
        <v>329</v>
      </c>
      <c r="C162" s="11">
        <v>2188.0</v>
      </c>
      <c r="D162" s="29">
        <v>0.031194</v>
      </c>
      <c r="E162" s="26">
        <v>2010.02</v>
      </c>
      <c r="F162" s="29">
        <v>0.041178</v>
      </c>
      <c r="G162" s="18">
        <v>2468.018</v>
      </c>
      <c r="H162" s="3"/>
      <c r="I162" s="23">
        <v>0.018288</v>
      </c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8.5" customHeight="1">
      <c r="A163" s="35" t="s">
        <v>330</v>
      </c>
      <c r="B163" s="1" t="s">
        <v>331</v>
      </c>
      <c r="C163" s="5">
        <v>300.0</v>
      </c>
      <c r="D163" s="5">
        <v>0.0</v>
      </c>
      <c r="E163" s="5">
        <v>300.0</v>
      </c>
      <c r="F163" s="5">
        <v>0.0</v>
      </c>
      <c r="G163" s="9">
        <v>235.1774</v>
      </c>
      <c r="H163" s="3"/>
      <c r="I163" s="20">
        <v>0.011672</v>
      </c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6.0" customHeight="1">
      <c r="A164" s="35" t="s">
        <v>332</v>
      </c>
      <c r="B164" s="1" t="s">
        <v>333</v>
      </c>
      <c r="C164" s="11">
        <v>61.0</v>
      </c>
      <c r="D164" s="11">
        <v>0.0</v>
      </c>
      <c r="E164" s="11">
        <v>61.0</v>
      </c>
      <c r="F164" s="11">
        <v>0.0</v>
      </c>
      <c r="G164" s="22">
        <v>62.87534</v>
      </c>
      <c r="H164" s="3"/>
      <c r="I164" s="23">
        <v>2.36E-4</v>
      </c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4.0" customHeight="1">
      <c r="A165" s="1" t="s">
        <v>334</v>
      </c>
      <c r="B165" s="1" t="s">
        <v>335</v>
      </c>
      <c r="C165" s="5">
        <v>1102.0</v>
      </c>
      <c r="D165" s="5">
        <v>0.0</v>
      </c>
      <c r="E165" s="5">
        <v>1102.0</v>
      </c>
      <c r="F165" s="5">
        <v>0.0</v>
      </c>
      <c r="G165" s="25">
        <v>1488.987</v>
      </c>
      <c r="H165" s="3"/>
      <c r="I165" s="20">
        <v>0.113453</v>
      </c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4.0" customHeight="1">
      <c r="A166" s="1" t="s">
        <v>336</v>
      </c>
      <c r="B166" s="1" t="s">
        <v>337</v>
      </c>
      <c r="C166" s="5">
        <v>2652.0</v>
      </c>
      <c r="D166" s="5">
        <v>0.0</v>
      </c>
      <c r="E166" s="44">
        <v>2977.2</v>
      </c>
      <c r="F166" s="5">
        <v>0.0</v>
      </c>
      <c r="G166" s="25">
        <v>2061.275</v>
      </c>
      <c r="H166" s="3"/>
      <c r="I166" s="14">
        <v>0.0</v>
      </c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4.0" customHeight="1">
      <c r="A167" s="1" t="s">
        <v>338</v>
      </c>
      <c r="B167" s="1" t="s">
        <v>339</v>
      </c>
      <c r="C167" s="5">
        <v>21277.0</v>
      </c>
      <c r="D167" s="5">
        <v>0.0</v>
      </c>
      <c r="E167" s="15">
        <v>24680.43</v>
      </c>
      <c r="F167" s="5">
        <v>0.0</v>
      </c>
      <c r="G167" s="8">
        <v>22826.22</v>
      </c>
      <c r="H167" s="3"/>
      <c r="I167" s="14">
        <v>0.0</v>
      </c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4.0" customHeight="1">
      <c r="A168" s="1" t="s">
        <v>340</v>
      </c>
      <c r="B168" s="1" t="s">
        <v>341</v>
      </c>
      <c r="C168" s="5">
        <v>18625.0</v>
      </c>
      <c r="D168" s="5">
        <v>0.0</v>
      </c>
      <c r="E168" s="15">
        <v>21703.23</v>
      </c>
      <c r="F168" s="5">
        <v>0.0</v>
      </c>
      <c r="G168" s="8">
        <v>20764.95</v>
      </c>
      <c r="H168" s="3"/>
      <c r="I168" s="14">
        <v>0.0</v>
      </c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4.0" customHeight="1">
      <c r="A169" s="1" t="s">
        <v>342</v>
      </c>
      <c r="B169" s="1" t="s">
        <v>343</v>
      </c>
      <c r="C169" s="15">
        <v>0.88</v>
      </c>
      <c r="D169" s="5">
        <v>0.0</v>
      </c>
      <c r="E169" s="15">
        <v>0.88</v>
      </c>
      <c r="F169" s="5">
        <v>0.0</v>
      </c>
      <c r="G169" s="8">
        <v>0.92</v>
      </c>
      <c r="H169" s="3"/>
      <c r="I169" s="14">
        <v>0.0</v>
      </c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6.0" customHeight="1">
      <c r="A170" s="10" t="s">
        <v>344</v>
      </c>
      <c r="B170" s="1" t="s">
        <v>345</v>
      </c>
      <c r="C170" s="11">
        <v>117500.0</v>
      </c>
      <c r="D170" s="11">
        <v>0.0</v>
      </c>
      <c r="E170" s="11">
        <v>123950.0</v>
      </c>
      <c r="F170" s="49">
        <v>0.00226</v>
      </c>
      <c r="G170" s="13">
        <v>118930.0</v>
      </c>
      <c r="H170" s="3"/>
      <c r="I170" s="23">
        <v>1.11E-4</v>
      </c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8.5" customHeight="1">
      <c r="A171" s="35" t="s">
        <v>346</v>
      </c>
      <c r="B171" s="1" t="s">
        <v>347</v>
      </c>
      <c r="C171" s="5">
        <v>3010.0</v>
      </c>
      <c r="D171" s="6">
        <v>0.006939</v>
      </c>
      <c r="E171" s="15">
        <v>2787.67</v>
      </c>
      <c r="F171" s="50">
        <v>0.0068</v>
      </c>
      <c r="G171" s="25">
        <v>3332.738</v>
      </c>
      <c r="H171" s="3"/>
      <c r="I171" s="20">
        <v>0.013151</v>
      </c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8.5" customHeight="1">
      <c r="A172" s="35" t="s">
        <v>348</v>
      </c>
      <c r="B172" s="1" t="s">
        <v>349</v>
      </c>
      <c r="C172" s="5">
        <v>619.0</v>
      </c>
      <c r="D172" s="5">
        <v>0.0</v>
      </c>
      <c r="E172" s="5">
        <v>619.0</v>
      </c>
      <c r="F172" s="5">
        <v>0.0</v>
      </c>
      <c r="G172" s="9">
        <v>413.1138</v>
      </c>
      <c r="H172" s="3"/>
      <c r="I172" s="20">
        <v>0.027658</v>
      </c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6.0" customHeight="1">
      <c r="A173" s="35" t="s">
        <v>350</v>
      </c>
      <c r="B173" s="1" t="s">
        <v>351</v>
      </c>
      <c r="C173" s="11">
        <v>954.0</v>
      </c>
      <c r="D173" s="29">
        <v>0.055556</v>
      </c>
      <c r="E173" s="11">
        <v>411.0</v>
      </c>
      <c r="F173" s="29">
        <v>0.254034</v>
      </c>
      <c r="G173" s="18">
        <v>1191.078</v>
      </c>
      <c r="H173" s="3"/>
      <c r="I173" s="23">
        <v>0.014055</v>
      </c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6.0" customHeight="1">
      <c r="A174" s="35" t="s">
        <v>352</v>
      </c>
      <c r="B174" s="1" t="s">
        <v>353</v>
      </c>
      <c r="C174" s="11">
        <v>3481.0</v>
      </c>
      <c r="D174" s="11">
        <v>0.0</v>
      </c>
      <c r="E174" s="11">
        <v>3181.0</v>
      </c>
      <c r="F174" s="29">
        <v>0.001857</v>
      </c>
      <c r="G174" s="18">
        <v>3478.818</v>
      </c>
      <c r="H174" s="3"/>
      <c r="I174" s="28">
        <v>9.82E-8</v>
      </c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8.5" customHeight="1">
      <c r="A175" s="35" t="s">
        <v>354</v>
      </c>
      <c r="B175" s="1" t="s">
        <v>355</v>
      </c>
      <c r="C175" s="5">
        <v>1503.0</v>
      </c>
      <c r="D175" s="5">
        <v>0.0</v>
      </c>
      <c r="E175" s="44">
        <v>1415.5</v>
      </c>
      <c r="F175" s="6">
        <v>8.47E-4</v>
      </c>
      <c r="G175" s="25">
        <v>1206.252</v>
      </c>
      <c r="H175" s="3"/>
      <c r="I175" s="20">
        <v>0.009745</v>
      </c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4.0" customHeight="1">
      <c r="A176" s="1" t="s">
        <v>356</v>
      </c>
      <c r="B176" s="1" t="s">
        <v>357</v>
      </c>
      <c r="C176" s="5">
        <v>1188.0</v>
      </c>
      <c r="D176" s="5">
        <v>0.0</v>
      </c>
      <c r="E176" s="5">
        <v>1188.0</v>
      </c>
      <c r="F176" s="5">
        <v>0.0</v>
      </c>
      <c r="G176" s="25">
        <v>1677.268</v>
      </c>
      <c r="H176" s="3"/>
      <c r="I176" s="20">
        <v>0.156045</v>
      </c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4.0" customHeight="1">
      <c r="A177" s="1" t="s">
        <v>358</v>
      </c>
      <c r="B177" s="1" t="s">
        <v>359</v>
      </c>
      <c r="C177" s="5">
        <v>4570.0</v>
      </c>
      <c r="D177" s="5">
        <v>0.0</v>
      </c>
      <c r="E177" s="5">
        <v>3947.0</v>
      </c>
      <c r="F177" s="5">
        <v>0.0</v>
      </c>
      <c r="G177" s="25">
        <v>3656.476</v>
      </c>
      <c r="H177" s="3"/>
      <c r="I177" s="14">
        <v>0.0</v>
      </c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4.0" customHeight="1">
      <c r="A178" s="1" t="s">
        <v>360</v>
      </c>
      <c r="B178" s="1" t="s">
        <v>361</v>
      </c>
      <c r="C178" s="5">
        <v>15325.0</v>
      </c>
      <c r="D178" s="5">
        <v>0.0</v>
      </c>
      <c r="E178" s="15">
        <v>13549.17</v>
      </c>
      <c r="F178" s="5">
        <v>0.0</v>
      </c>
      <c r="G178" s="8">
        <v>14955.75</v>
      </c>
      <c r="H178" s="3"/>
      <c r="I178" s="14">
        <v>0.0</v>
      </c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4.0" customHeight="1">
      <c r="A179" s="1" t="s">
        <v>362</v>
      </c>
      <c r="B179" s="1" t="s">
        <v>363</v>
      </c>
      <c r="C179" s="5">
        <v>10755.0</v>
      </c>
      <c r="D179" s="5">
        <v>0.0</v>
      </c>
      <c r="E179" s="15">
        <v>9602.17</v>
      </c>
      <c r="F179" s="5">
        <v>0.0</v>
      </c>
      <c r="G179" s="8">
        <v>11299.27</v>
      </c>
      <c r="H179" s="3"/>
      <c r="I179" s="14">
        <v>0.0</v>
      </c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4.0" customHeight="1">
      <c r="A180" s="1" t="s">
        <v>364</v>
      </c>
      <c r="B180" s="1" t="s">
        <v>365</v>
      </c>
      <c r="C180" s="44">
        <v>0.7</v>
      </c>
      <c r="D180" s="5">
        <v>0.0</v>
      </c>
      <c r="E180" s="15">
        <v>0.71</v>
      </c>
      <c r="F180" s="5">
        <v>0.0</v>
      </c>
      <c r="G180" s="8">
        <v>0.76</v>
      </c>
      <c r="H180" s="3"/>
      <c r="I180" s="14">
        <v>0.0</v>
      </c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6.0" customHeight="1">
      <c r="A181" s="10" t="s">
        <v>366</v>
      </c>
      <c r="B181" s="1" t="s">
        <v>367</v>
      </c>
      <c r="C181" s="11">
        <v>0.0</v>
      </c>
      <c r="D181" s="11">
        <v>0.0</v>
      </c>
      <c r="E181" s="45"/>
      <c r="F181" s="45"/>
      <c r="G181" s="13">
        <v>0.0</v>
      </c>
      <c r="H181" s="3"/>
      <c r="I181" s="13">
        <v>0.0</v>
      </c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8.5" customHeight="1">
      <c r="A182" s="35" t="s">
        <v>368</v>
      </c>
      <c r="B182" s="1" t="s">
        <v>369</v>
      </c>
      <c r="C182" s="5">
        <v>2002.0</v>
      </c>
      <c r="D182" s="6">
        <v>0.001174</v>
      </c>
      <c r="E182" s="15">
        <v>3215.67</v>
      </c>
      <c r="F182" s="6">
        <v>0.127698</v>
      </c>
      <c r="G182" s="25">
        <v>3002.954</v>
      </c>
      <c r="H182" s="3"/>
      <c r="I182" s="20">
        <v>0.087634</v>
      </c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8.5" customHeight="1">
      <c r="A183" s="35" t="s">
        <v>370</v>
      </c>
      <c r="B183" s="1" t="s">
        <v>371</v>
      </c>
      <c r="C183" s="5">
        <v>267.0</v>
      </c>
      <c r="D183" s="6">
        <v>0.078234</v>
      </c>
      <c r="E183" s="15">
        <v>801.67</v>
      </c>
      <c r="F183" s="6">
        <v>0.026064</v>
      </c>
      <c r="G183" s="9">
        <v>568.5511</v>
      </c>
      <c r="H183" s="3"/>
      <c r="I183" s="20">
        <v>9.55E-4</v>
      </c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8.5" customHeight="1">
      <c r="A184" s="35" t="s">
        <v>372</v>
      </c>
      <c r="B184" s="1" t="s">
        <v>373</v>
      </c>
      <c r="C184" s="5">
        <v>6377.0</v>
      </c>
      <c r="D184" s="48">
        <v>0.03488</v>
      </c>
      <c r="E184" s="15">
        <v>7535.83</v>
      </c>
      <c r="F184" s="6">
        <v>0.070952</v>
      </c>
      <c r="G184" s="25">
        <v>7880.565</v>
      </c>
      <c r="H184" s="3"/>
      <c r="I184" s="20">
        <v>0.086593</v>
      </c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8.5" customHeight="1">
      <c r="A185" s="35" t="s">
        <v>374</v>
      </c>
      <c r="B185" s="1" t="s">
        <v>375</v>
      </c>
      <c r="C185" s="5">
        <v>1.0</v>
      </c>
      <c r="D185" s="5">
        <v>0.0</v>
      </c>
      <c r="E185" s="5">
        <v>1000.0</v>
      </c>
      <c r="F185" s="5">
        <v>0.0</v>
      </c>
      <c r="G185" s="20">
        <v>1.222737</v>
      </c>
      <c r="H185" s="3"/>
      <c r="I185" s="14">
        <v>0.0</v>
      </c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4.0" customHeight="1">
      <c r="A186" s="1" t="s">
        <v>376</v>
      </c>
      <c r="B186" s="1" t="s">
        <v>377</v>
      </c>
      <c r="C186" s="5">
        <v>1877.0</v>
      </c>
      <c r="D186" s="5">
        <v>0.0</v>
      </c>
      <c r="E186" s="5">
        <v>1877.0</v>
      </c>
      <c r="F186" s="5">
        <v>0.0</v>
      </c>
      <c r="G186" s="25">
        <v>2815.966</v>
      </c>
      <c r="H186" s="3"/>
      <c r="I186" s="20">
        <v>0.230228</v>
      </c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4.0" customHeight="1">
      <c r="A187" s="1" t="s">
        <v>378</v>
      </c>
      <c r="B187" s="1" t="s">
        <v>379</v>
      </c>
      <c r="C187" s="5">
        <v>4504.0</v>
      </c>
      <c r="D187" s="5">
        <v>0.0</v>
      </c>
      <c r="E187" s="15">
        <v>6136.93</v>
      </c>
      <c r="F187" s="5">
        <v>0.0</v>
      </c>
      <c r="G187" s="25">
        <v>4484.635</v>
      </c>
      <c r="H187" s="3"/>
      <c r="I187" s="14">
        <v>0.0</v>
      </c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4.0" customHeight="1">
      <c r="A188" s="1" t="s">
        <v>380</v>
      </c>
      <c r="B188" s="1" t="s">
        <v>381</v>
      </c>
      <c r="C188" s="5">
        <v>15028.0</v>
      </c>
      <c r="D188" s="5">
        <v>0.0</v>
      </c>
      <c r="E188" s="15">
        <v>20567.09</v>
      </c>
      <c r="F188" s="5">
        <v>0.0</v>
      </c>
      <c r="G188" s="8">
        <v>18753.89</v>
      </c>
      <c r="H188" s="3"/>
      <c r="I188" s="14">
        <v>0.0</v>
      </c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4.0" customHeight="1">
      <c r="A189" s="1" t="s">
        <v>382</v>
      </c>
      <c r="B189" s="1" t="s">
        <v>383</v>
      </c>
      <c r="C189" s="5">
        <v>10524.0</v>
      </c>
      <c r="D189" s="5">
        <v>0.0</v>
      </c>
      <c r="E189" s="15">
        <v>14430.17</v>
      </c>
      <c r="F189" s="5">
        <v>0.0</v>
      </c>
      <c r="G189" s="8">
        <v>14269.26</v>
      </c>
      <c r="H189" s="3"/>
      <c r="I189" s="14">
        <v>0.0</v>
      </c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4.0" customHeight="1">
      <c r="A190" s="1" t="s">
        <v>384</v>
      </c>
      <c r="B190" s="1" t="s">
        <v>385</v>
      </c>
      <c r="C190" s="44">
        <v>0.7</v>
      </c>
      <c r="D190" s="5">
        <v>0.0</v>
      </c>
      <c r="E190" s="44">
        <v>0.7</v>
      </c>
      <c r="F190" s="5">
        <v>0.0</v>
      </c>
      <c r="G190" s="8">
        <v>0.76</v>
      </c>
      <c r="H190" s="3"/>
      <c r="I190" s="14">
        <v>0.0</v>
      </c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6.0" customHeight="1">
      <c r="A191" s="10" t="s">
        <v>386</v>
      </c>
      <c r="B191" s="1" t="s">
        <v>387</v>
      </c>
      <c r="C191" s="11">
        <v>21.0</v>
      </c>
      <c r="D191" s="49">
        <v>0.01189</v>
      </c>
      <c r="E191" s="11">
        <v>19.0</v>
      </c>
      <c r="F191" s="29">
        <v>0.012006</v>
      </c>
      <c r="G191" s="22">
        <v>17.01791</v>
      </c>
      <c r="H191" s="3"/>
      <c r="I191" s="23">
        <v>0.018043</v>
      </c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48.0" customHeight="1">
      <c r="A192" s="35" t="s">
        <v>388</v>
      </c>
      <c r="B192" s="1" t="s">
        <v>389</v>
      </c>
      <c r="C192" s="5">
        <v>80.0</v>
      </c>
      <c r="D192" s="5">
        <v>0.0</v>
      </c>
      <c r="E192" s="5">
        <v>80.0</v>
      </c>
      <c r="F192" s="5">
        <v>0.0</v>
      </c>
      <c r="G192" s="9">
        <v>105.4342</v>
      </c>
      <c r="H192" s="3"/>
      <c r="I192" s="20">
        <v>0.025269</v>
      </c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6.0" customHeight="1">
      <c r="A193" s="35" t="s">
        <v>390</v>
      </c>
      <c r="B193" s="1" t="s">
        <v>391</v>
      </c>
      <c r="C193" s="11">
        <v>1666.0</v>
      </c>
      <c r="D193" s="11">
        <v>0.0</v>
      </c>
      <c r="E193" s="33">
        <v>1639.5</v>
      </c>
      <c r="F193" s="27">
        <v>6.33E-5</v>
      </c>
      <c r="G193" s="18">
        <v>1762.181</v>
      </c>
      <c r="H193" s="3"/>
      <c r="I193" s="23">
        <v>8.33E-4</v>
      </c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6.0" customHeight="1">
      <c r="A194" s="10" t="s">
        <v>392</v>
      </c>
      <c r="B194" s="1" t="s">
        <v>393</v>
      </c>
      <c r="C194" s="11">
        <v>150.0</v>
      </c>
      <c r="D194" s="11">
        <v>0.0</v>
      </c>
      <c r="E194" s="11">
        <v>150.0</v>
      </c>
      <c r="F194" s="11">
        <v>0.0</v>
      </c>
      <c r="G194" s="31">
        <v>183.6295</v>
      </c>
      <c r="H194" s="3"/>
      <c r="I194" s="23">
        <v>0.046243</v>
      </c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6.0" customHeight="1">
      <c r="A195" s="10" t="s">
        <v>394</v>
      </c>
      <c r="B195" s="1" t="s">
        <v>395</v>
      </c>
      <c r="C195" s="11">
        <v>748.0</v>
      </c>
      <c r="D195" s="11">
        <v>0.0</v>
      </c>
      <c r="E195" s="26">
        <v>735.31</v>
      </c>
      <c r="F195" s="11">
        <v>0.0</v>
      </c>
      <c r="G195" s="31">
        <v>658.2571</v>
      </c>
      <c r="H195" s="3"/>
      <c r="I195" s="13">
        <v>0.0</v>
      </c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6.0" customHeight="1">
      <c r="A196" s="10" t="s">
        <v>396</v>
      </c>
      <c r="B196" s="1" t="s">
        <v>397</v>
      </c>
      <c r="C196" s="11">
        <v>2666.0</v>
      </c>
      <c r="D196" s="11">
        <v>0.0</v>
      </c>
      <c r="E196" s="26">
        <v>2623.81</v>
      </c>
      <c r="F196" s="11">
        <v>0.0</v>
      </c>
      <c r="G196" s="18">
        <v>2726.519</v>
      </c>
      <c r="H196" s="3"/>
      <c r="I196" s="13">
        <v>0.0</v>
      </c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6.0" customHeight="1">
      <c r="A197" s="10" t="s">
        <v>398</v>
      </c>
      <c r="B197" s="1" t="s">
        <v>399</v>
      </c>
      <c r="C197" s="11">
        <v>1917.0</v>
      </c>
      <c r="D197" s="11">
        <v>0.0</v>
      </c>
      <c r="E197" s="33">
        <v>1888.5</v>
      </c>
      <c r="F197" s="11">
        <v>0.0</v>
      </c>
      <c r="G197" s="18">
        <v>2068.262</v>
      </c>
      <c r="H197" s="3"/>
      <c r="I197" s="13">
        <v>0.0</v>
      </c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6.0" customHeight="1">
      <c r="A198" s="10" t="s">
        <v>400</v>
      </c>
      <c r="B198" s="1" t="s">
        <v>401</v>
      </c>
      <c r="C198" s="26">
        <v>0.72</v>
      </c>
      <c r="D198" s="11">
        <v>0.0</v>
      </c>
      <c r="E198" s="26">
        <v>0.72</v>
      </c>
      <c r="F198" s="11">
        <v>0.0</v>
      </c>
      <c r="G198" s="30">
        <v>0.76</v>
      </c>
      <c r="H198" s="3"/>
      <c r="I198" s="13">
        <v>0.0</v>
      </c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48.0" customHeight="1">
      <c r="A199" s="1" t="s">
        <v>402</v>
      </c>
      <c r="B199" s="1" t="s">
        <v>403</v>
      </c>
      <c r="C199" s="5">
        <v>30386.0</v>
      </c>
      <c r="D199" s="5">
        <v>0.0</v>
      </c>
      <c r="E199" s="5">
        <v>36218.0</v>
      </c>
      <c r="F199" s="48">
        <v>0.03389</v>
      </c>
      <c r="G199" s="8">
        <v>29863.21</v>
      </c>
      <c r="H199" s="3"/>
      <c r="I199" s="20">
        <v>2.72E-4</v>
      </c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6.0" customHeight="1">
      <c r="A200" s="35" t="s">
        <v>404</v>
      </c>
      <c r="B200" s="1" t="s">
        <v>405</v>
      </c>
      <c r="C200" s="11">
        <v>2755.0</v>
      </c>
      <c r="D200" s="29">
        <v>0.489419</v>
      </c>
      <c r="E200" s="11">
        <v>2472.0</v>
      </c>
      <c r="F200" s="29">
        <v>0.366838</v>
      </c>
      <c r="G200" s="18">
        <v>1742.514</v>
      </c>
      <c r="H200" s="3"/>
      <c r="I200" s="23">
        <v>0.163353</v>
      </c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6.0" customHeight="1">
      <c r="A201" s="35" t="s">
        <v>406</v>
      </c>
      <c r="B201" s="1" t="s">
        <v>407</v>
      </c>
      <c r="C201" s="11">
        <v>1476.0</v>
      </c>
      <c r="D201" s="29">
        <v>0.334168</v>
      </c>
      <c r="E201" s="26">
        <v>1252.67</v>
      </c>
      <c r="F201" s="29">
        <v>0.243243</v>
      </c>
      <c r="G201" s="30">
        <v>1534.95</v>
      </c>
      <c r="H201" s="3"/>
      <c r="I201" s="23">
        <v>0.363569</v>
      </c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8.5" customHeight="1">
      <c r="A202" s="35" t="s">
        <v>408</v>
      </c>
      <c r="B202" s="1" t="s">
        <v>409</v>
      </c>
      <c r="C202" s="5">
        <v>1118.0</v>
      </c>
      <c r="D202" s="6">
        <v>0.010424</v>
      </c>
      <c r="E202" s="15">
        <v>820.67</v>
      </c>
      <c r="F202" s="48">
        <v>0.02267</v>
      </c>
      <c r="G202" s="25">
        <v>1080.056</v>
      </c>
      <c r="H202" s="3"/>
      <c r="I202" s="20">
        <v>0.009464</v>
      </c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6.0" customHeight="1">
      <c r="A203" s="35" t="s">
        <v>410</v>
      </c>
      <c r="B203" s="1" t="s">
        <v>411</v>
      </c>
      <c r="C203" s="11">
        <v>142.0</v>
      </c>
      <c r="D203" s="11">
        <v>0.0</v>
      </c>
      <c r="E203" s="11">
        <v>92.0</v>
      </c>
      <c r="F203" s="29">
        <v>0.030996</v>
      </c>
      <c r="G203" s="22">
        <v>81.55431</v>
      </c>
      <c r="H203" s="3"/>
      <c r="I203" s="31">
        <v>0.0453</v>
      </c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48.0" customHeight="1">
      <c r="A204" s="35" t="s">
        <v>412</v>
      </c>
      <c r="B204" s="1" t="s">
        <v>413</v>
      </c>
      <c r="C204" s="5">
        <v>921.0</v>
      </c>
      <c r="D204" s="6">
        <v>1.623665</v>
      </c>
      <c r="E204" s="5">
        <v>701.0</v>
      </c>
      <c r="F204" s="6">
        <v>0.824746</v>
      </c>
      <c r="G204" s="25">
        <v>598.441</v>
      </c>
      <c r="H204" s="3"/>
      <c r="I204" s="20">
        <v>0.559701</v>
      </c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6.0" customHeight="1">
      <c r="A205" s="35" t="s">
        <v>414</v>
      </c>
      <c r="B205" s="1" t="s">
        <v>415</v>
      </c>
      <c r="C205" s="11">
        <v>8247.0</v>
      </c>
      <c r="D205" s="11">
        <v>0.0</v>
      </c>
      <c r="E205" s="11">
        <v>5977.0</v>
      </c>
      <c r="F205" s="29">
        <v>0.018941</v>
      </c>
      <c r="G205" s="30">
        <v>7933.14</v>
      </c>
      <c r="H205" s="3"/>
      <c r="I205" s="23">
        <v>3.62E-4</v>
      </c>
      <c r="J205" s="3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6.0" customHeight="1">
      <c r="A206" s="10" t="s">
        <v>416</v>
      </c>
      <c r="B206" s="1" t="s">
        <v>417</v>
      </c>
      <c r="C206" s="11">
        <v>782.0</v>
      </c>
      <c r="D206" s="11">
        <v>0.0</v>
      </c>
      <c r="E206" s="11">
        <v>782.0</v>
      </c>
      <c r="F206" s="11">
        <v>0.0</v>
      </c>
      <c r="G206" s="31">
        <v>936.2178</v>
      </c>
      <c r="H206" s="3"/>
      <c r="I206" s="22">
        <v>0.03578</v>
      </c>
      <c r="J206" s="3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6.0" customHeight="1">
      <c r="A207" s="10" t="s">
        <v>418</v>
      </c>
      <c r="B207" s="1" t="s">
        <v>419</v>
      </c>
      <c r="C207" s="11">
        <v>772.0</v>
      </c>
      <c r="D207" s="11">
        <v>0.0</v>
      </c>
      <c r="E207" s="26">
        <v>595.54</v>
      </c>
      <c r="F207" s="11">
        <v>0.0</v>
      </c>
      <c r="G207" s="31">
        <v>518.6709</v>
      </c>
      <c r="H207" s="3"/>
      <c r="I207" s="13">
        <v>0.0</v>
      </c>
      <c r="J207" s="3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6.0" customHeight="1">
      <c r="A208" s="10" t="s">
        <v>420</v>
      </c>
      <c r="B208" s="1" t="s">
        <v>421</v>
      </c>
      <c r="C208" s="11">
        <v>16213.0</v>
      </c>
      <c r="D208" s="11">
        <v>0.0</v>
      </c>
      <c r="E208" s="26">
        <v>12692.88</v>
      </c>
      <c r="F208" s="11">
        <v>0.0</v>
      </c>
      <c r="G208" s="30">
        <v>14425.54</v>
      </c>
      <c r="H208" s="3"/>
      <c r="I208" s="13">
        <v>0.0</v>
      </c>
      <c r="J208" s="3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6.0" customHeight="1">
      <c r="A209" s="10" t="s">
        <v>422</v>
      </c>
      <c r="B209" s="1" t="s">
        <v>423</v>
      </c>
      <c r="C209" s="11">
        <v>15441.0</v>
      </c>
      <c r="D209" s="11">
        <v>0.0</v>
      </c>
      <c r="E209" s="26">
        <v>12097.33</v>
      </c>
      <c r="F209" s="11">
        <v>0.0</v>
      </c>
      <c r="G209" s="30">
        <v>13906.87</v>
      </c>
      <c r="H209" s="3"/>
      <c r="I209" s="13">
        <v>0.0</v>
      </c>
      <c r="J209" s="3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6.0" customHeight="1">
      <c r="A210" s="10" t="s">
        <v>424</v>
      </c>
      <c r="B210" s="1" t="s">
        <v>425</v>
      </c>
      <c r="C210" s="26">
        <v>0.95</v>
      </c>
      <c r="D210" s="11">
        <v>0.0</v>
      </c>
      <c r="E210" s="26">
        <v>0.95</v>
      </c>
      <c r="F210" s="11">
        <v>0.0</v>
      </c>
      <c r="G210" s="30">
        <v>0.97</v>
      </c>
      <c r="H210" s="3"/>
      <c r="I210" s="13">
        <v>0.0</v>
      </c>
      <c r="J210" s="3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48.0" customHeight="1">
      <c r="A211" s="1" t="s">
        <v>426</v>
      </c>
      <c r="B211" s="1" t="s">
        <v>427</v>
      </c>
      <c r="C211" s="5">
        <v>11310.0</v>
      </c>
      <c r="D211" s="5">
        <v>0.0</v>
      </c>
      <c r="E211" s="5">
        <v>9966.0</v>
      </c>
      <c r="F211" s="6">
        <v>0.012992</v>
      </c>
      <c r="G211" s="16">
        <v>10096.5</v>
      </c>
      <c r="H211" s="3"/>
      <c r="I211" s="20">
        <v>0.010591</v>
      </c>
      <c r="J211" s="3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8.5" customHeight="1">
      <c r="A212" s="35" t="s">
        <v>428</v>
      </c>
      <c r="B212" s="1" t="s">
        <v>429</v>
      </c>
      <c r="C212" s="5">
        <v>350.0</v>
      </c>
      <c r="D212" s="6">
        <v>0.232086</v>
      </c>
      <c r="E212" s="44">
        <v>325.5</v>
      </c>
      <c r="F212" s="6">
        <v>0.187215</v>
      </c>
      <c r="G212" s="9">
        <v>426.2552</v>
      </c>
      <c r="H212" s="3"/>
      <c r="I212" s="20">
        <v>0.418984</v>
      </c>
      <c r="J212" s="3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8.5" customHeight="1">
      <c r="A213" s="35" t="s">
        <v>430</v>
      </c>
      <c r="B213" s="1" t="s">
        <v>431</v>
      </c>
      <c r="C213" s="5">
        <v>132.0</v>
      </c>
      <c r="D213" s="6">
        <v>0.730046</v>
      </c>
      <c r="E213" s="44">
        <v>119.5</v>
      </c>
      <c r="F213" s="6">
        <v>0.559539</v>
      </c>
      <c r="G213" s="19">
        <v>66.43089</v>
      </c>
      <c r="H213" s="3"/>
      <c r="I213" s="20">
        <v>0.136101</v>
      </c>
      <c r="J213" s="3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8.5" customHeight="1">
      <c r="A214" s="35" t="s">
        <v>432</v>
      </c>
      <c r="B214" s="1" t="s">
        <v>433</v>
      </c>
      <c r="C214" s="5">
        <v>111.0</v>
      </c>
      <c r="D214" s="6">
        <v>0.010515</v>
      </c>
      <c r="E214" s="44">
        <v>99.5</v>
      </c>
      <c r="F214" s="6">
        <v>0.010426</v>
      </c>
      <c r="G214" s="9">
        <v>124.8822</v>
      </c>
      <c r="H214" s="3"/>
      <c r="I214" s="20">
        <v>0.020283</v>
      </c>
      <c r="J214" s="3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8.5" customHeight="1">
      <c r="A215" s="35" t="s">
        <v>434</v>
      </c>
      <c r="B215" s="1" t="s">
        <v>435</v>
      </c>
      <c r="C215" s="5">
        <v>1.0</v>
      </c>
      <c r="D215" s="5">
        <v>0.0</v>
      </c>
      <c r="E215" s="5">
        <v>1.0</v>
      </c>
      <c r="F215" s="5">
        <v>0.0</v>
      </c>
      <c r="G215" s="20">
        <v>0.002835</v>
      </c>
      <c r="H215" s="3"/>
      <c r="I215" s="14">
        <v>0.0</v>
      </c>
      <c r="J215" s="3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6.0" customHeight="1">
      <c r="A216" s="35" t="s">
        <v>436</v>
      </c>
      <c r="B216" s="1" t="s">
        <v>437</v>
      </c>
      <c r="C216" s="11">
        <v>2665.0</v>
      </c>
      <c r="D216" s="29">
        <v>0.049871</v>
      </c>
      <c r="E216" s="11">
        <v>3203.0</v>
      </c>
      <c r="F216" s="29">
        <v>0.028044</v>
      </c>
      <c r="G216" s="18">
        <v>2949.154</v>
      </c>
      <c r="H216" s="3"/>
      <c r="I216" s="23">
        <v>0.037565</v>
      </c>
      <c r="J216" s="3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8.5" customHeight="1">
      <c r="A217" s="35" t="s">
        <v>438</v>
      </c>
      <c r="B217" s="1" t="s">
        <v>439</v>
      </c>
      <c r="C217" s="5">
        <v>588.0</v>
      </c>
      <c r="D217" s="5">
        <v>0.0</v>
      </c>
      <c r="E217" s="5">
        <v>1196.0</v>
      </c>
      <c r="F217" s="6">
        <v>0.267296</v>
      </c>
      <c r="G217" s="25">
        <v>808.601</v>
      </c>
      <c r="H217" s="3"/>
      <c r="I217" s="20">
        <v>0.035188</v>
      </c>
      <c r="J217" s="3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6.0" customHeight="1">
      <c r="A218" s="35" t="s">
        <v>440</v>
      </c>
      <c r="B218" s="1" t="s">
        <v>441</v>
      </c>
      <c r="C218" s="11">
        <v>3275.0</v>
      </c>
      <c r="D218" s="11">
        <v>0.0</v>
      </c>
      <c r="E218" s="11">
        <v>3915.0</v>
      </c>
      <c r="F218" s="29">
        <v>0.009547</v>
      </c>
      <c r="G218" s="18">
        <v>3308.346</v>
      </c>
      <c r="H218" s="3"/>
      <c r="I218" s="28">
        <v>2.59E-5</v>
      </c>
      <c r="J218" s="3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4.0" customHeight="1">
      <c r="A219" s="1" t="s">
        <v>442</v>
      </c>
      <c r="B219" s="1" t="s">
        <v>443</v>
      </c>
      <c r="C219" s="5">
        <v>1898.0</v>
      </c>
      <c r="D219" s="5">
        <v>0.0</v>
      </c>
      <c r="E219" s="5">
        <v>1898.0</v>
      </c>
      <c r="F219" s="5">
        <v>0.0</v>
      </c>
      <c r="G219" s="25">
        <v>2782.885</v>
      </c>
      <c r="H219" s="3"/>
      <c r="I219" s="20">
        <v>0.199972</v>
      </c>
      <c r="J219" s="3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4.0" customHeight="1">
      <c r="A220" s="1" t="s">
        <v>444</v>
      </c>
      <c r="B220" s="1" t="s">
        <v>445</v>
      </c>
      <c r="C220" s="5">
        <v>1979.0</v>
      </c>
      <c r="D220" s="5">
        <v>0.0</v>
      </c>
      <c r="E220" s="15">
        <v>2472.33</v>
      </c>
      <c r="F220" s="5">
        <v>0.0</v>
      </c>
      <c r="G220" s="25">
        <v>1596.453</v>
      </c>
      <c r="H220" s="3"/>
      <c r="I220" s="14">
        <v>0.0</v>
      </c>
      <c r="J220" s="3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1" t="s">
        <v>446</v>
      </c>
      <c r="B221" s="1" t="s">
        <v>447</v>
      </c>
      <c r="C221" s="5">
        <v>10999.0</v>
      </c>
      <c r="D221" s="5">
        <v>0.0</v>
      </c>
      <c r="E221" s="15">
        <v>13229.83</v>
      </c>
      <c r="F221" s="5">
        <v>0.0</v>
      </c>
      <c r="G221" s="8">
        <v>12063.01</v>
      </c>
      <c r="H221" s="3"/>
      <c r="I221" s="14">
        <v>0.0</v>
      </c>
      <c r="J221" s="3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4.0" customHeight="1">
      <c r="A222" s="1" t="s">
        <v>448</v>
      </c>
      <c r="B222" s="1" t="s">
        <v>449</v>
      </c>
      <c r="C222" s="5">
        <v>9021.0</v>
      </c>
      <c r="D222" s="5">
        <v>0.0</v>
      </c>
      <c r="E222" s="44">
        <v>10757.5</v>
      </c>
      <c r="F222" s="5">
        <v>0.0</v>
      </c>
      <c r="G222" s="8">
        <v>10466.56</v>
      </c>
      <c r="H222" s="3"/>
      <c r="I222" s="14">
        <v>0.0</v>
      </c>
      <c r="J222" s="3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4.0" customHeight="1">
      <c r="A223" s="1" t="s">
        <v>450</v>
      </c>
      <c r="B223" s="1" t="s">
        <v>451</v>
      </c>
      <c r="C223" s="15">
        <v>0.82</v>
      </c>
      <c r="D223" s="5">
        <v>0.0</v>
      </c>
      <c r="E223" s="15">
        <v>0.81</v>
      </c>
      <c r="F223" s="5">
        <v>0.0</v>
      </c>
      <c r="G223" s="8">
        <v>0.87</v>
      </c>
      <c r="H223" s="3"/>
      <c r="I223" s="14">
        <v>0.0</v>
      </c>
      <c r="J223" s="3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6.0" customHeight="1">
      <c r="A224" s="10" t="s">
        <v>452</v>
      </c>
      <c r="B224" s="1" t="s">
        <v>453</v>
      </c>
      <c r="C224" s="11">
        <v>4524.0</v>
      </c>
      <c r="D224" s="11">
        <v>0.0</v>
      </c>
      <c r="E224" s="11">
        <v>3886.0</v>
      </c>
      <c r="F224" s="29">
        <v>0.018297</v>
      </c>
      <c r="G224" s="18">
        <v>4004.578</v>
      </c>
      <c r="H224" s="3"/>
      <c r="I224" s="23">
        <v>0.012128</v>
      </c>
      <c r="J224" s="3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6.0" customHeight="1">
      <c r="A225" s="35" t="s">
        <v>454</v>
      </c>
      <c r="B225" s="1" t="s">
        <v>455</v>
      </c>
      <c r="C225" s="11">
        <v>7009.0</v>
      </c>
      <c r="D225" s="29">
        <v>0.059342</v>
      </c>
      <c r="E225" s="26">
        <v>3637.33</v>
      </c>
      <c r="F225" s="29">
        <v>0.072901</v>
      </c>
      <c r="G225" s="18">
        <v>4209.542</v>
      </c>
      <c r="H225" s="3"/>
      <c r="I225" s="23">
        <v>0.055155</v>
      </c>
      <c r="J225" s="3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6.0" customHeight="1">
      <c r="A226" s="35" t="s">
        <v>456</v>
      </c>
      <c r="B226" s="1" t="s">
        <v>457</v>
      </c>
      <c r="C226" s="11">
        <v>6173.0</v>
      </c>
      <c r="D226" s="29">
        <v>0.060803</v>
      </c>
      <c r="E226" s="26">
        <v>3798.33</v>
      </c>
      <c r="F226" s="29">
        <v>0.051488</v>
      </c>
      <c r="G226" s="18">
        <v>4451.121</v>
      </c>
      <c r="H226" s="3"/>
      <c r="I226" s="23">
        <v>0.039823</v>
      </c>
      <c r="J226" s="3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4.0" customHeight="1">
      <c r="A227" s="1" t="s">
        <v>458</v>
      </c>
      <c r="B227" s="1" t="s">
        <v>459</v>
      </c>
      <c r="C227" s="5">
        <v>483.0</v>
      </c>
      <c r="D227" s="5">
        <v>0.0</v>
      </c>
      <c r="E227" s="5">
        <v>483.0</v>
      </c>
      <c r="F227" s="5">
        <v>0.0</v>
      </c>
      <c r="G227" s="9">
        <v>373.9589</v>
      </c>
      <c r="H227" s="3"/>
      <c r="I227" s="20">
        <v>0.046889</v>
      </c>
      <c r="J227" s="3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4.0" customHeight="1">
      <c r="A228" s="1" t="s">
        <v>460</v>
      </c>
      <c r="B228" s="1" t="s">
        <v>461</v>
      </c>
      <c r="C228" s="5">
        <v>694.0</v>
      </c>
      <c r="D228" s="5">
        <v>0.0</v>
      </c>
      <c r="E228" s="15">
        <v>391.35</v>
      </c>
      <c r="F228" s="5">
        <v>0.0</v>
      </c>
      <c r="G228" s="9">
        <v>330.2817</v>
      </c>
      <c r="H228" s="3"/>
      <c r="I228" s="14">
        <v>0.0</v>
      </c>
      <c r="J228" s="3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4.0" customHeight="1">
      <c r="A229" s="1" t="s">
        <v>462</v>
      </c>
      <c r="B229" s="1" t="s">
        <v>463</v>
      </c>
      <c r="C229" s="5">
        <v>14359.0</v>
      </c>
      <c r="D229" s="5">
        <v>0.0</v>
      </c>
      <c r="E229" s="15">
        <v>8310.02</v>
      </c>
      <c r="F229" s="5">
        <v>0.0</v>
      </c>
      <c r="G229" s="25">
        <v>9364.903</v>
      </c>
      <c r="H229" s="3"/>
      <c r="I229" s="14">
        <v>0.0</v>
      </c>
      <c r="J229" s="3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4.0" customHeight="1">
      <c r="A230" s="1" t="s">
        <v>464</v>
      </c>
      <c r="B230" s="1" t="s">
        <v>465</v>
      </c>
      <c r="C230" s="5">
        <v>13665.0</v>
      </c>
      <c r="D230" s="5">
        <v>0.0</v>
      </c>
      <c r="E230" s="15">
        <v>7918.67</v>
      </c>
      <c r="F230" s="5">
        <v>0.0</v>
      </c>
      <c r="G230" s="25">
        <v>9034.622</v>
      </c>
      <c r="H230" s="3"/>
      <c r="I230" s="14">
        <v>0.0</v>
      </c>
      <c r="J230" s="3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4.0" customHeight="1">
      <c r="A231" s="1" t="s">
        <v>466</v>
      </c>
      <c r="B231" s="1" t="s">
        <v>467</v>
      </c>
      <c r="C231" s="15">
        <v>0.95</v>
      </c>
      <c r="D231" s="5">
        <v>0.0</v>
      </c>
      <c r="E231" s="15">
        <v>0.95</v>
      </c>
      <c r="F231" s="5">
        <v>0.0</v>
      </c>
      <c r="G231" s="8">
        <v>0.97</v>
      </c>
      <c r="H231" s="3"/>
      <c r="I231" s="14">
        <v>0.0</v>
      </c>
      <c r="J231" s="3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8.5" customHeight="1">
      <c r="A232" s="35" t="s">
        <v>468</v>
      </c>
      <c r="B232" s="1" t="s">
        <v>469</v>
      </c>
      <c r="C232" s="5">
        <v>977.0</v>
      </c>
      <c r="D232" s="6">
        <v>0.035467</v>
      </c>
      <c r="E232" s="5">
        <v>1273.0</v>
      </c>
      <c r="F232" s="6">
        <v>0.111933</v>
      </c>
      <c r="G232" s="9">
        <v>715.4115</v>
      </c>
      <c r="H232" s="3"/>
      <c r="I232" s="20">
        <v>0.027516</v>
      </c>
      <c r="J232" s="3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8.5" customHeight="1">
      <c r="A233" s="35" t="s">
        <v>470</v>
      </c>
      <c r="B233" s="1" t="s">
        <v>471</v>
      </c>
      <c r="C233" s="5">
        <v>588.0</v>
      </c>
      <c r="D233" s="6">
        <v>1.77E-4</v>
      </c>
      <c r="E233" s="44">
        <v>585.5</v>
      </c>
      <c r="F233" s="6">
        <v>1.78E-4</v>
      </c>
      <c r="G233" s="9">
        <v>880.8356</v>
      </c>
      <c r="H233" s="3"/>
      <c r="I233" s="20">
        <v>0.073281</v>
      </c>
      <c r="J233" s="3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8.5" customHeight="1">
      <c r="A234" s="35" t="s">
        <v>472</v>
      </c>
      <c r="B234" s="1" t="s">
        <v>473</v>
      </c>
      <c r="C234" s="5">
        <v>715.0</v>
      </c>
      <c r="D234" s="6">
        <v>0.017306</v>
      </c>
      <c r="E234" s="5">
        <v>723.0</v>
      </c>
      <c r="F234" s="6">
        <v>0.018041</v>
      </c>
      <c r="G234" s="9">
        <v>969.8908</v>
      </c>
      <c r="H234" s="3"/>
      <c r="I234" s="20">
        <v>0.082122</v>
      </c>
      <c r="J234" s="3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8.5" customHeight="1">
      <c r="A235" s="35" t="s">
        <v>474</v>
      </c>
      <c r="B235" s="1" t="s">
        <v>475</v>
      </c>
      <c r="C235" s="5">
        <v>225.0</v>
      </c>
      <c r="D235" s="5">
        <v>0.0</v>
      </c>
      <c r="E235" s="5">
        <v>225.0</v>
      </c>
      <c r="F235" s="5">
        <v>0.0</v>
      </c>
      <c r="G235" s="9">
        <v>201.2525</v>
      </c>
      <c r="H235" s="3"/>
      <c r="I235" s="20">
        <v>0.002785</v>
      </c>
      <c r="J235" s="3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6.0" customHeight="1">
      <c r="A236" s="35" t="s">
        <v>476</v>
      </c>
      <c r="B236" s="1" t="s">
        <v>477</v>
      </c>
      <c r="C236" s="11">
        <v>301.0</v>
      </c>
      <c r="D236" s="29">
        <v>1.955275</v>
      </c>
      <c r="E236" s="11">
        <v>252.0</v>
      </c>
      <c r="F236" s="29">
        <v>1.265796</v>
      </c>
      <c r="G236" s="31">
        <v>101.8779</v>
      </c>
      <c r="H236" s="3"/>
      <c r="I236" s="23">
        <v>0.199779</v>
      </c>
      <c r="J236" s="3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8.5" customHeight="1">
      <c r="A237" s="35" t="s">
        <v>478</v>
      </c>
      <c r="B237" s="1" t="s">
        <v>479</v>
      </c>
      <c r="C237" s="5">
        <v>325.0</v>
      </c>
      <c r="D237" s="5">
        <v>0.0</v>
      </c>
      <c r="E237" s="5">
        <v>325.0</v>
      </c>
      <c r="F237" s="5">
        <v>0.0</v>
      </c>
      <c r="G237" s="9">
        <v>203.5449</v>
      </c>
      <c r="H237" s="3"/>
      <c r="I237" s="20">
        <v>0.034914</v>
      </c>
      <c r="J237" s="3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6.0" customHeight="1">
      <c r="A238" s="35" t="s">
        <v>480</v>
      </c>
      <c r="B238" s="1" t="s">
        <v>481</v>
      </c>
      <c r="C238" s="11">
        <v>549.0</v>
      </c>
      <c r="D238" s="11">
        <v>0.0</v>
      </c>
      <c r="E238" s="11">
        <v>549.0</v>
      </c>
      <c r="F238" s="11">
        <v>0.0</v>
      </c>
      <c r="G238" s="31">
        <v>311.6967</v>
      </c>
      <c r="H238" s="3"/>
      <c r="I238" s="23">
        <v>0.046709</v>
      </c>
      <c r="J238" s="3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4.0" customHeight="1">
      <c r="A239" s="1" t="s">
        <v>482</v>
      </c>
      <c r="B239" s="1" t="s">
        <v>483</v>
      </c>
      <c r="C239" s="5">
        <v>302.0</v>
      </c>
      <c r="D239" s="5">
        <v>0.0</v>
      </c>
      <c r="E239" s="5">
        <v>302.0</v>
      </c>
      <c r="F239" s="5">
        <v>0.0</v>
      </c>
      <c r="G239" s="9">
        <v>387.6043</v>
      </c>
      <c r="H239" s="3"/>
      <c r="I239" s="19">
        <v>0.07392</v>
      </c>
      <c r="J239" s="3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0" customHeight="1">
      <c r="A240" s="1" t="s">
        <v>484</v>
      </c>
      <c r="B240" s="1" t="s">
        <v>485</v>
      </c>
      <c r="C240" s="5">
        <v>481.0</v>
      </c>
      <c r="D240" s="5">
        <v>0.0</v>
      </c>
      <c r="E240" s="15">
        <v>484.65</v>
      </c>
      <c r="F240" s="5">
        <v>0.0</v>
      </c>
      <c r="G240" s="25">
        <v>340.766</v>
      </c>
      <c r="H240" s="3"/>
      <c r="I240" s="14">
        <v>0.0</v>
      </c>
      <c r="J240" s="3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1" t="s">
        <v>486</v>
      </c>
      <c r="B241" s="1" t="s">
        <v>487</v>
      </c>
      <c r="C241" s="5">
        <v>4462.0</v>
      </c>
      <c r="D241" s="5">
        <v>0.0</v>
      </c>
      <c r="E241" s="15">
        <v>4719.15</v>
      </c>
      <c r="F241" s="5">
        <v>0.0</v>
      </c>
      <c r="G241" s="8">
        <v>4112.88</v>
      </c>
      <c r="H241" s="3"/>
      <c r="I241" s="14">
        <v>0.0</v>
      </c>
      <c r="J241" s="3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4.0" customHeight="1">
      <c r="A242" s="1" t="s">
        <v>488</v>
      </c>
      <c r="B242" s="1" t="s">
        <v>489</v>
      </c>
      <c r="C242" s="5">
        <v>3981.0</v>
      </c>
      <c r="D242" s="5">
        <v>0.0</v>
      </c>
      <c r="E242" s="44">
        <v>4234.5</v>
      </c>
      <c r="F242" s="5">
        <v>0.0</v>
      </c>
      <c r="G242" s="25">
        <v>3772.114</v>
      </c>
      <c r="H242" s="3"/>
      <c r="I242" s="14">
        <v>0.0</v>
      </c>
      <c r="J242" s="3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4.0" customHeight="1">
      <c r="A243" s="1" t="s">
        <v>490</v>
      </c>
      <c r="B243" s="1" t="s">
        <v>491</v>
      </c>
      <c r="C243" s="15">
        <v>0.89</v>
      </c>
      <c r="D243" s="5">
        <v>0.0</v>
      </c>
      <c r="E243" s="44">
        <v>0.9</v>
      </c>
      <c r="F243" s="5">
        <v>0.0</v>
      </c>
      <c r="G243" s="8">
        <v>0.93</v>
      </c>
      <c r="H243" s="3"/>
      <c r="I243" s="14">
        <v>0.0</v>
      </c>
      <c r="J243" s="3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8.5" customHeight="1">
      <c r="A244" s="35" t="s">
        <v>492</v>
      </c>
      <c r="B244" s="1" t="s">
        <v>493</v>
      </c>
      <c r="C244" s="5">
        <v>1485.0</v>
      </c>
      <c r="D244" s="5">
        <v>0.0</v>
      </c>
      <c r="E244" s="5">
        <v>791.0</v>
      </c>
      <c r="F244" s="6">
        <v>0.054602</v>
      </c>
      <c r="G244" s="25">
        <v>1122.485</v>
      </c>
      <c r="H244" s="3"/>
      <c r="I244" s="20">
        <v>0.014898</v>
      </c>
      <c r="J244" s="3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8.5" customHeight="1">
      <c r="A245" s="35" t="s">
        <v>494</v>
      </c>
      <c r="B245" s="1" t="s">
        <v>495</v>
      </c>
      <c r="C245" s="5">
        <v>82.0</v>
      </c>
      <c r="D245" s="5">
        <v>0.0</v>
      </c>
      <c r="E245" s="5">
        <v>82.0</v>
      </c>
      <c r="F245" s="5">
        <v>0.0</v>
      </c>
      <c r="G245" s="19">
        <v>67.62581</v>
      </c>
      <c r="H245" s="3"/>
      <c r="I245" s="20">
        <v>0.007682</v>
      </c>
      <c r="J245" s="3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8.5" customHeight="1">
      <c r="A246" s="35" t="s">
        <v>496</v>
      </c>
      <c r="B246" s="1" t="s">
        <v>497</v>
      </c>
      <c r="C246" s="5">
        <v>2471.0</v>
      </c>
      <c r="D246" s="6">
        <v>0.019884</v>
      </c>
      <c r="E246" s="15">
        <v>2328.67</v>
      </c>
      <c r="F246" s="6">
        <v>0.016832</v>
      </c>
      <c r="G246" s="25">
        <v>2300.224</v>
      </c>
      <c r="H246" s="3"/>
      <c r="I246" s="20">
        <v>0.016497</v>
      </c>
      <c r="J246" s="3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8.5" customHeight="1">
      <c r="A247" s="35" t="s">
        <v>498</v>
      </c>
      <c r="B247" s="1" t="s">
        <v>499</v>
      </c>
      <c r="C247" s="5">
        <v>178.0</v>
      </c>
      <c r="D247" s="5">
        <v>0.0</v>
      </c>
      <c r="E247" s="5">
        <v>128.0</v>
      </c>
      <c r="F247" s="6">
        <v>0.019726</v>
      </c>
      <c r="G247" s="9">
        <v>125.2462</v>
      </c>
      <c r="H247" s="3"/>
      <c r="I247" s="20">
        <v>0.021959</v>
      </c>
      <c r="J247" s="3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6.0" customHeight="1">
      <c r="A248" s="35" t="s">
        <v>500</v>
      </c>
      <c r="B248" s="1" t="s">
        <v>501</v>
      </c>
      <c r="C248" s="11">
        <v>1431.0</v>
      </c>
      <c r="D248" s="49">
        <v>0.57304</v>
      </c>
      <c r="E248" s="33">
        <v>1188.5</v>
      </c>
      <c r="F248" s="29">
        <v>0.349615</v>
      </c>
      <c r="G248" s="31">
        <v>964.9057</v>
      </c>
      <c r="H248" s="3"/>
      <c r="I248" s="23">
        <v>0.212264</v>
      </c>
      <c r="J248" s="3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8.5" customHeight="1">
      <c r="A249" s="35" t="s">
        <v>502</v>
      </c>
      <c r="B249" s="1" t="s">
        <v>503</v>
      </c>
      <c r="C249" s="5">
        <v>509.0</v>
      </c>
      <c r="D249" s="5">
        <v>0.0</v>
      </c>
      <c r="E249" s="5">
        <v>309.0</v>
      </c>
      <c r="F249" s="6">
        <v>0.038598</v>
      </c>
      <c r="G249" s="9">
        <v>360.4515</v>
      </c>
      <c r="H249" s="3"/>
      <c r="I249" s="20">
        <v>0.021293</v>
      </c>
      <c r="J249" s="3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6.0" customHeight="1">
      <c r="A250" s="35" t="s">
        <v>504</v>
      </c>
      <c r="B250" s="1" t="s">
        <v>505</v>
      </c>
      <c r="C250" s="11">
        <v>1352.0</v>
      </c>
      <c r="D250" s="11">
        <v>0.0</v>
      </c>
      <c r="E250" s="11">
        <v>968.0</v>
      </c>
      <c r="F250" s="29">
        <v>0.020167</v>
      </c>
      <c r="G250" s="31">
        <v>895.0208</v>
      </c>
      <c r="H250" s="3"/>
      <c r="I250" s="23">
        <v>0.028561</v>
      </c>
      <c r="J250" s="3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1" t="s">
        <v>506</v>
      </c>
      <c r="B251" s="1" t="s">
        <v>507</v>
      </c>
      <c r="C251" s="5">
        <v>735.0</v>
      </c>
      <c r="D251" s="5">
        <v>0.0</v>
      </c>
      <c r="E251" s="5">
        <v>735.0</v>
      </c>
      <c r="F251" s="5">
        <v>0.0</v>
      </c>
      <c r="G251" s="25">
        <v>1022.469</v>
      </c>
      <c r="H251" s="3"/>
      <c r="I251" s="20">
        <v>0.140733</v>
      </c>
      <c r="J251" s="3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1" t="s">
        <v>508</v>
      </c>
      <c r="B252" s="1" t="s">
        <v>509</v>
      </c>
      <c r="C252" s="5">
        <v>1659.0</v>
      </c>
      <c r="D252" s="5">
        <v>0.0</v>
      </c>
      <c r="E252" s="15">
        <v>1327.54</v>
      </c>
      <c r="F252" s="5">
        <v>0.0</v>
      </c>
      <c r="G252" s="9">
        <v>950.3742</v>
      </c>
      <c r="H252" s="3"/>
      <c r="I252" s="14">
        <v>0.0</v>
      </c>
      <c r="J252" s="3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1" t="s">
        <v>510</v>
      </c>
      <c r="B253" s="1" t="s">
        <v>511</v>
      </c>
      <c r="C253" s="5">
        <v>9903.0</v>
      </c>
      <c r="D253" s="5">
        <v>0.0</v>
      </c>
      <c r="E253" s="15">
        <v>7857.71</v>
      </c>
      <c r="F253" s="5">
        <v>0.0</v>
      </c>
      <c r="G253" s="25">
        <v>7808.803</v>
      </c>
      <c r="H253" s="3"/>
      <c r="I253" s="14">
        <v>0.0</v>
      </c>
      <c r="J253" s="3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1" t="s">
        <v>512</v>
      </c>
      <c r="B254" s="1" t="s">
        <v>513</v>
      </c>
      <c r="C254" s="5">
        <v>8243.0</v>
      </c>
      <c r="D254" s="5">
        <v>0.0</v>
      </c>
      <c r="E254" s="15">
        <v>6530.17</v>
      </c>
      <c r="F254" s="5">
        <v>0.0</v>
      </c>
      <c r="G254" s="25">
        <v>6858.428</v>
      </c>
      <c r="H254" s="3"/>
      <c r="I254" s="14">
        <v>0.0</v>
      </c>
      <c r="J254" s="3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4.0" customHeight="1">
      <c r="A255" s="1" t="s">
        <v>514</v>
      </c>
      <c r="B255" s="1" t="s">
        <v>515</v>
      </c>
      <c r="C255" s="15">
        <v>0.83</v>
      </c>
      <c r="D255" s="5">
        <v>0.0</v>
      </c>
      <c r="E255" s="15">
        <v>0.83</v>
      </c>
      <c r="F255" s="5">
        <v>0.0</v>
      </c>
      <c r="G255" s="8">
        <v>0.87</v>
      </c>
      <c r="H255" s="3"/>
      <c r="I255" s="14">
        <v>0.0</v>
      </c>
      <c r="J255" s="3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6.0" customHeight="1">
      <c r="A256" s="35" t="s">
        <v>516</v>
      </c>
      <c r="B256" s="1" t="s">
        <v>517</v>
      </c>
      <c r="C256" s="11">
        <v>2322.0</v>
      </c>
      <c r="D256" s="49">
        <v>0.07948</v>
      </c>
      <c r="E256" s="26">
        <v>1664.67</v>
      </c>
      <c r="F256" s="29">
        <v>0.041841</v>
      </c>
      <c r="G256" s="18">
        <v>1215.497</v>
      </c>
      <c r="H256" s="3"/>
      <c r="I256" s="23">
        <v>0.065858</v>
      </c>
      <c r="J256" s="3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6.0" customHeight="1">
      <c r="A257" s="35" t="s">
        <v>518</v>
      </c>
      <c r="B257" s="1" t="s">
        <v>519</v>
      </c>
      <c r="C257" s="11">
        <v>288.0</v>
      </c>
      <c r="D257" s="29">
        <v>0.048296</v>
      </c>
      <c r="E257" s="26">
        <v>143.67</v>
      </c>
      <c r="F257" s="29">
        <v>0.074459</v>
      </c>
      <c r="G257" s="18">
        <v>258.185</v>
      </c>
      <c r="H257" s="3"/>
      <c r="I257" s="23">
        <v>0.034488</v>
      </c>
      <c r="J257" s="3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8.5" customHeight="1">
      <c r="A258" s="35" t="s">
        <v>520</v>
      </c>
      <c r="B258" s="1" t="s">
        <v>521</v>
      </c>
      <c r="C258" s="5">
        <v>95.0</v>
      </c>
      <c r="D258" s="6">
        <v>0.028174</v>
      </c>
      <c r="E258" s="15">
        <v>53.67</v>
      </c>
      <c r="F258" s="48">
        <v>0.10971</v>
      </c>
      <c r="G258" s="19">
        <v>43.21656</v>
      </c>
      <c r="H258" s="3"/>
      <c r="I258" s="20">
        <v>0.140621</v>
      </c>
      <c r="J258" s="3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8.5" customHeight="1">
      <c r="A259" s="35" t="s">
        <v>522</v>
      </c>
      <c r="B259" s="1" t="s">
        <v>523</v>
      </c>
      <c r="C259" s="5">
        <v>1.0</v>
      </c>
      <c r="D259" s="5">
        <v>0.0</v>
      </c>
      <c r="E259" s="5">
        <v>1.0</v>
      </c>
      <c r="F259" s="5">
        <v>0.0</v>
      </c>
      <c r="G259" s="20">
        <v>0.738144</v>
      </c>
      <c r="H259" s="3"/>
      <c r="I259" s="14">
        <v>0.0</v>
      </c>
      <c r="J259" s="3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4.0" customHeight="1">
      <c r="A260" s="1" t="s">
        <v>524</v>
      </c>
      <c r="B260" s="1" t="s">
        <v>525</v>
      </c>
      <c r="C260" s="5">
        <v>88.0</v>
      </c>
      <c r="D260" s="5">
        <v>0.0</v>
      </c>
      <c r="E260" s="5">
        <v>88.0</v>
      </c>
      <c r="F260" s="5">
        <v>0.0</v>
      </c>
      <c r="G260" s="19">
        <v>98.25318</v>
      </c>
      <c r="H260" s="3"/>
      <c r="I260" s="20">
        <v>0.012489</v>
      </c>
      <c r="J260" s="3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4.0" customHeight="1">
      <c r="A261" s="1" t="s">
        <v>526</v>
      </c>
      <c r="B261" s="1" t="s">
        <v>527</v>
      </c>
      <c r="C261" s="5">
        <v>142.0</v>
      </c>
      <c r="D261" s="5">
        <v>0.0</v>
      </c>
      <c r="E261" s="15">
        <v>98.05</v>
      </c>
      <c r="F261" s="5">
        <v>0.0</v>
      </c>
      <c r="G261" s="19">
        <v>97.13676</v>
      </c>
      <c r="H261" s="3"/>
      <c r="I261" s="14">
        <v>0.0</v>
      </c>
      <c r="J261" s="3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4.0" customHeight="1">
      <c r="A262" s="1" t="s">
        <v>528</v>
      </c>
      <c r="B262" s="1" t="s">
        <v>529</v>
      </c>
      <c r="C262" s="5">
        <v>2937.0</v>
      </c>
      <c r="D262" s="5">
        <v>0.0</v>
      </c>
      <c r="E262" s="15">
        <v>2049.05</v>
      </c>
      <c r="F262" s="5">
        <v>0.0</v>
      </c>
      <c r="G262" s="25">
        <v>1713.026</v>
      </c>
      <c r="H262" s="3"/>
      <c r="I262" s="14">
        <v>0.0</v>
      </c>
      <c r="J262" s="3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4.0" customHeight="1">
      <c r="A263" s="1" t="s">
        <v>530</v>
      </c>
      <c r="B263" s="1" t="s">
        <v>531</v>
      </c>
      <c r="C263" s="5">
        <v>2794.0</v>
      </c>
      <c r="D263" s="5">
        <v>0.0</v>
      </c>
      <c r="E263" s="5">
        <v>1951.0</v>
      </c>
      <c r="F263" s="5">
        <v>0.0</v>
      </c>
      <c r="G263" s="25">
        <v>1615.889</v>
      </c>
      <c r="H263" s="3"/>
      <c r="I263" s="14">
        <v>0.0</v>
      </c>
      <c r="J263" s="3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6.0" customHeight="1">
      <c r="A264" s="10" t="s">
        <v>532</v>
      </c>
      <c r="B264" s="1" t="s">
        <v>533</v>
      </c>
      <c r="C264" s="26">
        <v>0.95</v>
      </c>
      <c r="D264" s="11">
        <v>0.0</v>
      </c>
      <c r="E264" s="26">
        <v>0.95</v>
      </c>
      <c r="F264" s="11">
        <v>0.0</v>
      </c>
      <c r="G264" s="30">
        <v>0.95</v>
      </c>
      <c r="H264" s="3"/>
      <c r="I264" s="13">
        <v>0.0</v>
      </c>
      <c r="J264" s="3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6.0" customHeight="1">
      <c r="A265" s="35" t="s">
        <v>534</v>
      </c>
      <c r="B265" s="1" t="s">
        <v>535</v>
      </c>
      <c r="C265" s="11">
        <v>6601.0</v>
      </c>
      <c r="D265" s="29">
        <v>0.079808</v>
      </c>
      <c r="E265" s="26">
        <v>4923.67</v>
      </c>
      <c r="F265" s="34">
        <v>0.0418</v>
      </c>
      <c r="G265" s="18">
        <v>5262.454</v>
      </c>
      <c r="H265" s="3"/>
      <c r="I265" s="23">
        <v>0.043853</v>
      </c>
      <c r="J265" s="3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6.0" customHeight="1">
      <c r="A266" s="35" t="s">
        <v>536</v>
      </c>
      <c r="B266" s="1" t="s">
        <v>537</v>
      </c>
      <c r="C266" s="11">
        <v>911.0</v>
      </c>
      <c r="D266" s="29">
        <v>0.048234</v>
      </c>
      <c r="E266" s="26">
        <v>428.33</v>
      </c>
      <c r="F266" s="29">
        <v>0.082962</v>
      </c>
      <c r="G266" s="31">
        <v>662.1255</v>
      </c>
      <c r="H266" s="3"/>
      <c r="I266" s="23">
        <v>0.033402</v>
      </c>
      <c r="J266" s="3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6.0" customHeight="1">
      <c r="A267" s="10" t="s">
        <v>538</v>
      </c>
      <c r="B267" s="1" t="s">
        <v>539</v>
      </c>
      <c r="C267" s="11">
        <v>765.0</v>
      </c>
      <c r="D267" s="11">
        <v>0.0</v>
      </c>
      <c r="E267" s="11">
        <v>765.0</v>
      </c>
      <c r="F267" s="11">
        <v>0.0</v>
      </c>
      <c r="G267" s="31">
        <v>620.7158</v>
      </c>
      <c r="H267" s="3"/>
      <c r="I267" s="23">
        <v>0.032727</v>
      </c>
      <c r="J267" s="3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6.0" customHeight="1">
      <c r="A268" s="10" t="s">
        <v>540</v>
      </c>
      <c r="B268" s="1" t="s">
        <v>541</v>
      </c>
      <c r="C268" s="11">
        <v>395.0</v>
      </c>
      <c r="D268" s="11">
        <v>0.0</v>
      </c>
      <c r="E268" s="26">
        <v>281.68</v>
      </c>
      <c r="F268" s="11">
        <v>0.0</v>
      </c>
      <c r="G268" s="31">
        <v>209.1208</v>
      </c>
      <c r="H268" s="3"/>
      <c r="I268" s="13">
        <v>0.0</v>
      </c>
      <c r="J268" s="3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6.0" customHeight="1">
      <c r="A269" s="10" t="s">
        <v>542</v>
      </c>
      <c r="B269" s="1" t="s">
        <v>543</v>
      </c>
      <c r="C269" s="11">
        <v>8673.0</v>
      </c>
      <c r="D269" s="11">
        <v>0.0</v>
      </c>
      <c r="E269" s="26">
        <v>6398.68</v>
      </c>
      <c r="F269" s="11">
        <v>0.0</v>
      </c>
      <c r="G269" s="18">
        <v>6754.416</v>
      </c>
      <c r="H269" s="3"/>
      <c r="I269" s="13">
        <v>0.0</v>
      </c>
      <c r="J269" s="3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6.0" customHeight="1">
      <c r="A270" s="10" t="s">
        <v>544</v>
      </c>
      <c r="B270" s="1" t="s">
        <v>545</v>
      </c>
      <c r="C270" s="11">
        <v>8278.0</v>
      </c>
      <c r="D270" s="11">
        <v>0.0</v>
      </c>
      <c r="E270" s="11">
        <v>6117.0</v>
      </c>
      <c r="F270" s="11">
        <v>0.0</v>
      </c>
      <c r="G270" s="18">
        <v>6545.295</v>
      </c>
      <c r="H270" s="3"/>
      <c r="I270" s="13">
        <v>0.0</v>
      </c>
      <c r="J270" s="3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6.0" customHeight="1">
      <c r="A271" s="10" t="s">
        <v>546</v>
      </c>
      <c r="B271" s="1" t="s">
        <v>547</v>
      </c>
      <c r="C271" s="26">
        <v>0.95</v>
      </c>
      <c r="D271" s="11">
        <v>0.0</v>
      </c>
      <c r="E271" s="26">
        <v>0.96</v>
      </c>
      <c r="F271" s="45"/>
      <c r="G271" s="30">
        <v>0.97</v>
      </c>
      <c r="H271" s="3"/>
      <c r="I271" s="13">
        <v>0.0</v>
      </c>
      <c r="J271" s="3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8.5" customHeight="1">
      <c r="A272" s="35" t="s">
        <v>548</v>
      </c>
      <c r="B272" s="1" t="s">
        <v>549</v>
      </c>
      <c r="C272" s="5">
        <v>1242.0</v>
      </c>
      <c r="D272" s="6">
        <v>0.024354</v>
      </c>
      <c r="E272" s="15">
        <v>1134.33</v>
      </c>
      <c r="F272" s="6">
        <v>0.019375</v>
      </c>
      <c r="G272" s="25">
        <v>1086.648</v>
      </c>
      <c r="H272" s="3"/>
      <c r="I272" s="20">
        <v>0.019097</v>
      </c>
      <c r="J272" s="3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6.0" customHeight="1">
      <c r="A273" s="35" t="s">
        <v>550</v>
      </c>
      <c r="B273" s="1" t="s">
        <v>551</v>
      </c>
      <c r="C273" s="11">
        <v>78.0</v>
      </c>
      <c r="D273" s="29">
        <v>0.033462</v>
      </c>
      <c r="E273" s="33">
        <v>89.5</v>
      </c>
      <c r="F273" s="29">
        <v>0.018545</v>
      </c>
      <c r="G273" s="22">
        <v>66.16728</v>
      </c>
      <c r="H273" s="3"/>
      <c r="I273" s="23">
        <v>0.053374</v>
      </c>
      <c r="J273" s="3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1" t="s">
        <v>552</v>
      </c>
      <c r="B274" s="1" t="s">
        <v>553</v>
      </c>
      <c r="C274" s="5">
        <v>228.0</v>
      </c>
      <c r="D274" s="5">
        <v>0.0</v>
      </c>
      <c r="E274" s="5">
        <v>228.0</v>
      </c>
      <c r="F274" s="5">
        <v>0.0</v>
      </c>
      <c r="G274" s="9">
        <v>196.2033</v>
      </c>
      <c r="H274" s="3"/>
      <c r="I274" s="20">
        <v>0.017893</v>
      </c>
      <c r="J274" s="3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1" t="s">
        <v>554</v>
      </c>
      <c r="B275" s="1" t="s">
        <v>555</v>
      </c>
      <c r="C275" s="5">
        <v>69.0</v>
      </c>
      <c r="D275" s="5">
        <v>0.0</v>
      </c>
      <c r="E275" s="15">
        <v>64.41</v>
      </c>
      <c r="F275" s="5">
        <v>0.0</v>
      </c>
      <c r="G275" s="19">
        <v>46.00335</v>
      </c>
      <c r="H275" s="3"/>
      <c r="I275" s="14">
        <v>0.0</v>
      </c>
      <c r="J275" s="3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1" t="s">
        <v>556</v>
      </c>
      <c r="B276" s="1" t="s">
        <v>557</v>
      </c>
      <c r="C276" s="5">
        <v>1618.0</v>
      </c>
      <c r="D276" s="5">
        <v>0.0</v>
      </c>
      <c r="E276" s="15">
        <v>1516.25</v>
      </c>
      <c r="F276" s="5">
        <v>0.0</v>
      </c>
      <c r="G276" s="25">
        <v>1395.021</v>
      </c>
      <c r="H276" s="3"/>
      <c r="I276" s="14">
        <v>0.0</v>
      </c>
      <c r="J276" s="3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0" customHeight="1">
      <c r="A277" s="1" t="s">
        <v>558</v>
      </c>
      <c r="B277" s="1" t="s">
        <v>559</v>
      </c>
      <c r="C277" s="5">
        <v>1548.0</v>
      </c>
      <c r="D277" s="5">
        <v>0.0</v>
      </c>
      <c r="E277" s="15">
        <v>1451.83</v>
      </c>
      <c r="F277" s="5">
        <v>0.0</v>
      </c>
      <c r="G277" s="25">
        <v>1349.018</v>
      </c>
      <c r="H277" s="3"/>
      <c r="I277" s="14">
        <v>0.0</v>
      </c>
      <c r="J277" s="3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4.0" customHeight="1">
      <c r="A278" s="1" t="s">
        <v>560</v>
      </c>
      <c r="B278" s="1" t="s">
        <v>561</v>
      </c>
      <c r="C278" s="15">
        <v>0.96</v>
      </c>
      <c r="D278" s="5">
        <v>0.0</v>
      </c>
      <c r="E278" s="15">
        <v>0.96</v>
      </c>
      <c r="F278" s="5">
        <v>0.0</v>
      </c>
      <c r="G278" s="8">
        <v>0.96</v>
      </c>
      <c r="H278" s="3"/>
      <c r="I278" s="14">
        <v>0.0</v>
      </c>
      <c r="J278" s="3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48.0" customHeight="1">
      <c r="A279" s="1" t="s">
        <v>562</v>
      </c>
      <c r="B279" s="1" t="s">
        <v>563</v>
      </c>
      <c r="C279" s="5">
        <v>10720.0</v>
      </c>
      <c r="D279" s="5">
        <v>0.0</v>
      </c>
      <c r="E279" s="5">
        <v>10431.0</v>
      </c>
      <c r="F279" s="5">
        <v>0.0</v>
      </c>
      <c r="G279" s="25">
        <v>9727.452</v>
      </c>
      <c r="H279" s="3"/>
      <c r="I279" s="14">
        <v>0.0</v>
      </c>
      <c r="J279" s="3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48.0" customHeight="1">
      <c r="A280" s="1" t="s">
        <v>564</v>
      </c>
      <c r="B280" s="1" t="s">
        <v>565</v>
      </c>
      <c r="C280" s="5">
        <v>289.0</v>
      </c>
      <c r="D280" s="5">
        <v>0.0</v>
      </c>
      <c r="E280" s="5">
        <v>289.0</v>
      </c>
      <c r="F280" s="5">
        <v>0.0</v>
      </c>
      <c r="G280" s="9">
        <v>341.4732</v>
      </c>
      <c r="H280" s="3"/>
      <c r="I280" s="19">
        <v>0.03033</v>
      </c>
      <c r="J280" s="3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6.0" customHeight="1">
      <c r="A281" s="10" t="s">
        <v>566</v>
      </c>
      <c r="B281" s="1" t="s">
        <v>567</v>
      </c>
      <c r="C281" s="11">
        <v>11009.0</v>
      </c>
      <c r="D281" s="11">
        <v>0.0</v>
      </c>
      <c r="E281" s="11">
        <v>10720.0</v>
      </c>
      <c r="F281" s="11">
        <v>0.0</v>
      </c>
      <c r="G281" s="30">
        <v>10068.93</v>
      </c>
      <c r="H281" s="3"/>
      <c r="I281" s="13">
        <v>0.0</v>
      </c>
      <c r="J281" s="3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48.0" customHeight="1">
      <c r="A282" s="1" t="s">
        <v>568</v>
      </c>
      <c r="B282" s="1" t="s">
        <v>569</v>
      </c>
      <c r="C282" s="5">
        <v>11009.0</v>
      </c>
      <c r="D282" s="5">
        <v>0.0</v>
      </c>
      <c r="E282" s="5">
        <v>10720.0</v>
      </c>
      <c r="F282" s="5">
        <v>0.0</v>
      </c>
      <c r="G282" s="8">
        <v>10068.93</v>
      </c>
      <c r="H282" s="3"/>
      <c r="I282" s="14">
        <v>0.0</v>
      </c>
      <c r="J282" s="3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48.0" customHeight="1">
      <c r="A283" s="1" t="s">
        <v>570</v>
      </c>
      <c r="B283" s="1" t="s">
        <v>571</v>
      </c>
      <c r="C283" s="5">
        <v>1.0</v>
      </c>
      <c r="D283" s="5">
        <v>0.0</v>
      </c>
      <c r="E283" s="5">
        <v>1.0</v>
      </c>
      <c r="F283" s="5">
        <v>0.0</v>
      </c>
      <c r="G283" s="14">
        <v>1.0</v>
      </c>
      <c r="H283" s="3"/>
      <c r="I283" s="14">
        <v>0.0</v>
      </c>
      <c r="J283" s="3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8.5" customHeight="1">
      <c r="A284" s="35" t="s">
        <v>572</v>
      </c>
      <c r="B284" s="1" t="s">
        <v>573</v>
      </c>
      <c r="C284" s="5">
        <v>172.0</v>
      </c>
      <c r="D284" s="5">
        <v>0.0</v>
      </c>
      <c r="E284" s="5">
        <v>112.0</v>
      </c>
      <c r="F284" s="6">
        <v>0.030422</v>
      </c>
      <c r="G284" s="9">
        <v>132.1776</v>
      </c>
      <c r="H284" s="3"/>
      <c r="I284" s="20">
        <v>0.013401</v>
      </c>
      <c r="J284" s="3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6.0" customHeight="1">
      <c r="A285" s="35" t="s">
        <v>574</v>
      </c>
      <c r="B285" s="1" t="s">
        <v>575</v>
      </c>
      <c r="C285" s="11">
        <v>16.0</v>
      </c>
      <c r="D285" s="11">
        <v>0.0</v>
      </c>
      <c r="E285" s="11">
        <v>16.0</v>
      </c>
      <c r="F285" s="11">
        <v>0.0</v>
      </c>
      <c r="G285" s="23">
        <v>8.026053</v>
      </c>
      <c r="H285" s="3"/>
      <c r="I285" s="23">
        <v>0.062094</v>
      </c>
      <c r="J285" s="3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8.5" customHeight="1">
      <c r="A286" s="35" t="s">
        <v>576</v>
      </c>
      <c r="B286" s="1" t="s">
        <v>577</v>
      </c>
      <c r="C286" s="5">
        <v>287.0</v>
      </c>
      <c r="D286" s="5">
        <v>0.0</v>
      </c>
      <c r="E286" s="5">
        <v>187.0</v>
      </c>
      <c r="F286" s="6">
        <v>0.030351</v>
      </c>
      <c r="G286" s="9">
        <v>183.6349</v>
      </c>
      <c r="H286" s="3"/>
      <c r="I286" s="20">
        <v>0.032428</v>
      </c>
      <c r="J286" s="3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8.5" customHeight="1">
      <c r="A287" s="35" t="s">
        <v>578</v>
      </c>
      <c r="B287" s="1" t="s">
        <v>579</v>
      </c>
      <c r="C287" s="5">
        <v>25.0</v>
      </c>
      <c r="D287" s="5">
        <v>0.0</v>
      </c>
      <c r="E287" s="5">
        <v>25.0</v>
      </c>
      <c r="F287" s="5">
        <v>0.0</v>
      </c>
      <c r="G287" s="19">
        <v>24.84116</v>
      </c>
      <c r="H287" s="3"/>
      <c r="I287" s="21">
        <v>1.01E-5</v>
      </c>
      <c r="J287" s="3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48.0" customHeight="1">
      <c r="A288" s="35" t="s">
        <v>580</v>
      </c>
      <c r="B288" s="1" t="s">
        <v>581</v>
      </c>
      <c r="C288" s="5">
        <v>262.0</v>
      </c>
      <c r="D288" s="5">
        <v>0.0</v>
      </c>
      <c r="E288" s="5">
        <v>160.0</v>
      </c>
      <c r="F288" s="6">
        <v>0.075782</v>
      </c>
      <c r="G288" s="9">
        <v>132.2436</v>
      </c>
      <c r="H288" s="3"/>
      <c r="I288" s="20">
        <v>0.122638</v>
      </c>
      <c r="J288" s="3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8.5" customHeight="1">
      <c r="A289" s="35" t="s">
        <v>582</v>
      </c>
      <c r="B289" s="1" t="s">
        <v>583</v>
      </c>
      <c r="C289" s="5">
        <v>55.0</v>
      </c>
      <c r="D289" s="5">
        <v>0.0</v>
      </c>
      <c r="E289" s="5">
        <v>55.0</v>
      </c>
      <c r="F289" s="5">
        <v>0.0</v>
      </c>
      <c r="G289" s="19">
        <v>60.23898</v>
      </c>
      <c r="H289" s="3"/>
      <c r="I289" s="21">
        <v>0.00227</v>
      </c>
      <c r="J289" s="3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4.0" customHeight="1">
      <c r="A290" s="1" t="s">
        <v>584</v>
      </c>
      <c r="B290" s="1" t="s">
        <v>585</v>
      </c>
      <c r="C290" s="5">
        <v>817.0</v>
      </c>
      <c r="D290" s="5">
        <v>0.0</v>
      </c>
      <c r="E290" s="5">
        <v>555.0</v>
      </c>
      <c r="F290" s="5">
        <v>0.0</v>
      </c>
      <c r="G290" s="9">
        <v>541.1623</v>
      </c>
      <c r="H290" s="3"/>
      <c r="I290" s="14">
        <v>0.0</v>
      </c>
      <c r="J290" s="3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4.0" customHeight="1">
      <c r="A291" s="1" t="s">
        <v>586</v>
      </c>
      <c r="B291" s="1" t="s">
        <v>587</v>
      </c>
      <c r="C291" s="5">
        <v>817.0</v>
      </c>
      <c r="D291" s="5">
        <v>0.0</v>
      </c>
      <c r="E291" s="5">
        <v>555.0</v>
      </c>
      <c r="F291" s="5">
        <v>0.0</v>
      </c>
      <c r="G291" s="9">
        <v>541.1623</v>
      </c>
      <c r="H291" s="3"/>
      <c r="I291" s="14">
        <v>0.0</v>
      </c>
      <c r="J291" s="3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4.0" customHeight="1">
      <c r="A292" s="1" t="s">
        <v>588</v>
      </c>
      <c r="B292" s="1" t="s">
        <v>589</v>
      </c>
      <c r="C292" s="5">
        <v>1.0</v>
      </c>
      <c r="D292" s="5">
        <v>0.0</v>
      </c>
      <c r="E292" s="5">
        <v>1.0</v>
      </c>
      <c r="F292" s="5">
        <v>0.0</v>
      </c>
      <c r="G292" s="14">
        <v>1.0</v>
      </c>
      <c r="H292" s="3"/>
      <c r="I292" s="14">
        <v>0.0</v>
      </c>
      <c r="J292" s="3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8.5" customHeight="1">
      <c r="A293" s="35" t="s">
        <v>590</v>
      </c>
      <c r="B293" s="1" t="s">
        <v>591</v>
      </c>
      <c r="C293" s="5">
        <v>1316.0</v>
      </c>
      <c r="D293" s="5">
        <v>0.0</v>
      </c>
      <c r="E293" s="5">
        <v>1130.0</v>
      </c>
      <c r="F293" s="6">
        <v>0.004994</v>
      </c>
      <c r="G293" s="25">
        <v>1132.813</v>
      </c>
      <c r="H293" s="3"/>
      <c r="I293" s="20">
        <v>0.004844</v>
      </c>
      <c r="J293" s="3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6.0" customHeight="1">
      <c r="A294" s="35" t="s">
        <v>592</v>
      </c>
      <c r="B294" s="1" t="s">
        <v>593</v>
      </c>
      <c r="C294" s="11">
        <v>108.0</v>
      </c>
      <c r="D294" s="11">
        <v>0.0</v>
      </c>
      <c r="E294" s="11">
        <v>108.0</v>
      </c>
      <c r="F294" s="11">
        <v>0.0</v>
      </c>
      <c r="G294" s="18">
        <v>111.311</v>
      </c>
      <c r="H294" s="3"/>
      <c r="I294" s="23">
        <v>2.35E-4</v>
      </c>
      <c r="J294" s="3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8.5" customHeight="1">
      <c r="A295" s="35" t="s">
        <v>594</v>
      </c>
      <c r="B295" s="1" t="s">
        <v>595</v>
      </c>
      <c r="C295" s="5">
        <v>2262.0</v>
      </c>
      <c r="D295" s="6">
        <v>0.007209</v>
      </c>
      <c r="E295" s="15">
        <v>2104.33</v>
      </c>
      <c r="F295" s="6">
        <v>0.006956</v>
      </c>
      <c r="G295" s="25">
        <v>2077.423</v>
      </c>
      <c r="H295" s="3"/>
      <c r="I295" s="20">
        <v>0.007214</v>
      </c>
      <c r="J295" s="3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8.5" customHeight="1">
      <c r="A296" s="35" t="s">
        <v>596</v>
      </c>
      <c r="B296" s="1" t="s">
        <v>597</v>
      </c>
      <c r="C296" s="5">
        <v>145.0</v>
      </c>
      <c r="D296" s="5">
        <v>0.0</v>
      </c>
      <c r="E296" s="5">
        <v>145.0</v>
      </c>
      <c r="F296" s="5">
        <v>0.0</v>
      </c>
      <c r="G296" s="9">
        <v>133.1531</v>
      </c>
      <c r="H296" s="3"/>
      <c r="I296" s="20">
        <v>0.001669</v>
      </c>
      <c r="J296" s="3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48.0" customHeight="1">
      <c r="A297" s="35" t="s">
        <v>598</v>
      </c>
      <c r="B297" s="1" t="s">
        <v>599</v>
      </c>
      <c r="C297" s="5">
        <v>554.0</v>
      </c>
      <c r="D297" s="6">
        <v>5.449907</v>
      </c>
      <c r="E297" s="5">
        <v>434.0</v>
      </c>
      <c r="F297" s="6">
        <v>3.108431</v>
      </c>
      <c r="G297" s="25">
        <v>266.921</v>
      </c>
      <c r="H297" s="3"/>
      <c r="I297" s="20">
        <v>0.992399</v>
      </c>
      <c r="J297" s="3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8.5" customHeight="1">
      <c r="A298" s="35" t="s">
        <v>600</v>
      </c>
      <c r="B298" s="1" t="s">
        <v>601</v>
      </c>
      <c r="C298" s="5">
        <v>447.0</v>
      </c>
      <c r="D298" s="5">
        <v>0.0</v>
      </c>
      <c r="E298" s="5">
        <v>447.0</v>
      </c>
      <c r="F298" s="5">
        <v>0.0</v>
      </c>
      <c r="G298" s="9">
        <v>282.4178</v>
      </c>
      <c r="H298" s="3"/>
      <c r="I298" s="20">
        <v>0.033892</v>
      </c>
      <c r="J298" s="3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4.0" customHeight="1">
      <c r="A299" s="1" t="s">
        <v>602</v>
      </c>
      <c r="B299" s="1" t="s">
        <v>603</v>
      </c>
      <c r="C299" s="5">
        <v>4832.0</v>
      </c>
      <c r="D299" s="5">
        <v>0.0</v>
      </c>
      <c r="E299" s="15">
        <v>4368.33</v>
      </c>
      <c r="F299" s="5">
        <v>0.0</v>
      </c>
      <c r="G299" s="25">
        <v>4004.039</v>
      </c>
      <c r="H299" s="3"/>
      <c r="I299" s="14">
        <v>0.0</v>
      </c>
      <c r="J299" s="3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4.0" customHeight="1">
      <c r="A300" s="1" t="s">
        <v>604</v>
      </c>
      <c r="B300" s="1" t="s">
        <v>605</v>
      </c>
      <c r="C300" s="5">
        <v>4832.0</v>
      </c>
      <c r="D300" s="5">
        <v>0.0</v>
      </c>
      <c r="E300" s="15">
        <v>4368.33</v>
      </c>
      <c r="F300" s="5">
        <v>0.0</v>
      </c>
      <c r="G300" s="25">
        <v>4004.039</v>
      </c>
      <c r="H300" s="3"/>
      <c r="I300" s="14">
        <v>0.0</v>
      </c>
      <c r="J300" s="3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4.0" customHeight="1">
      <c r="A301" s="1" t="s">
        <v>606</v>
      </c>
      <c r="B301" s="1" t="s">
        <v>607</v>
      </c>
      <c r="C301" s="5">
        <v>1.0</v>
      </c>
      <c r="D301" s="5">
        <v>0.0</v>
      </c>
      <c r="E301" s="5">
        <v>1.0</v>
      </c>
      <c r="F301" s="5">
        <v>0.0</v>
      </c>
      <c r="G301" s="14">
        <v>1.0</v>
      </c>
      <c r="H301" s="3"/>
      <c r="I301" s="14">
        <v>0.0</v>
      </c>
      <c r="J301" s="3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8.5" customHeight="1">
      <c r="A302" s="1" t="s">
        <v>608</v>
      </c>
      <c r="B302" s="35" t="s">
        <v>609</v>
      </c>
      <c r="C302" s="5">
        <v>35519.0</v>
      </c>
      <c r="D302" s="5">
        <v>0.0</v>
      </c>
      <c r="E302" s="15">
        <v>32310.06</v>
      </c>
      <c r="F302" s="5">
        <v>0.0</v>
      </c>
      <c r="G302" s="8">
        <v>29463.61</v>
      </c>
      <c r="H302" s="3"/>
      <c r="I302" s="14">
        <v>0.0</v>
      </c>
      <c r="J302" s="3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4.0" customHeight="1">
      <c r="A303" s="1" t="s">
        <v>610</v>
      </c>
      <c r="B303" s="1" t="s">
        <v>611</v>
      </c>
      <c r="C303" s="5">
        <v>35519.0</v>
      </c>
      <c r="D303" s="5">
        <v>0.0</v>
      </c>
      <c r="E303" s="15">
        <v>32310.06</v>
      </c>
      <c r="F303" s="5">
        <v>0.0</v>
      </c>
      <c r="G303" s="8">
        <v>29463.61</v>
      </c>
      <c r="H303" s="3"/>
      <c r="I303" s="14">
        <v>0.0</v>
      </c>
      <c r="J303" s="3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4.0" customHeight="1">
      <c r="A304" s="1" t="s">
        <v>612</v>
      </c>
      <c r="B304" s="1" t="s">
        <v>613</v>
      </c>
      <c r="C304" s="5">
        <v>35519.0</v>
      </c>
      <c r="D304" s="5">
        <v>0.0</v>
      </c>
      <c r="E304" s="15">
        <v>32310.06</v>
      </c>
      <c r="F304" s="5">
        <v>0.0</v>
      </c>
      <c r="G304" s="8">
        <v>29463.61</v>
      </c>
      <c r="H304" s="3"/>
      <c r="I304" s="14">
        <v>0.0</v>
      </c>
      <c r="J304" s="3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4.0" customHeight="1">
      <c r="A305" s="1" t="s">
        <v>614</v>
      </c>
      <c r="B305" s="1" t="s">
        <v>615</v>
      </c>
      <c r="C305" s="5">
        <v>13199.0</v>
      </c>
      <c r="D305" s="5">
        <v>0.0</v>
      </c>
      <c r="E305" s="15">
        <v>11351.18</v>
      </c>
      <c r="F305" s="5">
        <v>0.0</v>
      </c>
      <c r="G305" s="8">
        <v>12668.41</v>
      </c>
      <c r="H305" s="3"/>
      <c r="I305" s="14">
        <v>0.0</v>
      </c>
      <c r="J305" s="3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4.0" customHeight="1">
      <c r="A306" s="1" t="s">
        <v>616</v>
      </c>
      <c r="B306" s="1" t="s">
        <v>617</v>
      </c>
      <c r="C306" s="5">
        <v>13199.0</v>
      </c>
      <c r="D306" s="5">
        <v>0.0</v>
      </c>
      <c r="E306" s="15">
        <v>11351.18</v>
      </c>
      <c r="F306" s="5">
        <v>0.0</v>
      </c>
      <c r="G306" s="8">
        <v>12668.41</v>
      </c>
      <c r="H306" s="3"/>
      <c r="I306" s="14">
        <v>0.0</v>
      </c>
      <c r="J306" s="3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4.0" customHeight="1">
      <c r="A307" s="1" t="s">
        <v>618</v>
      </c>
      <c r="B307" s="1" t="s">
        <v>619</v>
      </c>
      <c r="C307" s="5">
        <v>13199.0</v>
      </c>
      <c r="D307" s="5">
        <v>0.0</v>
      </c>
      <c r="E307" s="15">
        <v>11351.18</v>
      </c>
      <c r="F307" s="5">
        <v>0.0</v>
      </c>
      <c r="G307" s="8">
        <v>12668.41</v>
      </c>
      <c r="H307" s="3"/>
      <c r="I307" s="14">
        <v>0.0</v>
      </c>
      <c r="J307" s="3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4.0" customHeight="1">
      <c r="A308" s="1" t="s">
        <v>620</v>
      </c>
      <c r="B308" s="1" t="s">
        <v>621</v>
      </c>
      <c r="C308" s="5">
        <v>25213.0</v>
      </c>
      <c r="D308" s="5">
        <v>0.0</v>
      </c>
      <c r="E308" s="15">
        <v>25429.09</v>
      </c>
      <c r="F308" s="5">
        <v>0.0</v>
      </c>
      <c r="G308" s="8">
        <v>27462.76</v>
      </c>
      <c r="H308" s="3"/>
      <c r="I308" s="14">
        <v>0.0</v>
      </c>
      <c r="J308" s="3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4.0" customHeight="1">
      <c r="A309" s="1" t="s">
        <v>622</v>
      </c>
      <c r="B309" s="1" t="s">
        <v>623</v>
      </c>
      <c r="C309" s="5">
        <v>6326.0</v>
      </c>
      <c r="D309" s="5">
        <v>0.0</v>
      </c>
      <c r="E309" s="5">
        <v>6326.0</v>
      </c>
      <c r="F309" s="5">
        <v>0.0</v>
      </c>
      <c r="G309" s="14">
        <v>6326.0</v>
      </c>
      <c r="H309" s="3"/>
      <c r="I309" s="14">
        <v>0.0</v>
      </c>
      <c r="J309" s="3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1" t="s">
        <v>624</v>
      </c>
      <c r="B310" s="1" t="s">
        <v>625</v>
      </c>
      <c r="C310" s="5">
        <v>31539.0</v>
      </c>
      <c r="D310" s="5">
        <v>0.0</v>
      </c>
      <c r="E310" s="15">
        <v>31755.09</v>
      </c>
      <c r="F310" s="5">
        <v>0.0</v>
      </c>
      <c r="G310" s="8">
        <v>33788.76</v>
      </c>
      <c r="H310" s="3"/>
      <c r="I310" s="14">
        <v>0.0</v>
      </c>
      <c r="J310" s="3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4.0" customHeight="1">
      <c r="A311" s="1" t="s">
        <v>626</v>
      </c>
      <c r="B311" s="1" t="s">
        <v>627</v>
      </c>
      <c r="C311" s="5">
        <v>31539.0</v>
      </c>
      <c r="D311" s="5">
        <v>0.0</v>
      </c>
      <c r="E311" s="15">
        <v>31755.09</v>
      </c>
      <c r="F311" s="5">
        <v>0.0</v>
      </c>
      <c r="G311" s="8">
        <v>33788.76</v>
      </c>
      <c r="H311" s="3"/>
      <c r="I311" s="14">
        <v>0.0</v>
      </c>
      <c r="J311" s="3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8.5" customHeight="1">
      <c r="A312" s="1" t="s">
        <v>628</v>
      </c>
      <c r="B312" s="35" t="s">
        <v>629</v>
      </c>
      <c r="C312" s="5">
        <v>2905.0</v>
      </c>
      <c r="D312" s="5">
        <v>0.0</v>
      </c>
      <c r="E312" s="51">
        <v>3835.051</v>
      </c>
      <c r="F312" s="5">
        <v>0.0</v>
      </c>
      <c r="G312" s="25">
        <v>2610.944</v>
      </c>
      <c r="H312" s="3"/>
      <c r="I312" s="14">
        <v>0.0</v>
      </c>
      <c r="J312" s="3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4.0" customHeight="1">
      <c r="A313" s="1" t="s">
        <v>630</v>
      </c>
      <c r="B313" s="1" t="s">
        <v>631</v>
      </c>
      <c r="C313" s="5">
        <v>2381.0</v>
      </c>
      <c r="D313" s="5">
        <v>0.0</v>
      </c>
      <c r="E313" s="5">
        <v>2381.0</v>
      </c>
      <c r="F313" s="5">
        <v>0.0</v>
      </c>
      <c r="G313" s="14">
        <v>2381.0</v>
      </c>
      <c r="H313" s="3"/>
      <c r="I313" s="14">
        <v>0.0</v>
      </c>
      <c r="J313" s="3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4.0" customHeight="1">
      <c r="A314" s="1" t="s">
        <v>632</v>
      </c>
      <c r="B314" s="1" t="s">
        <v>633</v>
      </c>
      <c r="C314" s="5">
        <v>5286.0</v>
      </c>
      <c r="D314" s="5">
        <v>0.0</v>
      </c>
      <c r="E314" s="51">
        <v>6216.051</v>
      </c>
      <c r="F314" s="5">
        <v>0.0</v>
      </c>
      <c r="G314" s="25">
        <v>4991.944</v>
      </c>
      <c r="H314" s="3"/>
      <c r="I314" s="14">
        <v>0.0</v>
      </c>
      <c r="J314" s="3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4.0" customHeight="1">
      <c r="A315" s="1" t="s">
        <v>634</v>
      </c>
      <c r="B315" s="1" t="s">
        <v>635</v>
      </c>
      <c r="C315" s="5">
        <v>5286.0</v>
      </c>
      <c r="D315" s="5">
        <v>0.0</v>
      </c>
      <c r="E315" s="51">
        <v>6216.051</v>
      </c>
      <c r="F315" s="5">
        <v>0.0</v>
      </c>
      <c r="G315" s="25">
        <v>4991.944</v>
      </c>
      <c r="H315" s="3"/>
      <c r="I315" s="14">
        <v>0.0</v>
      </c>
      <c r="J315" s="3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6.0" customHeight="1">
      <c r="A316" s="10" t="s">
        <v>636</v>
      </c>
      <c r="B316" s="35" t="s">
        <v>637</v>
      </c>
      <c r="C316" s="11">
        <v>12380.0</v>
      </c>
      <c r="D316" s="11">
        <v>0.0</v>
      </c>
      <c r="E316" s="26">
        <v>11475.02</v>
      </c>
      <c r="F316" s="11">
        <v>0.0</v>
      </c>
      <c r="G316" s="30">
        <v>11895.47</v>
      </c>
      <c r="H316" s="3"/>
      <c r="I316" s="13">
        <v>0.0</v>
      </c>
      <c r="J316" s="3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6.0" customHeight="1">
      <c r="A317" s="10" t="s">
        <v>638</v>
      </c>
      <c r="B317" s="1" t="s">
        <v>639</v>
      </c>
      <c r="C317" s="11">
        <v>17494.0</v>
      </c>
      <c r="D317" s="11">
        <v>0.0</v>
      </c>
      <c r="E317" s="11">
        <v>17494.0</v>
      </c>
      <c r="F317" s="11">
        <v>0.0</v>
      </c>
      <c r="G317" s="13">
        <v>17494.0</v>
      </c>
      <c r="H317" s="3"/>
      <c r="I317" s="13">
        <v>0.0</v>
      </c>
      <c r="J317" s="3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6.0" customHeight="1">
      <c r="A318" s="10" t="s">
        <v>640</v>
      </c>
      <c r="B318" s="1" t="s">
        <v>641</v>
      </c>
      <c r="C318" s="11">
        <v>29874.0</v>
      </c>
      <c r="D318" s="11">
        <v>0.0</v>
      </c>
      <c r="E318" s="26">
        <v>28969.02</v>
      </c>
      <c r="F318" s="11">
        <v>0.0</v>
      </c>
      <c r="G318" s="30">
        <v>29389.47</v>
      </c>
      <c r="H318" s="3"/>
      <c r="I318" s="13">
        <v>0.0</v>
      </c>
      <c r="J318" s="3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6.0" customHeight="1">
      <c r="A319" s="10" t="s">
        <v>642</v>
      </c>
      <c r="B319" s="1" t="s">
        <v>643</v>
      </c>
      <c r="C319" s="11">
        <v>29874.0</v>
      </c>
      <c r="D319" s="11">
        <v>0.0</v>
      </c>
      <c r="E319" s="26">
        <v>28969.02</v>
      </c>
      <c r="F319" s="11">
        <v>0.0</v>
      </c>
      <c r="G319" s="30">
        <v>29389.47</v>
      </c>
      <c r="H319" s="3"/>
      <c r="I319" s="13">
        <v>0.0</v>
      </c>
      <c r="J319" s="3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8.5" customHeight="1">
      <c r="A320" s="1" t="s">
        <v>644</v>
      </c>
      <c r="B320" s="35" t="s">
        <v>645</v>
      </c>
      <c r="C320" s="5">
        <v>13631.0</v>
      </c>
      <c r="D320" s="5">
        <v>0.0</v>
      </c>
      <c r="E320" s="5">
        <v>11769.0</v>
      </c>
      <c r="F320" s="5">
        <v>0.0</v>
      </c>
      <c r="G320" s="8">
        <v>13174.46</v>
      </c>
      <c r="H320" s="3"/>
      <c r="I320" s="14">
        <v>0.0</v>
      </c>
      <c r="J320" s="3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4.0" customHeight="1">
      <c r="A321" s="1" t="s">
        <v>646</v>
      </c>
      <c r="B321" s="1" t="s">
        <v>647</v>
      </c>
      <c r="C321" s="5">
        <v>2636.0</v>
      </c>
      <c r="D321" s="5">
        <v>0.0</v>
      </c>
      <c r="E321" s="5">
        <v>2636.0</v>
      </c>
      <c r="F321" s="5">
        <v>0.0</v>
      </c>
      <c r="G321" s="14">
        <v>2636.0</v>
      </c>
      <c r="H321" s="3"/>
      <c r="I321" s="14">
        <v>0.0</v>
      </c>
      <c r="J321" s="3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4.0" customHeight="1">
      <c r="A322" s="1" t="s">
        <v>648</v>
      </c>
      <c r="B322" s="1" t="s">
        <v>649</v>
      </c>
      <c r="C322" s="5">
        <v>16267.0</v>
      </c>
      <c r="D322" s="5">
        <v>0.0</v>
      </c>
      <c r="E322" s="5">
        <v>14405.0</v>
      </c>
      <c r="F322" s="5">
        <v>0.0</v>
      </c>
      <c r="G322" s="8">
        <v>15810.46</v>
      </c>
      <c r="H322" s="3"/>
      <c r="I322" s="14">
        <v>0.0</v>
      </c>
      <c r="J322" s="3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4.0" customHeight="1">
      <c r="A323" s="1" t="s">
        <v>650</v>
      </c>
      <c r="B323" s="1" t="s">
        <v>651</v>
      </c>
      <c r="C323" s="5">
        <v>16267.0</v>
      </c>
      <c r="D323" s="5">
        <v>0.0</v>
      </c>
      <c r="E323" s="5">
        <v>14405.0</v>
      </c>
      <c r="F323" s="5">
        <v>0.0</v>
      </c>
      <c r="G323" s="8">
        <v>15810.46</v>
      </c>
      <c r="H323" s="3"/>
      <c r="I323" s="14">
        <v>0.0</v>
      </c>
      <c r="J323" s="3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6.0" customHeight="1">
      <c r="A324" s="10" t="s">
        <v>652</v>
      </c>
      <c r="B324" s="35" t="s">
        <v>653</v>
      </c>
      <c r="C324" s="11">
        <v>6466.0</v>
      </c>
      <c r="D324" s="11">
        <v>0.0</v>
      </c>
      <c r="E324" s="11">
        <v>6722.0</v>
      </c>
      <c r="F324" s="11">
        <v>0.0</v>
      </c>
      <c r="G324" s="18">
        <v>5936.297</v>
      </c>
      <c r="H324" s="3"/>
      <c r="I324" s="13">
        <v>0.0</v>
      </c>
      <c r="J324" s="3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6.0" customHeight="1">
      <c r="A325" s="10" t="s">
        <v>654</v>
      </c>
      <c r="B325" s="1" t="s">
        <v>655</v>
      </c>
      <c r="C325" s="11">
        <v>2820.0</v>
      </c>
      <c r="D325" s="11">
        <v>0.0</v>
      </c>
      <c r="E325" s="11">
        <v>2820.0</v>
      </c>
      <c r="F325" s="11">
        <v>0.0</v>
      </c>
      <c r="G325" s="13">
        <v>2820.0</v>
      </c>
      <c r="H325" s="3"/>
      <c r="I325" s="13">
        <v>0.0</v>
      </c>
      <c r="J325" s="3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6.0" customHeight="1">
      <c r="A326" s="10" t="s">
        <v>656</v>
      </c>
      <c r="B326" s="1" t="s">
        <v>657</v>
      </c>
      <c r="C326" s="11">
        <v>9286.0</v>
      </c>
      <c r="D326" s="11">
        <v>0.0</v>
      </c>
      <c r="E326" s="11">
        <v>9542.0</v>
      </c>
      <c r="F326" s="11">
        <v>0.0</v>
      </c>
      <c r="G326" s="18">
        <v>8756.297</v>
      </c>
      <c r="H326" s="3"/>
      <c r="I326" s="13">
        <v>0.0</v>
      </c>
      <c r="J326" s="3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6.0" customHeight="1">
      <c r="A327" s="10" t="s">
        <v>658</v>
      </c>
      <c r="B327" s="1" t="s">
        <v>659</v>
      </c>
      <c r="C327" s="11">
        <v>9286.0</v>
      </c>
      <c r="D327" s="11">
        <v>0.0</v>
      </c>
      <c r="E327" s="11">
        <v>9542.0</v>
      </c>
      <c r="F327" s="11">
        <v>0.0</v>
      </c>
      <c r="G327" s="18">
        <v>8756.297</v>
      </c>
      <c r="H327" s="3"/>
      <c r="I327" s="13">
        <v>0.0</v>
      </c>
      <c r="J327" s="3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6.0" customHeight="1">
      <c r="A328" s="10" t="s">
        <v>660</v>
      </c>
      <c r="B328" s="35" t="s">
        <v>661</v>
      </c>
      <c r="C328" s="11">
        <v>4890.0</v>
      </c>
      <c r="D328" s="11">
        <v>0.0</v>
      </c>
      <c r="E328" s="11">
        <v>4590.0</v>
      </c>
      <c r="F328" s="11">
        <v>0.0</v>
      </c>
      <c r="G328" s="18">
        <v>5046.717</v>
      </c>
      <c r="H328" s="3"/>
      <c r="I328" s="13">
        <v>0.0</v>
      </c>
      <c r="J328" s="3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6.0" customHeight="1">
      <c r="A329" s="10" t="s">
        <v>662</v>
      </c>
      <c r="B329" s="1" t="s">
        <v>663</v>
      </c>
      <c r="C329" s="11">
        <v>250.0</v>
      </c>
      <c r="D329" s="11">
        <v>0.0</v>
      </c>
      <c r="E329" s="11">
        <v>250.0</v>
      </c>
      <c r="F329" s="11">
        <v>0.0</v>
      </c>
      <c r="G329" s="13">
        <v>250.0</v>
      </c>
      <c r="H329" s="3"/>
      <c r="I329" s="13">
        <v>0.0</v>
      </c>
      <c r="J329" s="3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6.0" customHeight="1">
      <c r="A330" s="10" t="s">
        <v>664</v>
      </c>
      <c r="B330" s="1" t="s">
        <v>665</v>
      </c>
      <c r="C330" s="11">
        <v>5140.0</v>
      </c>
      <c r="D330" s="11">
        <v>0.0</v>
      </c>
      <c r="E330" s="11">
        <v>4840.0</v>
      </c>
      <c r="F330" s="11">
        <v>0.0</v>
      </c>
      <c r="G330" s="18">
        <v>5296.717</v>
      </c>
      <c r="H330" s="3"/>
      <c r="I330" s="13">
        <v>0.0</v>
      </c>
      <c r="J330" s="3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6.0" customHeight="1">
      <c r="A331" s="10" t="s">
        <v>666</v>
      </c>
      <c r="B331" s="1" t="s">
        <v>667</v>
      </c>
      <c r="C331" s="11">
        <v>5140.0</v>
      </c>
      <c r="D331" s="11">
        <v>0.0</v>
      </c>
      <c r="E331" s="11">
        <v>4840.0</v>
      </c>
      <c r="F331" s="11">
        <v>0.0</v>
      </c>
      <c r="G331" s="18">
        <v>5296.717</v>
      </c>
      <c r="H331" s="3"/>
      <c r="I331" s="13">
        <v>0.0</v>
      </c>
      <c r="J331" s="3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8.5" customHeight="1">
      <c r="A332" s="1" t="s">
        <v>668</v>
      </c>
      <c r="B332" s="35" t="s">
        <v>669</v>
      </c>
      <c r="C332" s="5">
        <v>3532.0</v>
      </c>
      <c r="D332" s="5">
        <v>0.0</v>
      </c>
      <c r="E332" s="5">
        <v>3418.0</v>
      </c>
      <c r="F332" s="5">
        <v>0.0</v>
      </c>
      <c r="G332" s="25">
        <v>3462.726</v>
      </c>
      <c r="H332" s="3"/>
      <c r="I332" s="14">
        <v>0.0</v>
      </c>
      <c r="J332" s="3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4.0" customHeight="1">
      <c r="A333" s="1" t="s">
        <v>670</v>
      </c>
      <c r="B333" s="1" t="s">
        <v>671</v>
      </c>
      <c r="C333" s="5">
        <v>4631.0</v>
      </c>
      <c r="D333" s="5">
        <v>0.0</v>
      </c>
      <c r="E333" s="5">
        <v>4631.0</v>
      </c>
      <c r="F333" s="5">
        <v>0.0</v>
      </c>
      <c r="G333" s="14">
        <v>4631.0</v>
      </c>
      <c r="H333" s="3"/>
      <c r="I333" s="14">
        <v>0.0</v>
      </c>
      <c r="J333" s="3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4.0" customHeight="1">
      <c r="A334" s="1" t="s">
        <v>672</v>
      </c>
      <c r="B334" s="1" t="s">
        <v>673</v>
      </c>
      <c r="C334" s="5">
        <v>8163.0</v>
      </c>
      <c r="D334" s="5">
        <v>0.0</v>
      </c>
      <c r="E334" s="5">
        <v>8049.0</v>
      </c>
      <c r="F334" s="5">
        <v>0.0</v>
      </c>
      <c r="G334" s="25">
        <v>8093.726</v>
      </c>
      <c r="H334" s="3"/>
      <c r="I334" s="14">
        <v>0.0</v>
      </c>
      <c r="J334" s="3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4.0" customHeight="1">
      <c r="A335" s="1" t="s">
        <v>674</v>
      </c>
      <c r="B335" s="1" t="s">
        <v>675</v>
      </c>
      <c r="C335" s="5">
        <v>8163.0</v>
      </c>
      <c r="D335" s="5">
        <v>0.0</v>
      </c>
      <c r="E335" s="5">
        <v>8049.0</v>
      </c>
      <c r="F335" s="5">
        <v>0.0</v>
      </c>
      <c r="G335" s="25">
        <v>8093.726</v>
      </c>
      <c r="H335" s="3"/>
      <c r="I335" s="14">
        <v>0.0</v>
      </c>
      <c r="J335" s="3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4.0" customHeight="1">
      <c r="A336" s="1" t="s">
        <v>676</v>
      </c>
      <c r="B336" s="1" t="s">
        <v>677</v>
      </c>
      <c r="C336" s="5">
        <v>3213.0</v>
      </c>
      <c r="D336" s="5">
        <v>0.0</v>
      </c>
      <c r="E336" s="5">
        <v>3213.0</v>
      </c>
      <c r="F336" s="5">
        <v>0.0</v>
      </c>
      <c r="G336" s="14">
        <v>3213.0</v>
      </c>
      <c r="H336" s="3"/>
      <c r="I336" s="14">
        <v>0.0</v>
      </c>
      <c r="J336" s="3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6.0" customHeight="1">
      <c r="A337" s="10" t="s">
        <v>678</v>
      </c>
      <c r="B337" s="1" t="s">
        <v>679</v>
      </c>
      <c r="C337" s="11">
        <v>2250.0</v>
      </c>
      <c r="D337" s="11">
        <v>0.0</v>
      </c>
      <c r="E337" s="11">
        <v>2250.0</v>
      </c>
      <c r="F337" s="11">
        <v>0.0</v>
      </c>
      <c r="G337" s="13">
        <v>2250.0</v>
      </c>
      <c r="H337" s="3"/>
      <c r="I337" s="13">
        <v>0.0</v>
      </c>
      <c r="J337" s="3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6.0" customHeight="1">
      <c r="A338" s="10" t="s">
        <v>680</v>
      </c>
      <c r="B338" s="1" t="s">
        <v>681</v>
      </c>
      <c r="C338" s="11">
        <v>2000.0</v>
      </c>
      <c r="D338" s="11">
        <v>0.0</v>
      </c>
      <c r="E338" s="12">
        <v>2446.081</v>
      </c>
      <c r="F338" s="11">
        <v>0.0</v>
      </c>
      <c r="G338" s="18">
        <v>2446.081</v>
      </c>
      <c r="H338" s="3"/>
      <c r="I338" s="13">
        <v>0.0</v>
      </c>
      <c r="J338" s="3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6.0" customHeight="1">
      <c r="A339" s="10" t="s">
        <v>682</v>
      </c>
      <c r="B339" s="1" t="s">
        <v>683</v>
      </c>
      <c r="C339" s="11">
        <v>2600.0</v>
      </c>
      <c r="D339" s="11">
        <v>0.0</v>
      </c>
      <c r="E339" s="12">
        <v>2949.832</v>
      </c>
      <c r="F339" s="11">
        <v>0.0</v>
      </c>
      <c r="G339" s="18">
        <v>2949.832</v>
      </c>
      <c r="H339" s="3"/>
      <c r="I339" s="13">
        <v>0.0</v>
      </c>
      <c r="J339" s="3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6.0" customHeight="1">
      <c r="A340" s="10" t="s">
        <v>684</v>
      </c>
      <c r="B340" s="1" t="s">
        <v>685</v>
      </c>
      <c r="C340" s="11">
        <v>0.0</v>
      </c>
      <c r="D340" s="11">
        <v>0.0</v>
      </c>
      <c r="E340" s="11">
        <v>0.0</v>
      </c>
      <c r="F340" s="11">
        <v>0.0</v>
      </c>
      <c r="G340" s="13">
        <v>0.0</v>
      </c>
      <c r="H340" s="3"/>
      <c r="I340" s="13">
        <v>0.0</v>
      </c>
      <c r="J340" s="3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6.0" customHeight="1">
      <c r="A341" s="10" t="s">
        <v>686</v>
      </c>
      <c r="B341" s="1" t="s">
        <v>687</v>
      </c>
      <c r="C341" s="11">
        <v>0.0</v>
      </c>
      <c r="D341" s="11">
        <v>0.0</v>
      </c>
      <c r="E341" s="11">
        <v>0.0</v>
      </c>
      <c r="F341" s="11">
        <v>0.0</v>
      </c>
      <c r="G341" s="13">
        <v>0.0</v>
      </c>
      <c r="H341" s="3"/>
      <c r="I341" s="13">
        <v>0.0</v>
      </c>
      <c r="J341" s="3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6.0" customHeight="1">
      <c r="A342" s="10" t="s">
        <v>688</v>
      </c>
      <c r="B342" s="1" t="s">
        <v>689</v>
      </c>
      <c r="C342" s="11">
        <v>98.0</v>
      </c>
      <c r="D342" s="11">
        <v>0.0</v>
      </c>
      <c r="E342" s="11">
        <v>98.0</v>
      </c>
      <c r="F342" s="11">
        <v>0.0</v>
      </c>
      <c r="G342" s="22">
        <v>78.10089</v>
      </c>
      <c r="H342" s="3"/>
      <c r="I342" s="13">
        <v>0.0</v>
      </c>
      <c r="J342" s="3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6.0" customHeight="1">
      <c r="A343" s="10" t="s">
        <v>690</v>
      </c>
      <c r="B343" s="1" t="s">
        <v>691</v>
      </c>
      <c r="C343" s="11">
        <v>4040.0</v>
      </c>
      <c r="D343" s="11">
        <v>0.0</v>
      </c>
      <c r="E343" s="11">
        <v>4040.0</v>
      </c>
      <c r="F343" s="11">
        <v>0.0</v>
      </c>
      <c r="G343" s="30">
        <v>3383.07</v>
      </c>
      <c r="H343" s="3"/>
      <c r="I343" s="23">
        <v>0.024326</v>
      </c>
      <c r="J343" s="3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6.0" customHeight="1">
      <c r="A344" s="10" t="s">
        <v>692</v>
      </c>
      <c r="B344" s="1" t="s">
        <v>693</v>
      </c>
      <c r="C344" s="11">
        <v>2855.0</v>
      </c>
      <c r="D344" s="11">
        <v>0.0</v>
      </c>
      <c r="E344" s="11">
        <v>2855.0</v>
      </c>
      <c r="F344" s="11">
        <v>0.0</v>
      </c>
      <c r="G344" s="30">
        <v>2492.76</v>
      </c>
      <c r="H344" s="3"/>
      <c r="I344" s="22">
        <v>0.01481</v>
      </c>
      <c r="J344" s="3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4.0" customHeight="1">
      <c r="A345" s="1" t="s">
        <v>694</v>
      </c>
      <c r="B345" s="1" t="s">
        <v>695</v>
      </c>
      <c r="C345" s="5">
        <v>4077.0</v>
      </c>
      <c r="D345" s="5">
        <v>0.0</v>
      </c>
      <c r="E345" s="5">
        <v>4077.0</v>
      </c>
      <c r="F345" s="5">
        <v>0.0</v>
      </c>
      <c r="G345" s="25">
        <v>3262.202</v>
      </c>
      <c r="H345" s="3"/>
      <c r="I345" s="20">
        <v>0.036746</v>
      </c>
      <c r="J345" s="3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4.0" customHeight="1">
      <c r="A346" s="1" t="s">
        <v>696</v>
      </c>
      <c r="B346" s="1" t="s">
        <v>697</v>
      </c>
      <c r="C346" s="5">
        <v>873.0</v>
      </c>
      <c r="D346" s="5">
        <v>0.0</v>
      </c>
      <c r="E346" s="5">
        <v>873.0</v>
      </c>
      <c r="F346" s="5">
        <v>0.0</v>
      </c>
      <c r="G346" s="9">
        <v>712.2658</v>
      </c>
      <c r="H346" s="3"/>
      <c r="I346" s="20">
        <v>0.031187</v>
      </c>
      <c r="J346" s="3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4.0" customHeight="1">
      <c r="A347" s="1" t="s">
        <v>698</v>
      </c>
      <c r="B347" s="1" t="s">
        <v>699</v>
      </c>
      <c r="C347" s="5">
        <v>7975.0</v>
      </c>
      <c r="D347" s="5">
        <v>0.0</v>
      </c>
      <c r="E347" s="5">
        <v>7975.0</v>
      </c>
      <c r="F347" s="5">
        <v>0.0</v>
      </c>
      <c r="G347" s="8">
        <v>9360.93</v>
      </c>
      <c r="H347" s="3"/>
      <c r="I347" s="20">
        <v>0.027785</v>
      </c>
      <c r="J347" s="3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4.0" customHeight="1">
      <c r="A348" s="1" t="s">
        <v>700</v>
      </c>
      <c r="B348" s="1" t="s">
        <v>701</v>
      </c>
      <c r="C348" s="5">
        <v>3710.0</v>
      </c>
      <c r="D348" s="5">
        <v>0.0</v>
      </c>
      <c r="E348" s="5">
        <v>3710.0</v>
      </c>
      <c r="F348" s="5">
        <v>0.0</v>
      </c>
      <c r="G348" s="25">
        <v>3133.793</v>
      </c>
      <c r="H348" s="3"/>
      <c r="I348" s="20">
        <v>0.022192</v>
      </c>
      <c r="J348" s="3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6.0" customHeight="1">
      <c r="A349" s="10" t="s">
        <v>702</v>
      </c>
      <c r="B349" s="1" t="s">
        <v>703</v>
      </c>
      <c r="C349" s="11">
        <v>1310.0</v>
      </c>
      <c r="D349" s="11">
        <v>0.0</v>
      </c>
      <c r="E349" s="11">
        <v>1310.0</v>
      </c>
      <c r="F349" s="11">
        <v>0.0</v>
      </c>
      <c r="G349" s="18">
        <v>1174.684</v>
      </c>
      <c r="H349" s="3"/>
      <c r="I349" s="23">
        <v>0.009816</v>
      </c>
      <c r="J349" s="3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6.0" customHeight="1">
      <c r="A350" s="10" t="s">
        <v>704</v>
      </c>
      <c r="B350" s="1" t="s">
        <v>705</v>
      </c>
      <c r="C350" s="11">
        <v>2206.0</v>
      </c>
      <c r="D350" s="11">
        <v>0.0</v>
      </c>
      <c r="E350" s="11">
        <v>2206.0</v>
      </c>
      <c r="F350" s="11">
        <v>0.0</v>
      </c>
      <c r="G350" s="18">
        <v>2050.606</v>
      </c>
      <c r="H350" s="3"/>
      <c r="I350" s="23">
        <v>0.004565</v>
      </c>
      <c r="J350" s="3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1" t="s">
        <v>706</v>
      </c>
      <c r="B351" s="1" t="s">
        <v>707</v>
      </c>
      <c r="C351" s="5">
        <v>1838.0</v>
      </c>
      <c r="D351" s="5">
        <v>0.0</v>
      </c>
      <c r="E351" s="5">
        <v>1838.0</v>
      </c>
      <c r="F351" s="5">
        <v>0.0</v>
      </c>
      <c r="G351" s="25">
        <v>1911.671</v>
      </c>
      <c r="H351" s="3"/>
      <c r="I351" s="20">
        <v>0.001478</v>
      </c>
      <c r="J351" s="3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6.0" customHeight="1">
      <c r="A352" s="10" t="s">
        <v>708</v>
      </c>
      <c r="B352" s="1" t="s">
        <v>709</v>
      </c>
      <c r="C352" s="11">
        <v>179.0</v>
      </c>
      <c r="D352" s="11">
        <v>0.0</v>
      </c>
      <c r="E352" s="11">
        <v>179.0</v>
      </c>
      <c r="F352" s="11">
        <v>0.0</v>
      </c>
      <c r="G352" s="18">
        <v>165.672</v>
      </c>
      <c r="H352" s="3"/>
      <c r="I352" s="23">
        <v>0.005101</v>
      </c>
      <c r="J352" s="3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6.0" customHeight="1">
      <c r="A353" s="10" t="s">
        <v>710</v>
      </c>
      <c r="B353" s="1" t="s">
        <v>711</v>
      </c>
      <c r="C353" s="11">
        <v>829.0</v>
      </c>
      <c r="D353" s="11">
        <v>0.0</v>
      </c>
      <c r="E353" s="11">
        <v>829.0</v>
      </c>
      <c r="F353" s="11">
        <v>0.0</v>
      </c>
      <c r="G353" s="31">
        <v>940.2718</v>
      </c>
      <c r="H353" s="3"/>
      <c r="I353" s="23">
        <v>0.016575</v>
      </c>
      <c r="J353" s="3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1" t="s">
        <v>712</v>
      </c>
      <c r="B354" s="1" t="s">
        <v>713</v>
      </c>
      <c r="C354" s="5">
        <v>338.0</v>
      </c>
      <c r="D354" s="5">
        <v>0.0</v>
      </c>
      <c r="E354" s="5">
        <v>338.0</v>
      </c>
      <c r="F354" s="5">
        <v>0.0</v>
      </c>
      <c r="G354" s="9">
        <v>396.8542</v>
      </c>
      <c r="H354" s="3"/>
      <c r="I354" s="20">
        <v>0.027894</v>
      </c>
      <c r="J354" s="3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48.0" customHeight="1">
      <c r="A355" s="1" t="s">
        <v>714</v>
      </c>
      <c r="B355" s="1" t="s">
        <v>715</v>
      </c>
      <c r="C355" s="5">
        <v>9610.0</v>
      </c>
      <c r="D355" s="5">
        <v>0.0</v>
      </c>
      <c r="E355" s="5">
        <v>9610.0</v>
      </c>
      <c r="F355" s="5">
        <v>0.0</v>
      </c>
      <c r="G355" s="25">
        <v>9157.682</v>
      </c>
      <c r="H355" s="3"/>
      <c r="I355" s="20">
        <v>0.002038</v>
      </c>
      <c r="J355" s="3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4.0" customHeight="1">
      <c r="A356" s="1" t="s">
        <v>716</v>
      </c>
      <c r="B356" s="1" t="s">
        <v>717</v>
      </c>
      <c r="C356" s="5">
        <v>155.0</v>
      </c>
      <c r="D356" s="5">
        <v>0.0</v>
      </c>
      <c r="E356" s="5">
        <v>155.0</v>
      </c>
      <c r="F356" s="5">
        <v>0.0</v>
      </c>
      <c r="G356" s="25">
        <v>159.614</v>
      </c>
      <c r="H356" s="3"/>
      <c r="I356" s="20">
        <v>8.15E-4</v>
      </c>
      <c r="J356" s="3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4.0" customHeight="1">
      <c r="A357" s="1" t="s">
        <v>718</v>
      </c>
      <c r="B357" s="1" t="s">
        <v>719</v>
      </c>
      <c r="C357" s="5">
        <v>368.0</v>
      </c>
      <c r="D357" s="5">
        <v>0.0</v>
      </c>
      <c r="E357" s="5">
        <v>368.0</v>
      </c>
      <c r="F357" s="5">
        <v>0.0</v>
      </c>
      <c r="G357" s="9">
        <v>301.7638</v>
      </c>
      <c r="H357" s="3"/>
      <c r="I357" s="20">
        <v>0.029805</v>
      </c>
      <c r="J357" s="3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4.0" customHeight="1">
      <c r="A358" s="1" t="s">
        <v>720</v>
      </c>
      <c r="B358" s="1" t="s">
        <v>721</v>
      </c>
      <c r="C358" s="5">
        <v>12684.0</v>
      </c>
      <c r="D358" s="5">
        <v>0.0</v>
      </c>
      <c r="E358" s="5">
        <v>12684.0</v>
      </c>
      <c r="F358" s="5">
        <v>0.0</v>
      </c>
      <c r="G358" s="8">
        <v>12814.43</v>
      </c>
      <c r="H358" s="3"/>
      <c r="I358" s="14">
        <v>0.0</v>
      </c>
      <c r="J358" s="3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4.0" customHeight="1">
      <c r="A359" s="1" t="s">
        <v>722</v>
      </c>
      <c r="B359" s="1" t="s">
        <v>723</v>
      </c>
      <c r="C359" s="5">
        <v>3808.0</v>
      </c>
      <c r="D359" s="5">
        <v>0.0</v>
      </c>
      <c r="E359" s="5">
        <v>3808.0</v>
      </c>
      <c r="F359" s="5">
        <v>0.0</v>
      </c>
      <c r="G359" s="25">
        <v>3939.723</v>
      </c>
      <c r="H359" s="3"/>
      <c r="I359" s="14">
        <v>0.0</v>
      </c>
      <c r="J359" s="3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6.0" customHeight="1">
      <c r="A360" s="10" t="s">
        <v>724</v>
      </c>
      <c r="B360" s="1" t="s">
        <v>725</v>
      </c>
      <c r="C360" s="11">
        <v>20520.0</v>
      </c>
      <c r="D360" s="11">
        <v>0.0</v>
      </c>
      <c r="E360" s="11">
        <v>20520.0</v>
      </c>
      <c r="F360" s="11">
        <v>0.0</v>
      </c>
      <c r="G360" s="30">
        <v>20650.67</v>
      </c>
      <c r="H360" s="3"/>
      <c r="I360" s="13">
        <v>0.0</v>
      </c>
      <c r="J360" s="3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4.0" customHeight="1">
      <c r="A361" s="1" t="s">
        <v>726</v>
      </c>
      <c r="B361" s="1" t="s">
        <v>727</v>
      </c>
      <c r="C361" s="5">
        <v>5796.0</v>
      </c>
      <c r="D361" s="5">
        <v>0.0</v>
      </c>
      <c r="E361" s="5">
        <v>5796.0</v>
      </c>
      <c r="F361" s="5">
        <v>0.0</v>
      </c>
      <c r="G361" s="25">
        <v>5926.893</v>
      </c>
      <c r="H361" s="3"/>
      <c r="I361" s="14">
        <v>0.0</v>
      </c>
      <c r="J361" s="3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6.0" customHeight="1">
      <c r="A362" s="10" t="s">
        <v>728</v>
      </c>
      <c r="B362" s="1" t="s">
        <v>729</v>
      </c>
      <c r="C362" s="11">
        <v>4110.0</v>
      </c>
      <c r="D362" s="11">
        <v>0.0</v>
      </c>
      <c r="E362" s="11">
        <v>4110.0</v>
      </c>
      <c r="F362" s="11">
        <v>0.0</v>
      </c>
      <c r="G362" s="18">
        <v>4241.233</v>
      </c>
      <c r="H362" s="3"/>
      <c r="I362" s="13">
        <v>0.0</v>
      </c>
      <c r="J362" s="3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6.0" customHeight="1">
      <c r="A363" s="10" t="s">
        <v>730</v>
      </c>
      <c r="B363" s="1" t="s">
        <v>731</v>
      </c>
      <c r="C363" s="11">
        <v>1518.0</v>
      </c>
      <c r="D363" s="11">
        <v>0.0</v>
      </c>
      <c r="E363" s="11">
        <v>1518.0</v>
      </c>
      <c r="F363" s="11">
        <v>0.0</v>
      </c>
      <c r="G363" s="18">
        <v>1649.589</v>
      </c>
      <c r="H363" s="3"/>
      <c r="I363" s="13">
        <v>0.0</v>
      </c>
      <c r="J363" s="3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4.0" customHeight="1">
      <c r="A364" s="1" t="s">
        <v>732</v>
      </c>
      <c r="B364" s="1" t="s">
        <v>733</v>
      </c>
      <c r="C364" s="5">
        <v>4994.0</v>
      </c>
      <c r="D364" s="5">
        <v>0.0</v>
      </c>
      <c r="E364" s="5">
        <v>4994.0</v>
      </c>
      <c r="F364" s="5">
        <v>0.0</v>
      </c>
      <c r="G364" s="25">
        <v>5125.293</v>
      </c>
      <c r="H364" s="3"/>
      <c r="I364" s="14">
        <v>0.0</v>
      </c>
      <c r="J364" s="3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4.0" customHeight="1">
      <c r="A365" s="1" t="s">
        <v>734</v>
      </c>
      <c r="B365" s="1" t="s">
        <v>735</v>
      </c>
      <c r="C365" s="15">
        <v>98491.67</v>
      </c>
      <c r="D365" s="5">
        <v>0.0</v>
      </c>
      <c r="E365" s="5">
        <v>103954.0</v>
      </c>
      <c r="F365" s="5">
        <v>0.0</v>
      </c>
      <c r="G365" s="8">
        <v>98425.69</v>
      </c>
      <c r="H365" s="3"/>
      <c r="I365" s="14">
        <v>0.0</v>
      </c>
      <c r="J365" s="3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4.0" customHeight="1">
      <c r="A366" s="1" t="s">
        <v>736</v>
      </c>
      <c r="B366" s="1" t="s">
        <v>737</v>
      </c>
      <c r="C366" s="15">
        <v>98491.67</v>
      </c>
      <c r="D366" s="5">
        <v>0.0</v>
      </c>
      <c r="E366" s="5">
        <v>103954.0</v>
      </c>
      <c r="F366" s="5">
        <v>0.0</v>
      </c>
      <c r="G366" s="8">
        <v>98425.69</v>
      </c>
      <c r="H366" s="3"/>
      <c r="I366" s="14">
        <v>0.0</v>
      </c>
      <c r="J366" s="3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4.0" customHeight="1">
      <c r="A367" s="1" t="s">
        <v>738</v>
      </c>
      <c r="B367" s="1" t="s">
        <v>739</v>
      </c>
      <c r="C367" s="5">
        <v>1.0</v>
      </c>
      <c r="D367" s="5">
        <v>0.0</v>
      </c>
      <c r="E367" s="5">
        <v>1.0</v>
      </c>
      <c r="F367" s="5">
        <v>0.0</v>
      </c>
      <c r="G367" s="14">
        <v>1.0</v>
      </c>
      <c r="H367" s="3"/>
      <c r="I367" s="14">
        <v>0.0</v>
      </c>
      <c r="J367" s="3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6.0" customHeight="1">
      <c r="A368" s="10" t="s">
        <v>740</v>
      </c>
      <c r="B368" s="1" t="s">
        <v>741</v>
      </c>
      <c r="C368" s="12">
        <v>4700.576</v>
      </c>
      <c r="D368" s="11">
        <v>0.0</v>
      </c>
      <c r="E368" s="11">
        <v>4698.0</v>
      </c>
      <c r="F368" s="29">
        <v>4.18E-4</v>
      </c>
      <c r="G368" s="18">
        <v>5474.014</v>
      </c>
      <c r="H368" s="3"/>
      <c r="I368" s="13">
        <v>0.0</v>
      </c>
      <c r="J368" s="3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4.0" customHeight="1">
      <c r="A369" s="1" t="s">
        <v>742</v>
      </c>
      <c r="B369" s="1" t="s">
        <v>743</v>
      </c>
      <c r="C369" s="5">
        <v>58600.0</v>
      </c>
      <c r="D369" s="5">
        <v>0.0</v>
      </c>
      <c r="E369" s="5">
        <v>69217.0</v>
      </c>
      <c r="F369" s="5">
        <v>0.0</v>
      </c>
      <c r="G369" s="8">
        <v>62108.72</v>
      </c>
      <c r="H369" s="3"/>
      <c r="I369" s="14">
        <v>0.0</v>
      </c>
      <c r="J369" s="3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52" t="s">
        <v>744</v>
      </c>
      <c r="B370" s="53"/>
      <c r="C370" s="53"/>
      <c r="D370" s="53"/>
      <c r="E370" s="53"/>
      <c r="F370" s="53"/>
      <c r="G370" s="53"/>
      <c r="H370" s="53"/>
      <c r="I370" s="53"/>
      <c r="J370" s="3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6.0" customHeight="1">
      <c r="A371" s="35" t="s">
        <v>745</v>
      </c>
      <c r="B371" s="1" t="s">
        <v>746</v>
      </c>
      <c r="C371" s="11">
        <v>1170.0</v>
      </c>
      <c r="D371" s="11">
        <v>0.0</v>
      </c>
      <c r="E371" s="12">
        <v>1539.867</v>
      </c>
      <c r="F371" s="11">
        <v>0.0</v>
      </c>
      <c r="G371" s="31">
        <v>809.9935</v>
      </c>
      <c r="H371" s="3"/>
      <c r="I371" s="13">
        <v>0.0</v>
      </c>
      <c r="J371" s="3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6.0" customHeight="1">
      <c r="A372" s="35" t="s">
        <v>747</v>
      </c>
      <c r="B372" s="1" t="s">
        <v>748</v>
      </c>
      <c r="C372" s="11">
        <v>213.0</v>
      </c>
      <c r="D372" s="11">
        <v>0.0</v>
      </c>
      <c r="E372" s="34">
        <v>347.5563</v>
      </c>
      <c r="F372" s="11">
        <v>0.0</v>
      </c>
      <c r="G372" s="31">
        <v>218.1501</v>
      </c>
      <c r="H372" s="3"/>
      <c r="I372" s="13">
        <v>0.0</v>
      </c>
      <c r="J372" s="3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8.5" customHeight="1">
      <c r="A373" s="35" t="s">
        <v>749</v>
      </c>
      <c r="B373" s="1" t="s">
        <v>750</v>
      </c>
      <c r="C373" s="5">
        <v>597.0</v>
      </c>
      <c r="D373" s="5">
        <v>0.0</v>
      </c>
      <c r="E373" s="50">
        <v>290.9303</v>
      </c>
      <c r="F373" s="5">
        <v>0.0</v>
      </c>
      <c r="G373" s="9">
        <v>523.2828</v>
      </c>
      <c r="H373" s="3"/>
      <c r="I373" s="14">
        <v>0.0</v>
      </c>
      <c r="J373" s="3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8.5" customHeight="1">
      <c r="A374" s="35" t="s">
        <v>751</v>
      </c>
      <c r="B374" s="1" t="s">
        <v>752</v>
      </c>
      <c r="C374" s="5">
        <v>35.0</v>
      </c>
      <c r="D374" s="5">
        <v>0.0</v>
      </c>
      <c r="E374" s="48">
        <v>20.75437</v>
      </c>
      <c r="F374" s="5">
        <v>0.0</v>
      </c>
      <c r="G374" s="43">
        <v>12.55244</v>
      </c>
      <c r="H374" s="3"/>
      <c r="I374" s="14">
        <v>0.0</v>
      </c>
      <c r="J374" s="3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48.0" customHeight="1">
      <c r="A375" s="35" t="s">
        <v>753</v>
      </c>
      <c r="B375" s="1" t="s">
        <v>754</v>
      </c>
      <c r="C375" s="5">
        <v>547.0</v>
      </c>
      <c r="D375" s="5">
        <v>0.0</v>
      </c>
      <c r="E375" s="50">
        <v>242.4684</v>
      </c>
      <c r="F375" s="5">
        <v>0.0</v>
      </c>
      <c r="G375" s="39">
        <v>435.641</v>
      </c>
      <c r="H375" s="3"/>
      <c r="I375" s="14">
        <v>0.0</v>
      </c>
      <c r="J375" s="3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8.5" customHeight="1">
      <c r="A376" s="35" t="s">
        <v>755</v>
      </c>
      <c r="B376" s="1" t="s">
        <v>756</v>
      </c>
      <c r="C376" s="5">
        <v>75.0</v>
      </c>
      <c r="D376" s="5">
        <v>0.0</v>
      </c>
      <c r="E376" s="48">
        <v>36.18896</v>
      </c>
      <c r="F376" s="5">
        <v>0.0</v>
      </c>
      <c r="G376" s="40">
        <v>50.0553</v>
      </c>
      <c r="H376" s="3"/>
      <c r="I376" s="14">
        <v>0.0</v>
      </c>
      <c r="J376" s="3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48.0" customHeight="1">
      <c r="A377" s="35" t="s">
        <v>757</v>
      </c>
      <c r="B377" s="1" t="s">
        <v>758</v>
      </c>
      <c r="C377" s="5">
        <v>15.0</v>
      </c>
      <c r="D377" s="5">
        <v>0.0</v>
      </c>
      <c r="E377" s="6">
        <v>7.358421</v>
      </c>
      <c r="F377" s="5">
        <v>0.0</v>
      </c>
      <c r="G377" s="43">
        <v>11.59948</v>
      </c>
      <c r="H377" s="3"/>
      <c r="I377" s="14">
        <v>0.0</v>
      </c>
      <c r="J377" s="3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8.5" customHeight="1">
      <c r="A378" s="35" t="s">
        <v>759</v>
      </c>
      <c r="B378" s="1" t="s">
        <v>760</v>
      </c>
      <c r="C378" s="5">
        <v>2007.0</v>
      </c>
      <c r="D378" s="5">
        <v>0.0</v>
      </c>
      <c r="E378" s="50">
        <v>812.0751</v>
      </c>
      <c r="F378" s="5">
        <v>0.0</v>
      </c>
      <c r="G378" s="39">
        <v>1822.325</v>
      </c>
      <c r="H378" s="3"/>
      <c r="I378" s="14">
        <v>0.0</v>
      </c>
      <c r="J378" s="3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8.5" customHeight="1">
      <c r="A379" s="35" t="s">
        <v>761</v>
      </c>
      <c r="B379" s="1" t="s">
        <v>762</v>
      </c>
      <c r="C379" s="5">
        <v>413.0</v>
      </c>
      <c r="D379" s="5">
        <v>0.0</v>
      </c>
      <c r="E379" s="50">
        <v>180.3207</v>
      </c>
      <c r="F379" s="5">
        <v>0.0</v>
      </c>
      <c r="G379" s="40">
        <v>226.1728</v>
      </c>
      <c r="H379" s="3"/>
      <c r="I379" s="14">
        <v>0.0</v>
      </c>
      <c r="J379" s="3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48.0" customHeight="1">
      <c r="A380" s="35" t="s">
        <v>763</v>
      </c>
      <c r="B380" s="1" t="s">
        <v>764</v>
      </c>
      <c r="C380" s="5">
        <v>636.0</v>
      </c>
      <c r="D380" s="5">
        <v>0.0</v>
      </c>
      <c r="E380" s="50">
        <v>119.7283</v>
      </c>
      <c r="F380" s="5">
        <v>0.0</v>
      </c>
      <c r="G380" s="40">
        <v>561.2939</v>
      </c>
      <c r="H380" s="3"/>
      <c r="I380" s="14">
        <v>0.0</v>
      </c>
      <c r="J380" s="3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48.0" customHeight="1">
      <c r="A381" s="35" t="s">
        <v>765</v>
      </c>
      <c r="B381" s="1" t="s">
        <v>766</v>
      </c>
      <c r="C381" s="5">
        <v>870.0</v>
      </c>
      <c r="D381" s="5">
        <v>0.0</v>
      </c>
      <c r="E381" s="51">
        <v>926.656</v>
      </c>
      <c r="F381" s="5">
        <v>0.0</v>
      </c>
      <c r="G381" s="40">
        <v>624.2651</v>
      </c>
      <c r="H381" s="3"/>
      <c r="I381" s="14">
        <v>0.0</v>
      </c>
      <c r="J381" s="3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6.0" customHeight="1">
      <c r="A382" s="35" t="s">
        <v>767</v>
      </c>
      <c r="B382" s="1" t="s">
        <v>768</v>
      </c>
      <c r="C382" s="11">
        <v>644.0</v>
      </c>
      <c r="D382" s="11">
        <v>0.0</v>
      </c>
      <c r="E382" s="34">
        <v>412.3488</v>
      </c>
      <c r="F382" s="11">
        <v>0.0</v>
      </c>
      <c r="G382" s="46">
        <v>422.419</v>
      </c>
      <c r="H382" s="3"/>
      <c r="I382" s="13">
        <v>0.0</v>
      </c>
      <c r="J382" s="3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6.0" customHeight="1">
      <c r="A383" s="35" t="s">
        <v>769</v>
      </c>
      <c r="B383" s="1" t="s">
        <v>770</v>
      </c>
      <c r="C383" s="11">
        <v>222.0</v>
      </c>
      <c r="D383" s="11">
        <v>0.0</v>
      </c>
      <c r="E383" s="34">
        <v>959.5099</v>
      </c>
      <c r="F383" s="11">
        <v>0.0</v>
      </c>
      <c r="G383" s="47">
        <v>206.0571</v>
      </c>
      <c r="H383" s="3"/>
      <c r="I383" s="13">
        <v>0.0</v>
      </c>
      <c r="J383" s="3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6.0" customHeight="1">
      <c r="A384" s="35" t="s">
        <v>771</v>
      </c>
      <c r="B384" s="1" t="s">
        <v>772</v>
      </c>
      <c r="C384" s="11">
        <v>30.0</v>
      </c>
      <c r="D384" s="11">
        <v>0.0</v>
      </c>
      <c r="E384" s="34">
        <v>239.2068</v>
      </c>
      <c r="F384" s="11">
        <v>0.0</v>
      </c>
      <c r="G384" s="36">
        <v>34.28163</v>
      </c>
      <c r="H384" s="3"/>
      <c r="I384" s="13">
        <v>0.0</v>
      </c>
      <c r="J384" s="3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8.5" customHeight="1">
      <c r="A385" s="35" t="s">
        <v>773</v>
      </c>
      <c r="B385" s="1" t="s">
        <v>774</v>
      </c>
      <c r="C385" s="5">
        <v>4252.0</v>
      </c>
      <c r="D385" s="5">
        <v>0.0</v>
      </c>
      <c r="E385" s="51">
        <v>2248.584</v>
      </c>
      <c r="F385" s="5">
        <v>0.0</v>
      </c>
      <c r="G385" s="39">
        <v>4243.617</v>
      </c>
      <c r="H385" s="3"/>
      <c r="I385" s="14">
        <v>0.0</v>
      </c>
      <c r="J385" s="3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8.5" customHeight="1">
      <c r="A386" s="35" t="s">
        <v>775</v>
      </c>
      <c r="B386" s="1" t="s">
        <v>776</v>
      </c>
      <c r="C386" s="15">
        <v>0.67</v>
      </c>
      <c r="D386" s="5">
        <v>0.0</v>
      </c>
      <c r="E386" s="50">
        <v>298.3857</v>
      </c>
      <c r="F386" s="5">
        <v>0.0</v>
      </c>
      <c r="G386" s="41">
        <v>0.679856</v>
      </c>
      <c r="H386" s="3"/>
      <c r="I386" s="14">
        <v>0.0</v>
      </c>
      <c r="J386" s="3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60.0" customHeight="1">
      <c r="A387" s="35" t="s">
        <v>777</v>
      </c>
      <c r="B387" s="1" t="s">
        <v>778</v>
      </c>
      <c r="C387" s="11">
        <v>20.0</v>
      </c>
      <c r="D387" s="11">
        <v>0.0</v>
      </c>
      <c r="E387" s="34">
        <v>22.4196</v>
      </c>
      <c r="F387" s="11">
        <v>0.0</v>
      </c>
      <c r="G387" s="36">
        <v>32.36314</v>
      </c>
      <c r="H387" s="3"/>
      <c r="I387" s="13">
        <v>0.0</v>
      </c>
      <c r="J387" s="3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48.0" customHeight="1">
      <c r="A388" s="35" t="s">
        <v>779</v>
      </c>
      <c r="B388" s="1" t="s">
        <v>780</v>
      </c>
      <c r="C388" s="5">
        <v>714.0</v>
      </c>
      <c r="D388" s="5">
        <v>0.0</v>
      </c>
      <c r="E388" s="50">
        <v>459.4617</v>
      </c>
      <c r="F388" s="5">
        <v>0.0</v>
      </c>
      <c r="G388" s="40">
        <v>613.7256</v>
      </c>
      <c r="H388" s="3"/>
      <c r="I388" s="14">
        <v>0.0</v>
      </c>
      <c r="J388" s="3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48.0" customHeight="1">
      <c r="A389" s="35" t="s">
        <v>781</v>
      </c>
      <c r="B389" s="1" t="s">
        <v>782</v>
      </c>
      <c r="C389" s="5">
        <v>145.0</v>
      </c>
      <c r="D389" s="5">
        <v>0.0</v>
      </c>
      <c r="E389" s="50">
        <v>115.9851</v>
      </c>
      <c r="F389" s="5">
        <v>0.0</v>
      </c>
      <c r="G389" s="43">
        <v>89.96992</v>
      </c>
      <c r="H389" s="3"/>
      <c r="I389" s="14">
        <v>0.0</v>
      </c>
      <c r="J389" s="3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48.0" customHeight="1">
      <c r="A390" s="35" t="s">
        <v>783</v>
      </c>
      <c r="B390" s="1" t="s">
        <v>784</v>
      </c>
      <c r="C390" s="5">
        <v>78.0</v>
      </c>
      <c r="D390" s="5">
        <v>0.0</v>
      </c>
      <c r="E390" s="48">
        <v>58.77469</v>
      </c>
      <c r="F390" s="5">
        <v>0.0</v>
      </c>
      <c r="G390" s="43">
        <v>84.51959</v>
      </c>
      <c r="H390" s="3"/>
      <c r="I390" s="14">
        <v>0.0</v>
      </c>
      <c r="J390" s="3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6.0" customHeight="1">
      <c r="A391" s="35" t="s">
        <v>785</v>
      </c>
      <c r="B391" s="1" t="s">
        <v>786</v>
      </c>
      <c r="C391" s="11">
        <v>59.0</v>
      </c>
      <c r="D391" s="11">
        <v>0.0</v>
      </c>
      <c r="E391" s="49">
        <v>38.50545</v>
      </c>
      <c r="F391" s="11">
        <v>0.0</v>
      </c>
      <c r="G391" s="36">
        <v>42.59415</v>
      </c>
      <c r="H391" s="3"/>
      <c r="I391" s="13">
        <v>0.0</v>
      </c>
      <c r="J391" s="3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6.0" customHeight="1">
      <c r="A392" s="35" t="s">
        <v>787</v>
      </c>
      <c r="B392" s="1" t="s">
        <v>788</v>
      </c>
      <c r="C392" s="11">
        <v>7.0</v>
      </c>
      <c r="D392" s="11">
        <v>0.0</v>
      </c>
      <c r="E392" s="29">
        <v>4.316597</v>
      </c>
      <c r="F392" s="11">
        <v>0.0</v>
      </c>
      <c r="G392" s="37">
        <v>3.961196</v>
      </c>
      <c r="H392" s="3"/>
      <c r="I392" s="13">
        <v>0.0</v>
      </c>
      <c r="J392" s="3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60.0" customHeight="1">
      <c r="A393" s="35" t="s">
        <v>789</v>
      </c>
      <c r="B393" s="1" t="s">
        <v>790</v>
      </c>
      <c r="C393" s="11">
        <v>48.0</v>
      </c>
      <c r="D393" s="11">
        <v>0.0</v>
      </c>
      <c r="E393" s="49">
        <v>32.89059</v>
      </c>
      <c r="F393" s="11">
        <v>0.0</v>
      </c>
      <c r="G393" s="36">
        <v>35.82931</v>
      </c>
      <c r="H393" s="3"/>
      <c r="I393" s="13">
        <v>0.0</v>
      </c>
      <c r="J393" s="3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6.0" customHeight="1">
      <c r="A394" s="35" t="s">
        <v>791</v>
      </c>
      <c r="B394" s="1" t="s">
        <v>792</v>
      </c>
      <c r="C394" s="11">
        <v>434.0</v>
      </c>
      <c r="D394" s="11">
        <v>0.0</v>
      </c>
      <c r="E394" s="12">
        <v>280.438</v>
      </c>
      <c r="F394" s="11">
        <v>0.0</v>
      </c>
      <c r="G394" s="47">
        <v>261.7967</v>
      </c>
      <c r="H394" s="3"/>
      <c r="I394" s="13">
        <v>0.0</v>
      </c>
      <c r="J394" s="3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6.0" customHeight="1">
      <c r="A395" s="35" t="s">
        <v>793</v>
      </c>
      <c r="B395" s="1" t="s">
        <v>794</v>
      </c>
      <c r="C395" s="11">
        <v>39.0</v>
      </c>
      <c r="D395" s="11">
        <v>0.0</v>
      </c>
      <c r="E395" s="49">
        <v>60.82797</v>
      </c>
      <c r="F395" s="11">
        <v>0.0</v>
      </c>
      <c r="G395" s="36">
        <v>60.99131</v>
      </c>
      <c r="H395" s="3"/>
      <c r="I395" s="13">
        <v>0.0</v>
      </c>
      <c r="J395" s="3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6.0" customHeight="1">
      <c r="A396" s="35" t="s">
        <v>795</v>
      </c>
      <c r="B396" s="1" t="s">
        <v>796</v>
      </c>
      <c r="C396" s="11">
        <v>7.0</v>
      </c>
      <c r="D396" s="11">
        <v>0.0</v>
      </c>
      <c r="E396" s="49">
        <v>22.33162</v>
      </c>
      <c r="F396" s="11">
        <v>0.0</v>
      </c>
      <c r="G396" s="37">
        <v>3.393989</v>
      </c>
      <c r="H396" s="3"/>
      <c r="I396" s="13">
        <v>0.0</v>
      </c>
      <c r="J396" s="3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8.5" customHeight="1">
      <c r="A397" s="35" t="s">
        <v>797</v>
      </c>
      <c r="B397" s="1" t="s">
        <v>798</v>
      </c>
      <c r="C397" s="5">
        <v>28.0</v>
      </c>
      <c r="D397" s="5">
        <v>0.0</v>
      </c>
      <c r="E397" s="48">
        <v>18.59411</v>
      </c>
      <c r="F397" s="5">
        <v>0.0</v>
      </c>
      <c r="G397" s="43">
        <v>25.32495</v>
      </c>
      <c r="H397" s="3"/>
      <c r="I397" s="14">
        <v>0.0</v>
      </c>
      <c r="J397" s="3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8.5" customHeight="1">
      <c r="A398" s="35" t="s">
        <v>799</v>
      </c>
      <c r="B398" s="1" t="s">
        <v>800</v>
      </c>
      <c r="C398" s="15">
        <v>0.25</v>
      </c>
      <c r="D398" s="5">
        <v>0.0</v>
      </c>
      <c r="E398" s="6">
        <v>0.186875</v>
      </c>
      <c r="F398" s="5">
        <v>0.0</v>
      </c>
      <c r="G398" s="41">
        <v>5.64E-4</v>
      </c>
      <c r="H398" s="3"/>
      <c r="I398" s="14">
        <v>0.0</v>
      </c>
      <c r="J398" s="3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48.0" customHeight="1">
      <c r="A399" s="35" t="s">
        <v>801</v>
      </c>
      <c r="B399" s="1" t="s">
        <v>802</v>
      </c>
      <c r="C399" s="5">
        <v>666.0</v>
      </c>
      <c r="D399" s="5">
        <v>0.0</v>
      </c>
      <c r="E399" s="50">
        <v>598.5622</v>
      </c>
      <c r="F399" s="5">
        <v>0.0</v>
      </c>
      <c r="G399" s="40">
        <v>520.4648</v>
      </c>
      <c r="H399" s="3"/>
      <c r="I399" s="14">
        <v>0.0</v>
      </c>
      <c r="J399" s="3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8.5" customHeight="1">
      <c r="A400" s="35" t="s">
        <v>803</v>
      </c>
      <c r="B400" s="1" t="s">
        <v>804</v>
      </c>
      <c r="C400" s="5">
        <v>147.0</v>
      </c>
      <c r="D400" s="5">
        <v>0.0</v>
      </c>
      <c r="E400" s="50">
        <v>223.5031</v>
      </c>
      <c r="F400" s="5">
        <v>0.0</v>
      </c>
      <c r="G400" s="40">
        <v>159.0896</v>
      </c>
      <c r="H400" s="3"/>
      <c r="I400" s="14">
        <v>0.0</v>
      </c>
      <c r="J400" s="3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48.0" customHeight="1">
      <c r="A401" s="35" t="s">
        <v>805</v>
      </c>
      <c r="B401" s="1" t="s">
        <v>806</v>
      </c>
      <c r="C401" s="5">
        <v>1092.0</v>
      </c>
      <c r="D401" s="5">
        <v>0.0</v>
      </c>
      <c r="E401" s="50">
        <v>731.6175</v>
      </c>
      <c r="F401" s="5">
        <v>0.0</v>
      </c>
      <c r="G401" s="40">
        <v>827.1874</v>
      </c>
      <c r="H401" s="3"/>
      <c r="I401" s="14">
        <v>0.0</v>
      </c>
      <c r="J401" s="3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48.0" customHeight="1">
      <c r="A402" s="35" t="s">
        <v>807</v>
      </c>
      <c r="B402" s="1" t="s">
        <v>808</v>
      </c>
      <c r="C402" s="5">
        <v>369.0</v>
      </c>
      <c r="D402" s="5">
        <v>0.0</v>
      </c>
      <c r="E402" s="50">
        <v>171.2959</v>
      </c>
      <c r="F402" s="5">
        <v>0.0</v>
      </c>
      <c r="G402" s="40">
        <v>135.4126</v>
      </c>
      <c r="H402" s="3"/>
      <c r="I402" s="14">
        <v>0.0</v>
      </c>
      <c r="J402" s="3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48.0" customHeight="1">
      <c r="A403" s="35" t="s">
        <v>809</v>
      </c>
      <c r="B403" s="1" t="s">
        <v>810</v>
      </c>
      <c r="C403" s="5">
        <v>325.0</v>
      </c>
      <c r="D403" s="5">
        <v>0.0</v>
      </c>
      <c r="E403" s="50">
        <v>178.8781</v>
      </c>
      <c r="F403" s="5">
        <v>0.0</v>
      </c>
      <c r="G403" s="40">
        <v>194.8691</v>
      </c>
      <c r="H403" s="3"/>
      <c r="I403" s="14">
        <v>0.0</v>
      </c>
      <c r="J403" s="3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6.0" customHeight="1">
      <c r="A404" s="35" t="s">
        <v>811</v>
      </c>
      <c r="B404" s="1" t="s">
        <v>812</v>
      </c>
      <c r="C404" s="11">
        <v>51.0</v>
      </c>
      <c r="D404" s="11">
        <v>0.0</v>
      </c>
      <c r="E404" s="34">
        <v>130.7351</v>
      </c>
      <c r="F404" s="11">
        <v>0.0</v>
      </c>
      <c r="G404" s="36">
        <v>36.02827</v>
      </c>
      <c r="H404" s="3"/>
      <c r="I404" s="13">
        <v>0.0</v>
      </c>
      <c r="J404" s="3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6.0" customHeight="1">
      <c r="A405" s="35" t="s">
        <v>813</v>
      </c>
      <c r="B405" s="1" t="s">
        <v>814</v>
      </c>
      <c r="C405" s="11">
        <v>31.0</v>
      </c>
      <c r="D405" s="11">
        <v>0.0</v>
      </c>
      <c r="E405" s="49">
        <v>60.12992</v>
      </c>
      <c r="F405" s="11">
        <v>0.0</v>
      </c>
      <c r="G405" s="36">
        <v>71.38156</v>
      </c>
      <c r="H405" s="3"/>
      <c r="I405" s="13">
        <v>0.0</v>
      </c>
      <c r="J405" s="3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8.5" customHeight="1">
      <c r="A406" s="35" t="s">
        <v>815</v>
      </c>
      <c r="B406" s="1" t="s">
        <v>816</v>
      </c>
      <c r="C406" s="5">
        <v>79.0</v>
      </c>
      <c r="D406" s="5">
        <v>0.0</v>
      </c>
      <c r="E406" s="48">
        <v>74.25095</v>
      </c>
      <c r="F406" s="5">
        <v>0.0</v>
      </c>
      <c r="G406" s="43">
        <v>83.26869</v>
      </c>
      <c r="H406" s="3"/>
      <c r="I406" s="14">
        <v>0.0</v>
      </c>
      <c r="J406" s="3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8.5" customHeight="1">
      <c r="A407" s="35" t="s">
        <v>817</v>
      </c>
      <c r="B407" s="1" t="s">
        <v>818</v>
      </c>
      <c r="C407" s="5">
        <v>25.0</v>
      </c>
      <c r="D407" s="5">
        <v>0.0</v>
      </c>
      <c r="E407" s="48">
        <v>23.10714</v>
      </c>
      <c r="F407" s="5">
        <v>0.0</v>
      </c>
      <c r="G407" s="43">
        <v>26.48157</v>
      </c>
      <c r="H407" s="3"/>
      <c r="I407" s="14">
        <v>0.0</v>
      </c>
      <c r="J407" s="3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48.0" customHeight="1">
      <c r="A408" s="35" t="s">
        <v>819</v>
      </c>
      <c r="B408" s="1" t="s">
        <v>820</v>
      </c>
      <c r="C408" s="5">
        <v>75.0</v>
      </c>
      <c r="D408" s="5">
        <v>0.0</v>
      </c>
      <c r="E408" s="15">
        <v>25.88</v>
      </c>
      <c r="F408" s="5">
        <v>0.0</v>
      </c>
      <c r="G408" s="43">
        <v>28.39746</v>
      </c>
      <c r="H408" s="3"/>
      <c r="I408" s="14">
        <v>0.0</v>
      </c>
      <c r="J408" s="3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8.5" customHeight="1">
      <c r="A409" s="35" t="s">
        <v>821</v>
      </c>
      <c r="B409" s="1" t="s">
        <v>822</v>
      </c>
      <c r="C409" s="5">
        <v>81.0</v>
      </c>
      <c r="D409" s="5">
        <v>0.0</v>
      </c>
      <c r="E409" s="48">
        <v>33.37698</v>
      </c>
      <c r="F409" s="5">
        <v>0.0</v>
      </c>
      <c r="G409" s="43">
        <v>38.25451</v>
      </c>
      <c r="H409" s="3"/>
      <c r="I409" s="14">
        <v>0.0</v>
      </c>
      <c r="J409" s="3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48.0" customHeight="1">
      <c r="A410" s="35" t="s">
        <v>823</v>
      </c>
      <c r="B410" s="1" t="s">
        <v>824</v>
      </c>
      <c r="C410" s="5">
        <v>137.0</v>
      </c>
      <c r="D410" s="5">
        <v>0.0</v>
      </c>
      <c r="E410" s="48">
        <v>56.38143</v>
      </c>
      <c r="F410" s="5">
        <v>0.0</v>
      </c>
      <c r="G410" s="43">
        <v>56.95396</v>
      </c>
      <c r="H410" s="3"/>
      <c r="I410" s="14">
        <v>0.0</v>
      </c>
      <c r="J410" s="3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6.0" customHeight="1">
      <c r="A411" s="35" t="s">
        <v>825</v>
      </c>
      <c r="B411" s="1" t="s">
        <v>826</v>
      </c>
      <c r="C411" s="11">
        <v>165.0</v>
      </c>
      <c r="D411" s="11">
        <v>0.0</v>
      </c>
      <c r="E411" s="34">
        <v>133.6376</v>
      </c>
      <c r="F411" s="11">
        <v>0.0</v>
      </c>
      <c r="G411" s="36">
        <v>93.90538</v>
      </c>
      <c r="H411" s="3"/>
      <c r="I411" s="13">
        <v>0.0</v>
      </c>
      <c r="J411" s="3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6.0" customHeight="1">
      <c r="A412" s="35" t="s">
        <v>827</v>
      </c>
      <c r="B412" s="1" t="s">
        <v>828</v>
      </c>
      <c r="C412" s="11">
        <v>9.0</v>
      </c>
      <c r="D412" s="11">
        <v>0.0</v>
      </c>
      <c r="E412" s="49">
        <v>13.85371</v>
      </c>
      <c r="F412" s="11">
        <v>0.0</v>
      </c>
      <c r="G412" s="36">
        <v>11.90412</v>
      </c>
      <c r="H412" s="3"/>
      <c r="I412" s="13">
        <v>0.0</v>
      </c>
      <c r="J412" s="3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8.5" customHeight="1">
      <c r="A413" s="35" t="s">
        <v>829</v>
      </c>
      <c r="B413" s="1" t="s">
        <v>830</v>
      </c>
      <c r="C413" s="5">
        <v>618.0</v>
      </c>
      <c r="D413" s="5">
        <v>0.0</v>
      </c>
      <c r="E413" s="50">
        <v>393.4234</v>
      </c>
      <c r="F413" s="5">
        <v>0.0</v>
      </c>
      <c r="G413" s="40">
        <v>406.1203</v>
      </c>
      <c r="H413" s="3"/>
      <c r="I413" s="14">
        <v>0.0</v>
      </c>
      <c r="J413" s="3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8.5" customHeight="1">
      <c r="A414" s="35" t="s">
        <v>831</v>
      </c>
      <c r="B414" s="1" t="s">
        <v>832</v>
      </c>
      <c r="C414" s="5">
        <v>45.0</v>
      </c>
      <c r="D414" s="5">
        <v>0.0</v>
      </c>
      <c r="E414" s="50">
        <v>21.6253</v>
      </c>
      <c r="F414" s="5">
        <v>0.0</v>
      </c>
      <c r="G414" s="43">
        <v>34.18218</v>
      </c>
      <c r="H414" s="3"/>
      <c r="I414" s="14">
        <v>0.0</v>
      </c>
      <c r="J414" s="3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48.0" customHeight="1">
      <c r="A415" s="35" t="s">
        <v>833</v>
      </c>
      <c r="B415" s="1" t="s">
        <v>834</v>
      </c>
      <c r="C415" s="5">
        <v>358.0</v>
      </c>
      <c r="D415" s="5">
        <v>0.0</v>
      </c>
      <c r="E415" s="50">
        <v>200.7943</v>
      </c>
      <c r="F415" s="5">
        <v>0.0</v>
      </c>
      <c r="G415" s="39">
        <v>170.293</v>
      </c>
      <c r="H415" s="3"/>
      <c r="I415" s="14">
        <v>0.0</v>
      </c>
      <c r="J415" s="3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8.5" customHeight="1">
      <c r="A416" s="35" t="s">
        <v>835</v>
      </c>
      <c r="B416" s="1" t="s">
        <v>836</v>
      </c>
      <c r="C416" s="5">
        <v>127.0</v>
      </c>
      <c r="D416" s="5">
        <v>0.0</v>
      </c>
      <c r="E416" s="48">
        <v>52.20484</v>
      </c>
      <c r="F416" s="5">
        <v>0.0</v>
      </c>
      <c r="G416" s="43">
        <v>68.98368</v>
      </c>
      <c r="H416" s="3"/>
      <c r="I416" s="14">
        <v>0.0</v>
      </c>
      <c r="J416" s="3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48.0" customHeight="1">
      <c r="A417" s="35" t="s">
        <v>837</v>
      </c>
      <c r="B417" s="1" t="s">
        <v>838</v>
      </c>
      <c r="C417" s="5">
        <v>338.0</v>
      </c>
      <c r="D417" s="5">
        <v>0.0</v>
      </c>
      <c r="E417" s="50">
        <v>163.5414</v>
      </c>
      <c r="F417" s="5">
        <v>0.0</v>
      </c>
      <c r="G417" s="40">
        <v>164.9855</v>
      </c>
      <c r="H417" s="3"/>
      <c r="I417" s="14">
        <v>0.0</v>
      </c>
      <c r="J417" s="3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48.0" customHeight="1">
      <c r="A418" s="35" t="s">
        <v>839</v>
      </c>
      <c r="B418" s="1" t="s">
        <v>840</v>
      </c>
      <c r="C418" s="5">
        <v>122.0</v>
      </c>
      <c r="D418" s="5">
        <v>0.0</v>
      </c>
      <c r="E418" s="50">
        <v>79.6589</v>
      </c>
      <c r="F418" s="5">
        <v>0.0</v>
      </c>
      <c r="G418" s="9">
        <v>67.9349</v>
      </c>
      <c r="H418" s="3"/>
      <c r="I418" s="14">
        <v>0.0</v>
      </c>
      <c r="J418" s="3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48.0" customHeight="1">
      <c r="A419" s="35" t="s">
        <v>841</v>
      </c>
      <c r="B419" s="1" t="s">
        <v>842</v>
      </c>
      <c r="C419" s="5">
        <v>15.0</v>
      </c>
      <c r="D419" s="5">
        <v>0.0</v>
      </c>
      <c r="E419" s="6">
        <v>6.874993</v>
      </c>
      <c r="F419" s="5">
        <v>0.0</v>
      </c>
      <c r="G419" s="19">
        <v>27.03949</v>
      </c>
      <c r="H419" s="3"/>
      <c r="I419" s="14">
        <v>0.0</v>
      </c>
      <c r="J419" s="3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6.0" customHeight="1">
      <c r="A420" s="35" t="s">
        <v>843</v>
      </c>
      <c r="B420" s="1" t="s">
        <v>844</v>
      </c>
      <c r="C420" s="11">
        <v>5.0</v>
      </c>
      <c r="D420" s="11">
        <v>0.0</v>
      </c>
      <c r="E420" s="29">
        <v>2.568253</v>
      </c>
      <c r="F420" s="11">
        <v>0.0</v>
      </c>
      <c r="G420" s="23">
        <v>2.094606</v>
      </c>
      <c r="H420" s="3"/>
      <c r="I420" s="13">
        <v>0.0</v>
      </c>
      <c r="J420" s="3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6.0" customHeight="1">
      <c r="A421" s="35" t="s">
        <v>845</v>
      </c>
      <c r="B421" s="1" t="s">
        <v>846</v>
      </c>
      <c r="C421" s="26">
        <v>0.05</v>
      </c>
      <c r="D421" s="11">
        <v>0.0</v>
      </c>
      <c r="E421" s="29">
        <v>0.047853</v>
      </c>
      <c r="F421" s="11">
        <v>0.0</v>
      </c>
      <c r="G421" s="23">
        <v>0.067766</v>
      </c>
      <c r="H421" s="3"/>
      <c r="I421" s="13">
        <v>0.0</v>
      </c>
      <c r="J421" s="3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48.0" customHeight="1">
      <c r="A422" s="35" t="s">
        <v>847</v>
      </c>
      <c r="B422" s="1" t="s">
        <v>848</v>
      </c>
      <c r="C422" s="5">
        <v>347.0</v>
      </c>
      <c r="D422" s="5">
        <v>0.0</v>
      </c>
      <c r="E422" s="50">
        <v>216.7508</v>
      </c>
      <c r="F422" s="5">
        <v>0.0</v>
      </c>
      <c r="G422" s="9">
        <v>164.2936</v>
      </c>
      <c r="H422" s="3"/>
      <c r="I422" s="14">
        <v>0.0</v>
      </c>
      <c r="J422" s="3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48.0" customHeight="1">
      <c r="A423" s="35" t="s">
        <v>849</v>
      </c>
      <c r="B423" s="1" t="s">
        <v>850</v>
      </c>
      <c r="C423" s="5">
        <v>48.0</v>
      </c>
      <c r="D423" s="5">
        <v>0.0</v>
      </c>
      <c r="E423" s="48">
        <v>18.85603</v>
      </c>
      <c r="F423" s="5">
        <v>0.0</v>
      </c>
      <c r="G423" s="19">
        <v>44.82715</v>
      </c>
      <c r="H423" s="3"/>
      <c r="I423" s="14">
        <v>0.0</v>
      </c>
      <c r="J423" s="3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6.0" customHeight="1">
      <c r="A424" s="35" t="s">
        <v>851</v>
      </c>
      <c r="B424" s="1" t="s">
        <v>852</v>
      </c>
      <c r="C424" s="11">
        <v>65.0</v>
      </c>
      <c r="D424" s="11">
        <v>0.0</v>
      </c>
      <c r="E424" s="49">
        <v>48.18796</v>
      </c>
      <c r="F424" s="11">
        <v>0.0</v>
      </c>
      <c r="G424" s="22">
        <v>41.06444</v>
      </c>
      <c r="H424" s="3"/>
      <c r="I424" s="13">
        <v>0.0</v>
      </c>
      <c r="J424" s="3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48.0" customHeight="1">
      <c r="A425" s="35" t="s">
        <v>853</v>
      </c>
      <c r="B425" s="1" t="s">
        <v>854</v>
      </c>
      <c r="C425" s="5">
        <v>4.0</v>
      </c>
      <c r="D425" s="5">
        <v>0.0</v>
      </c>
      <c r="E425" s="6">
        <v>3.802088</v>
      </c>
      <c r="F425" s="5">
        <v>0.0</v>
      </c>
      <c r="G425" s="20">
        <v>4.938909</v>
      </c>
      <c r="H425" s="3"/>
      <c r="I425" s="14">
        <v>0.0</v>
      </c>
      <c r="J425" s="3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6.0" customHeight="1">
      <c r="A426" s="35" t="s">
        <v>855</v>
      </c>
      <c r="B426" s="1" t="s">
        <v>856</v>
      </c>
      <c r="C426" s="11">
        <v>0.0</v>
      </c>
      <c r="D426" s="11">
        <v>0.0</v>
      </c>
      <c r="E426" s="11">
        <v>0.0</v>
      </c>
      <c r="F426" s="11">
        <v>0.0</v>
      </c>
      <c r="G426" s="13">
        <v>0.0</v>
      </c>
      <c r="H426" s="3"/>
      <c r="I426" s="13">
        <v>0.0</v>
      </c>
      <c r="J426" s="3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48.0" customHeight="1">
      <c r="A427" s="35" t="s">
        <v>857</v>
      </c>
      <c r="B427" s="1" t="s">
        <v>858</v>
      </c>
      <c r="C427" s="5">
        <v>0.0</v>
      </c>
      <c r="D427" s="5">
        <v>0.0</v>
      </c>
      <c r="E427" s="5">
        <v>0.0</v>
      </c>
      <c r="F427" s="5">
        <v>0.0</v>
      </c>
      <c r="G427" s="14">
        <v>0.0</v>
      </c>
      <c r="H427" s="3"/>
      <c r="I427" s="14">
        <v>0.0</v>
      </c>
      <c r="J427" s="3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8.5" customHeight="1">
      <c r="A428" s="35" t="s">
        <v>859</v>
      </c>
      <c r="B428" s="1" t="s">
        <v>860</v>
      </c>
      <c r="C428" s="5">
        <v>0.0</v>
      </c>
      <c r="D428" s="5">
        <v>0.0</v>
      </c>
      <c r="E428" s="5">
        <v>0.0</v>
      </c>
      <c r="F428" s="5">
        <v>0.0</v>
      </c>
      <c r="G428" s="14">
        <v>0.0</v>
      </c>
      <c r="H428" s="3"/>
      <c r="I428" s="14">
        <v>0.0</v>
      </c>
      <c r="J428" s="3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6.0" customHeight="1">
      <c r="A429" s="35" t="s">
        <v>861</v>
      </c>
      <c r="B429" s="1" t="s">
        <v>862</v>
      </c>
      <c r="C429" s="11">
        <v>0.0</v>
      </c>
      <c r="D429" s="11">
        <v>0.0</v>
      </c>
      <c r="E429" s="11">
        <v>0.0</v>
      </c>
      <c r="F429" s="11">
        <v>0.0</v>
      </c>
      <c r="G429" s="13">
        <v>0.0</v>
      </c>
      <c r="H429" s="3"/>
      <c r="I429" s="13">
        <v>0.0</v>
      </c>
      <c r="J429" s="3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60.0" customHeight="1">
      <c r="A430" s="35" t="s">
        <v>863</v>
      </c>
      <c r="B430" s="1" t="s">
        <v>864</v>
      </c>
      <c r="C430" s="11">
        <v>0.0</v>
      </c>
      <c r="D430" s="11">
        <v>0.0</v>
      </c>
      <c r="E430" s="11">
        <v>0.0</v>
      </c>
      <c r="F430" s="11">
        <v>0.0</v>
      </c>
      <c r="G430" s="13">
        <v>0.0</v>
      </c>
      <c r="H430" s="3"/>
      <c r="I430" s="13">
        <v>0.0</v>
      </c>
      <c r="J430" s="3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6.0" customHeight="1">
      <c r="A431" s="35" t="s">
        <v>865</v>
      </c>
      <c r="B431" s="1" t="s">
        <v>866</v>
      </c>
      <c r="C431" s="11">
        <v>0.0</v>
      </c>
      <c r="D431" s="11">
        <v>0.0</v>
      </c>
      <c r="E431" s="11">
        <v>0.0</v>
      </c>
      <c r="F431" s="11">
        <v>0.0</v>
      </c>
      <c r="G431" s="13">
        <v>0.0</v>
      </c>
      <c r="H431" s="3"/>
      <c r="I431" s="13">
        <v>0.0</v>
      </c>
      <c r="J431" s="3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6.0" customHeight="1">
      <c r="A432" s="35" t="s">
        <v>867</v>
      </c>
      <c r="B432" s="1" t="s">
        <v>868</v>
      </c>
      <c r="C432" s="11">
        <v>0.0</v>
      </c>
      <c r="D432" s="11">
        <v>0.0</v>
      </c>
      <c r="E432" s="11">
        <v>0.0</v>
      </c>
      <c r="F432" s="11">
        <v>0.0</v>
      </c>
      <c r="G432" s="13">
        <v>0.0</v>
      </c>
      <c r="H432" s="3"/>
      <c r="I432" s="13">
        <v>0.0</v>
      </c>
      <c r="J432" s="3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48.0" customHeight="1">
      <c r="A433" s="35" t="s">
        <v>869</v>
      </c>
      <c r="B433" s="1" t="s">
        <v>870</v>
      </c>
      <c r="C433" s="5">
        <v>0.0</v>
      </c>
      <c r="D433" s="5">
        <v>0.0</v>
      </c>
      <c r="E433" s="5">
        <v>0.0</v>
      </c>
      <c r="F433" s="5">
        <v>0.0</v>
      </c>
      <c r="G433" s="14">
        <v>0.0</v>
      </c>
      <c r="H433" s="3"/>
      <c r="I433" s="14">
        <v>0.0</v>
      </c>
      <c r="J433" s="3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8.5" customHeight="1">
      <c r="A434" s="35" t="s">
        <v>871</v>
      </c>
      <c r="B434" s="1" t="s">
        <v>872</v>
      </c>
      <c r="C434" s="5">
        <v>0.0</v>
      </c>
      <c r="D434" s="5">
        <v>0.0</v>
      </c>
      <c r="E434" s="5">
        <v>0.0</v>
      </c>
      <c r="F434" s="5">
        <v>0.0</v>
      </c>
      <c r="G434" s="14">
        <v>0.0</v>
      </c>
      <c r="H434" s="3"/>
      <c r="I434" s="14">
        <v>0.0</v>
      </c>
      <c r="J434" s="3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6.0" customHeight="1">
      <c r="A435" s="35" t="s">
        <v>873</v>
      </c>
      <c r="B435" s="1" t="s">
        <v>874</v>
      </c>
      <c r="C435" s="11">
        <v>0.0</v>
      </c>
      <c r="D435" s="11">
        <v>0.0</v>
      </c>
      <c r="E435" s="11">
        <v>0.0</v>
      </c>
      <c r="F435" s="11">
        <v>0.0</v>
      </c>
      <c r="G435" s="13">
        <v>0.0</v>
      </c>
      <c r="H435" s="3"/>
      <c r="I435" s="13">
        <v>0.0</v>
      </c>
      <c r="J435" s="3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60.0" customHeight="1">
      <c r="A436" s="35" t="s">
        <v>875</v>
      </c>
      <c r="B436" s="1" t="s">
        <v>876</v>
      </c>
      <c r="C436" s="11">
        <v>0.0</v>
      </c>
      <c r="D436" s="11">
        <v>0.0</v>
      </c>
      <c r="E436" s="11">
        <v>0.0</v>
      </c>
      <c r="F436" s="11">
        <v>0.0</v>
      </c>
      <c r="G436" s="13">
        <v>0.0</v>
      </c>
      <c r="H436" s="3"/>
      <c r="I436" s="13">
        <v>0.0</v>
      </c>
      <c r="J436" s="3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6.0" customHeight="1">
      <c r="A437" s="35" t="s">
        <v>877</v>
      </c>
      <c r="B437" s="1" t="s">
        <v>878</v>
      </c>
      <c r="C437" s="11">
        <v>0.0</v>
      </c>
      <c r="D437" s="11">
        <v>0.0</v>
      </c>
      <c r="E437" s="11">
        <v>0.0</v>
      </c>
      <c r="F437" s="11">
        <v>0.0</v>
      </c>
      <c r="G437" s="13">
        <v>0.0</v>
      </c>
      <c r="H437" s="3"/>
      <c r="I437" s="13">
        <v>0.0</v>
      </c>
      <c r="J437" s="3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52" t="s">
        <v>879</v>
      </c>
      <c r="B438" s="53"/>
      <c r="C438" s="53"/>
      <c r="D438" s="53"/>
      <c r="E438" s="53"/>
      <c r="F438" s="53"/>
      <c r="G438" s="53"/>
      <c r="H438" s="53"/>
      <c r="I438" s="53"/>
      <c r="J438" s="3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6.0" customHeight="1">
      <c r="A439" s="35" t="s">
        <v>880</v>
      </c>
      <c r="B439" s="1" t="s">
        <v>881</v>
      </c>
      <c r="C439" s="33">
        <v>0.9</v>
      </c>
      <c r="D439" s="11">
        <v>0.0</v>
      </c>
      <c r="E439" s="49">
        <v>0.87937</v>
      </c>
      <c r="F439" s="29">
        <v>1.31E-4</v>
      </c>
      <c r="G439" s="23">
        <v>0.928392</v>
      </c>
      <c r="H439" s="3"/>
      <c r="I439" s="23">
        <v>2.49E-4</v>
      </c>
      <c r="J439" s="3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6.0" customHeight="1">
      <c r="A440" s="35" t="s">
        <v>882</v>
      </c>
      <c r="B440" s="1" t="s">
        <v>883</v>
      </c>
      <c r="C440" s="49">
        <v>0.89995</v>
      </c>
      <c r="D440" s="27">
        <v>6.81E-10</v>
      </c>
      <c r="E440" s="49">
        <v>0.87937</v>
      </c>
      <c r="F440" s="29">
        <v>1.31E-4</v>
      </c>
      <c r="G440" s="22">
        <v>0.93163</v>
      </c>
      <c r="H440" s="3"/>
      <c r="I440" s="23">
        <v>3.09E-4</v>
      </c>
      <c r="J440" s="3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8.5" customHeight="1">
      <c r="A441" s="35" t="s">
        <v>884</v>
      </c>
      <c r="B441" s="1" t="s">
        <v>885</v>
      </c>
      <c r="C441" s="44">
        <v>0.8</v>
      </c>
      <c r="D441" s="5">
        <v>0.0</v>
      </c>
      <c r="E441" s="48">
        <v>0.87937</v>
      </c>
      <c r="F441" s="5">
        <v>0.0</v>
      </c>
      <c r="G441" s="20">
        <v>0.849975</v>
      </c>
      <c r="H441" s="3"/>
      <c r="I441" s="14">
        <v>0.0</v>
      </c>
      <c r="J441" s="3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8.5" customHeight="1">
      <c r="A442" s="35" t="s">
        <v>886</v>
      </c>
      <c r="B442" s="1" t="s">
        <v>887</v>
      </c>
      <c r="C442" s="48">
        <v>0.80114</v>
      </c>
      <c r="D442" s="7">
        <v>5.04E-7</v>
      </c>
      <c r="E442" s="48">
        <v>0.87937</v>
      </c>
      <c r="F442" s="6">
        <v>0.002461</v>
      </c>
      <c r="G442" s="20">
        <v>0.849938</v>
      </c>
      <c r="H442" s="3"/>
      <c r="I442" s="20">
        <v>9.74E-4</v>
      </c>
      <c r="J442" s="3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6.0" customHeight="1">
      <c r="A443" s="35" t="s">
        <v>888</v>
      </c>
      <c r="B443" s="1" t="s">
        <v>889</v>
      </c>
      <c r="C443" s="33">
        <v>0.8</v>
      </c>
      <c r="D443" s="11">
        <v>0.0</v>
      </c>
      <c r="E443" s="49">
        <v>0.87937</v>
      </c>
      <c r="F443" s="29">
        <v>0.002461</v>
      </c>
      <c r="G443" s="23">
        <v>0.849968</v>
      </c>
      <c r="H443" s="3"/>
      <c r="I443" s="23">
        <v>9.75E-4</v>
      </c>
      <c r="J443" s="3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8.5" customHeight="1">
      <c r="A444" s="35" t="s">
        <v>890</v>
      </c>
      <c r="B444" s="1" t="s">
        <v>891</v>
      </c>
      <c r="C444" s="44">
        <v>0.8</v>
      </c>
      <c r="D444" s="5">
        <v>0.0</v>
      </c>
      <c r="E444" s="48">
        <v>0.87937</v>
      </c>
      <c r="F444" s="6">
        <v>0.002461</v>
      </c>
      <c r="G444" s="20">
        <v>0.824508</v>
      </c>
      <c r="H444" s="3"/>
      <c r="I444" s="20">
        <v>2.35E-4</v>
      </c>
      <c r="J444" s="3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48.0" customHeight="1">
      <c r="A445" s="35" t="s">
        <v>892</v>
      </c>
      <c r="B445" s="1" t="s">
        <v>893</v>
      </c>
      <c r="C445" s="48">
        <v>0.80263</v>
      </c>
      <c r="D445" s="7">
        <v>2.71E-6</v>
      </c>
      <c r="E445" s="48">
        <v>0.87937</v>
      </c>
      <c r="F445" s="6">
        <v>0.002461</v>
      </c>
      <c r="G445" s="20">
        <v>0.844253</v>
      </c>
      <c r="H445" s="3"/>
      <c r="I445" s="20">
        <v>7.65E-4</v>
      </c>
      <c r="J445" s="3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8.5" customHeight="1">
      <c r="A446" s="35" t="s">
        <v>894</v>
      </c>
      <c r="B446" s="1" t="s">
        <v>895</v>
      </c>
      <c r="C446" s="48">
        <v>0.59996</v>
      </c>
      <c r="D446" s="54">
        <v>1.1E-9</v>
      </c>
      <c r="E446" s="48">
        <v>0.70869</v>
      </c>
      <c r="F446" s="6">
        <v>0.008204</v>
      </c>
      <c r="G446" s="20">
        <v>0.646498</v>
      </c>
      <c r="H446" s="3"/>
      <c r="I446" s="20">
        <v>0.001501</v>
      </c>
      <c r="J446" s="3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8.5" customHeight="1">
      <c r="A447" s="35" t="s">
        <v>896</v>
      </c>
      <c r="B447" s="1" t="s">
        <v>897</v>
      </c>
      <c r="C447" s="48">
        <v>0.59981</v>
      </c>
      <c r="D447" s="7">
        <v>2.61E-8</v>
      </c>
      <c r="E447" s="48">
        <v>0.70869</v>
      </c>
      <c r="F447" s="6">
        <v>0.008204</v>
      </c>
      <c r="G447" s="19">
        <v>0.64621</v>
      </c>
      <c r="H447" s="3"/>
      <c r="I447" s="20">
        <v>0.001483</v>
      </c>
      <c r="J447" s="3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6.0" customHeight="1">
      <c r="A448" s="35" t="s">
        <v>898</v>
      </c>
      <c r="B448" s="1" t="s">
        <v>899</v>
      </c>
      <c r="C448" s="33">
        <v>0.6</v>
      </c>
      <c r="D448" s="11">
        <v>0.0</v>
      </c>
      <c r="E448" s="49">
        <v>0.70869</v>
      </c>
      <c r="F448" s="11">
        <v>0.0</v>
      </c>
      <c r="G448" s="37">
        <v>0.679695</v>
      </c>
      <c r="H448" s="3"/>
      <c r="I448" s="13">
        <v>0.0</v>
      </c>
      <c r="J448" s="3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48.0" customHeight="1">
      <c r="A449" s="35" t="s">
        <v>900</v>
      </c>
      <c r="B449" s="1" t="s">
        <v>901</v>
      </c>
      <c r="C449" s="48">
        <v>0.80005</v>
      </c>
      <c r="D449" s="7">
        <v>8.25E-10</v>
      </c>
      <c r="E449" s="48">
        <v>0.70869</v>
      </c>
      <c r="F449" s="6">
        <v>0.003257</v>
      </c>
      <c r="G449" s="41">
        <v>0.847855</v>
      </c>
      <c r="H449" s="3"/>
      <c r="I449" s="20">
        <v>8.95E-4</v>
      </c>
      <c r="J449" s="3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6.0" customHeight="1">
      <c r="A450" s="35" t="s">
        <v>902</v>
      </c>
      <c r="B450" s="1" t="s">
        <v>903</v>
      </c>
      <c r="C450" s="49">
        <v>0.70005</v>
      </c>
      <c r="D450" s="27">
        <v>1.11E-9</v>
      </c>
      <c r="E450" s="49">
        <v>0.70869</v>
      </c>
      <c r="F450" s="27">
        <v>3.85E-5</v>
      </c>
      <c r="G450" s="37">
        <v>0.740636</v>
      </c>
      <c r="H450" s="3"/>
      <c r="I450" s="23">
        <v>8.42E-4</v>
      </c>
      <c r="J450" s="3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6.0" customHeight="1">
      <c r="A451" s="35" t="s">
        <v>904</v>
      </c>
      <c r="B451" s="1" t="s">
        <v>905</v>
      </c>
      <c r="C451" s="49">
        <v>0.90018</v>
      </c>
      <c r="D451" s="27">
        <v>9.98E-9</v>
      </c>
      <c r="E451" s="29">
        <v>0.701614</v>
      </c>
      <c r="F451" s="29">
        <v>0.012147</v>
      </c>
      <c r="G451" s="37">
        <v>0.935788</v>
      </c>
      <c r="H451" s="3"/>
      <c r="I451" s="23">
        <v>3.95E-4</v>
      </c>
      <c r="J451" s="3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6.0" customHeight="1">
      <c r="A452" s="35" t="s">
        <v>906</v>
      </c>
      <c r="B452" s="1" t="s">
        <v>907</v>
      </c>
      <c r="C452" s="49">
        <v>0.89899</v>
      </c>
      <c r="D452" s="27">
        <v>3.15E-7</v>
      </c>
      <c r="E452" s="29">
        <v>0.701614</v>
      </c>
      <c r="F452" s="29">
        <v>0.012147</v>
      </c>
      <c r="G452" s="37">
        <v>0.943132</v>
      </c>
      <c r="H452" s="3"/>
      <c r="I452" s="23">
        <v>5.74E-4</v>
      </c>
      <c r="J452" s="3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8.5" customHeight="1">
      <c r="A453" s="35" t="s">
        <v>908</v>
      </c>
      <c r="B453" s="1" t="s">
        <v>909</v>
      </c>
      <c r="C453" s="48">
        <v>0.59996</v>
      </c>
      <c r="D453" s="7">
        <v>9.84E-10</v>
      </c>
      <c r="E453" s="6">
        <v>0.701614</v>
      </c>
      <c r="F453" s="48">
        <v>0.00717</v>
      </c>
      <c r="G453" s="41">
        <v>0.649987</v>
      </c>
      <c r="H453" s="3"/>
      <c r="I453" s="20">
        <v>0.001735</v>
      </c>
      <c r="J453" s="3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8.5" customHeight="1">
      <c r="A454" s="35" t="s">
        <v>910</v>
      </c>
      <c r="B454" s="1" t="s">
        <v>911</v>
      </c>
      <c r="C454" s="50">
        <v>0.5988</v>
      </c>
      <c r="D454" s="5">
        <v>0.0</v>
      </c>
      <c r="E454" s="6">
        <v>0.701614</v>
      </c>
      <c r="F454" s="5">
        <v>0.0</v>
      </c>
      <c r="G454" s="41">
        <v>0.642952</v>
      </c>
      <c r="H454" s="3"/>
      <c r="I454" s="14">
        <v>0.0</v>
      </c>
      <c r="J454" s="3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60.0" customHeight="1">
      <c r="A455" s="35" t="s">
        <v>912</v>
      </c>
      <c r="B455" s="1" t="s">
        <v>913</v>
      </c>
      <c r="C455" s="33">
        <v>0.8</v>
      </c>
      <c r="D455" s="11">
        <v>0.0</v>
      </c>
      <c r="E455" s="29">
        <v>0.719755</v>
      </c>
      <c r="F455" s="29">
        <v>0.002515</v>
      </c>
      <c r="G455" s="37">
        <v>0.765138</v>
      </c>
      <c r="H455" s="3"/>
      <c r="I455" s="23">
        <v>4.75E-4</v>
      </c>
      <c r="J455" s="3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48.0" customHeight="1">
      <c r="A456" s="35" t="s">
        <v>914</v>
      </c>
      <c r="B456" s="1" t="s">
        <v>915</v>
      </c>
      <c r="C456" s="44">
        <v>0.7</v>
      </c>
      <c r="D456" s="5">
        <v>0.0</v>
      </c>
      <c r="E456" s="6">
        <v>0.719755</v>
      </c>
      <c r="F456" s="6">
        <v>1.99E-4</v>
      </c>
      <c r="G456" s="41">
        <v>0.741688</v>
      </c>
      <c r="H456" s="3"/>
      <c r="I456" s="20">
        <v>8.87E-4</v>
      </c>
      <c r="J456" s="3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48.0" customHeight="1">
      <c r="A457" s="35" t="s">
        <v>916</v>
      </c>
      <c r="B457" s="1" t="s">
        <v>917</v>
      </c>
      <c r="C457" s="15">
        <v>0.95</v>
      </c>
      <c r="D457" s="5">
        <v>0.0</v>
      </c>
      <c r="E457" s="48">
        <v>0.95308</v>
      </c>
      <c r="F457" s="7">
        <v>2.63E-6</v>
      </c>
      <c r="G457" s="41">
        <v>0.950903</v>
      </c>
      <c r="H457" s="3"/>
      <c r="I457" s="21">
        <v>2.26E-7</v>
      </c>
      <c r="J457" s="3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48.0" customHeight="1">
      <c r="A458" s="35" t="s">
        <v>918</v>
      </c>
      <c r="B458" s="1" t="s">
        <v>919</v>
      </c>
      <c r="C458" s="48">
        <v>0.94981</v>
      </c>
      <c r="D458" s="7">
        <v>1.03E-8</v>
      </c>
      <c r="E458" s="48">
        <v>0.95308</v>
      </c>
      <c r="F458" s="7">
        <v>2.63E-6</v>
      </c>
      <c r="G458" s="43">
        <v>0.94781</v>
      </c>
      <c r="H458" s="3"/>
      <c r="I458" s="21">
        <v>1.33E-6</v>
      </c>
      <c r="J458" s="3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6.0" customHeight="1">
      <c r="A459" s="35" t="s">
        <v>920</v>
      </c>
      <c r="B459" s="1" t="s">
        <v>921</v>
      </c>
      <c r="C459" s="49">
        <v>0.94987</v>
      </c>
      <c r="D459" s="55">
        <v>4.5E-9</v>
      </c>
      <c r="E459" s="49">
        <v>0.95308</v>
      </c>
      <c r="F459" s="27">
        <v>2.63E-6</v>
      </c>
      <c r="G459" s="37">
        <v>0.962059</v>
      </c>
      <c r="H459" s="3"/>
      <c r="I459" s="28">
        <v>4.03E-5</v>
      </c>
      <c r="J459" s="3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6.0" customHeight="1">
      <c r="A460" s="35" t="s">
        <v>922</v>
      </c>
      <c r="B460" s="1" t="s">
        <v>923</v>
      </c>
      <c r="C460" s="49">
        <v>0.95302</v>
      </c>
      <c r="D460" s="27">
        <v>2.53E-6</v>
      </c>
      <c r="E460" s="49">
        <v>0.95308</v>
      </c>
      <c r="F460" s="27">
        <v>2.63E-6</v>
      </c>
      <c r="G460" s="37">
        <v>0.953693</v>
      </c>
      <c r="H460" s="3"/>
      <c r="I460" s="28">
        <v>3.78E-6</v>
      </c>
      <c r="J460" s="3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48.0" customHeight="1">
      <c r="A461" s="35" t="s">
        <v>924</v>
      </c>
      <c r="B461" s="1" t="s">
        <v>925</v>
      </c>
      <c r="C461" s="48">
        <v>0.95046</v>
      </c>
      <c r="D461" s="7">
        <v>5.97E-8</v>
      </c>
      <c r="E461" s="48">
        <v>0.95308</v>
      </c>
      <c r="F461" s="7">
        <v>2.63E-6</v>
      </c>
      <c r="G461" s="41">
        <v>0.943511</v>
      </c>
      <c r="H461" s="3"/>
      <c r="I461" s="21">
        <v>1.17E-5</v>
      </c>
      <c r="J461" s="3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6.0" customHeight="1">
      <c r="A462" s="35" t="s">
        <v>926</v>
      </c>
      <c r="B462" s="1" t="s">
        <v>927</v>
      </c>
      <c r="C462" s="49">
        <v>0.95001</v>
      </c>
      <c r="D462" s="27">
        <v>9.19E-12</v>
      </c>
      <c r="E462" s="49">
        <v>0.95308</v>
      </c>
      <c r="F462" s="27">
        <v>2.63E-6</v>
      </c>
      <c r="G462" s="37">
        <v>0.968054</v>
      </c>
      <c r="H462" s="3"/>
      <c r="I462" s="28">
        <v>9.03E-5</v>
      </c>
      <c r="J462" s="3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6.0" customHeight="1">
      <c r="A463" s="35" t="s">
        <v>928</v>
      </c>
      <c r="B463" s="1" t="s">
        <v>929</v>
      </c>
      <c r="C463" s="49">
        <v>0.89974</v>
      </c>
      <c r="D463" s="27">
        <v>2.04E-8</v>
      </c>
      <c r="E463" s="29">
        <v>0.813125</v>
      </c>
      <c r="F463" s="29">
        <v>0.002329</v>
      </c>
      <c r="G463" s="37">
        <v>0.874824</v>
      </c>
      <c r="H463" s="3"/>
      <c r="I463" s="23">
        <v>1.96E-4</v>
      </c>
      <c r="J463" s="3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6.0" customHeight="1">
      <c r="A464" s="35" t="s">
        <v>930</v>
      </c>
      <c r="B464" s="1" t="s">
        <v>931</v>
      </c>
      <c r="C464" s="49">
        <v>0.94964</v>
      </c>
      <c r="D464" s="27">
        <v>3.58E-8</v>
      </c>
      <c r="E464" s="29">
        <v>0.813125</v>
      </c>
      <c r="F464" s="49">
        <v>0.00519</v>
      </c>
      <c r="G464" s="36">
        <v>0.95139</v>
      </c>
      <c r="H464" s="3"/>
      <c r="I464" s="28">
        <v>5.35E-7</v>
      </c>
      <c r="J464" s="3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8.5" customHeight="1">
      <c r="A465" s="35" t="s">
        <v>932</v>
      </c>
      <c r="B465" s="1" t="s">
        <v>933</v>
      </c>
      <c r="C465" s="48">
        <v>0.79856</v>
      </c>
      <c r="D465" s="5">
        <v>0.0</v>
      </c>
      <c r="E465" s="6">
        <v>0.813125</v>
      </c>
      <c r="F465" s="5">
        <v>0.0</v>
      </c>
      <c r="G465" s="41">
        <v>0.831382</v>
      </c>
      <c r="H465" s="3"/>
      <c r="I465" s="14">
        <v>0.0</v>
      </c>
      <c r="J465" s="3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8.5" customHeight="1">
      <c r="A466" s="35" t="s">
        <v>934</v>
      </c>
      <c r="B466" s="1" t="s">
        <v>935</v>
      </c>
      <c r="C466" s="44">
        <v>0.8</v>
      </c>
      <c r="D466" s="5">
        <v>0.0</v>
      </c>
      <c r="E466" s="6">
        <v>0.813125</v>
      </c>
      <c r="F466" s="5">
        <v>0.0</v>
      </c>
      <c r="G466" s="41">
        <v>0.834895</v>
      </c>
      <c r="H466" s="3"/>
      <c r="I466" s="14">
        <v>0.0</v>
      </c>
      <c r="J466" s="3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6.0" customHeight="1">
      <c r="A467" s="35" t="s">
        <v>936</v>
      </c>
      <c r="B467" s="1" t="s">
        <v>937</v>
      </c>
      <c r="C467" s="49">
        <v>0.80006</v>
      </c>
      <c r="D467" s="27">
        <v>1.41E-9</v>
      </c>
      <c r="E467" s="29">
        <v>0.813125</v>
      </c>
      <c r="F467" s="27">
        <v>6.73E-5</v>
      </c>
      <c r="G467" s="37">
        <v>0.849994</v>
      </c>
      <c r="H467" s="3"/>
      <c r="I467" s="23">
        <v>9.76E-4</v>
      </c>
      <c r="J467" s="3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8.5" customHeight="1">
      <c r="A468" s="35" t="s">
        <v>938</v>
      </c>
      <c r="B468" s="1" t="s">
        <v>939</v>
      </c>
      <c r="C468" s="44">
        <v>0.8</v>
      </c>
      <c r="D468" s="5">
        <v>0.0</v>
      </c>
      <c r="E468" s="6">
        <v>0.813125</v>
      </c>
      <c r="F468" s="7">
        <v>6.73E-5</v>
      </c>
      <c r="G468" s="41">
        <v>0.835599</v>
      </c>
      <c r="H468" s="3"/>
      <c r="I468" s="20">
        <v>4.95E-4</v>
      </c>
      <c r="J468" s="3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48.0" customHeight="1">
      <c r="A469" s="35" t="s">
        <v>940</v>
      </c>
      <c r="B469" s="1" t="s">
        <v>941</v>
      </c>
      <c r="C469" s="48">
        <v>0.74994</v>
      </c>
      <c r="D469" s="7">
        <v>1.46E-9</v>
      </c>
      <c r="E469" s="6">
        <v>0.813125</v>
      </c>
      <c r="F469" s="6">
        <v>0.001771</v>
      </c>
      <c r="G469" s="43">
        <v>0.79998</v>
      </c>
      <c r="H469" s="3"/>
      <c r="I469" s="19">
        <v>0.00111</v>
      </c>
      <c r="J469" s="3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48.0" customHeight="1">
      <c r="A470" s="35" t="s">
        <v>942</v>
      </c>
      <c r="B470" s="1" t="s">
        <v>943</v>
      </c>
      <c r="C470" s="48">
        <v>0.94999</v>
      </c>
      <c r="D470" s="7">
        <v>5.09E-11</v>
      </c>
      <c r="E470" s="6">
        <v>0.952906</v>
      </c>
      <c r="F470" s="7">
        <v>2.34E-6</v>
      </c>
      <c r="G470" s="41">
        <v>0.968834</v>
      </c>
      <c r="H470" s="3"/>
      <c r="I470" s="21">
        <v>9.83E-5</v>
      </c>
      <c r="J470" s="3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48.0" customHeight="1">
      <c r="A471" s="35" t="s">
        <v>944</v>
      </c>
      <c r="B471" s="1" t="s">
        <v>945</v>
      </c>
      <c r="C471" s="48">
        <v>0.94998</v>
      </c>
      <c r="D471" s="7">
        <v>6.56E-11</v>
      </c>
      <c r="E471" s="6">
        <v>0.952906</v>
      </c>
      <c r="F471" s="7">
        <v>2.34E-6</v>
      </c>
      <c r="G471" s="41">
        <v>0.958056</v>
      </c>
      <c r="H471" s="3"/>
      <c r="I471" s="56">
        <v>1.8E-5</v>
      </c>
      <c r="J471" s="3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6.0" customHeight="1">
      <c r="A472" s="35" t="s">
        <v>946</v>
      </c>
      <c r="B472" s="1" t="s">
        <v>947</v>
      </c>
      <c r="C472" s="49">
        <v>0.95039</v>
      </c>
      <c r="D472" s="27">
        <v>4.19E-8</v>
      </c>
      <c r="E472" s="29">
        <v>0.897302</v>
      </c>
      <c r="F472" s="29">
        <v>7.69E-4</v>
      </c>
      <c r="G472" s="37">
        <v>0.952054</v>
      </c>
      <c r="H472" s="3"/>
      <c r="I472" s="28">
        <v>1.17E-6</v>
      </c>
      <c r="J472" s="3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6.0" customHeight="1">
      <c r="A473" s="35" t="s">
        <v>948</v>
      </c>
      <c r="B473" s="1" t="s">
        <v>949</v>
      </c>
      <c r="C473" s="49">
        <v>0.94992</v>
      </c>
      <c r="D473" s="27">
        <v>1.81E-9</v>
      </c>
      <c r="E473" s="29">
        <v>0.897302</v>
      </c>
      <c r="F473" s="29">
        <v>7.69E-4</v>
      </c>
      <c r="G473" s="37">
        <v>0.925036</v>
      </c>
      <c r="H473" s="3"/>
      <c r="I473" s="23">
        <v>1.73E-4</v>
      </c>
      <c r="J473" s="3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8.5" customHeight="1">
      <c r="A474" s="35" t="s">
        <v>950</v>
      </c>
      <c r="B474" s="1" t="s">
        <v>951</v>
      </c>
      <c r="C474" s="50">
        <v>0.9005</v>
      </c>
      <c r="D474" s="7">
        <v>7.83E-8</v>
      </c>
      <c r="E474" s="6">
        <v>0.897302</v>
      </c>
      <c r="F474" s="7">
        <v>2.25E-6</v>
      </c>
      <c r="G474" s="41">
        <v>0.920935</v>
      </c>
      <c r="H474" s="3"/>
      <c r="I474" s="20">
        <v>1.35E-4</v>
      </c>
      <c r="J474" s="3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8.5" customHeight="1">
      <c r="A475" s="35" t="s">
        <v>952</v>
      </c>
      <c r="B475" s="1" t="s">
        <v>953</v>
      </c>
      <c r="C475" s="44">
        <v>0.9</v>
      </c>
      <c r="D475" s="5">
        <v>0.0</v>
      </c>
      <c r="E475" s="6">
        <v>0.897302</v>
      </c>
      <c r="F475" s="7">
        <v>2.25E-6</v>
      </c>
      <c r="G475" s="41">
        <v>0.883718</v>
      </c>
      <c r="H475" s="3"/>
      <c r="I475" s="21">
        <v>8.18E-5</v>
      </c>
      <c r="J475" s="3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6.0" customHeight="1">
      <c r="A476" s="35" t="s">
        <v>954</v>
      </c>
      <c r="B476" s="1" t="s">
        <v>955</v>
      </c>
      <c r="C476" s="49">
        <v>0.80053</v>
      </c>
      <c r="D476" s="27">
        <v>1.11E-7</v>
      </c>
      <c r="E476" s="29">
        <v>0.897302</v>
      </c>
      <c r="F476" s="29">
        <v>0.003698</v>
      </c>
      <c r="G476" s="36">
        <v>0.78202</v>
      </c>
      <c r="H476" s="3"/>
      <c r="I476" s="23">
        <v>1.26E-4</v>
      </c>
      <c r="J476" s="3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8.5" customHeight="1">
      <c r="A477" s="35" t="s">
        <v>956</v>
      </c>
      <c r="B477" s="1" t="s">
        <v>957</v>
      </c>
      <c r="C477" s="48">
        <v>0.80049</v>
      </c>
      <c r="D477" s="7">
        <v>9.48E-8</v>
      </c>
      <c r="E477" s="6">
        <v>0.897302</v>
      </c>
      <c r="F477" s="6">
        <v>0.003698</v>
      </c>
      <c r="G477" s="41">
        <v>0.841795</v>
      </c>
      <c r="H477" s="3"/>
      <c r="I477" s="20">
        <v>6.82E-4</v>
      </c>
      <c r="J477" s="3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48.0" customHeight="1">
      <c r="A478" s="35" t="s">
        <v>958</v>
      </c>
      <c r="B478" s="1" t="s">
        <v>959</v>
      </c>
      <c r="C478" s="48">
        <v>0.80029</v>
      </c>
      <c r="D478" s="7">
        <v>3.32E-8</v>
      </c>
      <c r="E478" s="57">
        <v>0.897302</v>
      </c>
      <c r="F478" s="6">
        <v>0.003698</v>
      </c>
      <c r="G478" s="41">
        <v>0.845506</v>
      </c>
      <c r="H478" s="3"/>
      <c r="I478" s="20">
        <v>8.09E-4</v>
      </c>
      <c r="J478" s="3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6.0" customHeight="1">
      <c r="A479" s="35" t="s">
        <v>960</v>
      </c>
      <c r="B479" s="1" t="s">
        <v>961</v>
      </c>
      <c r="C479" s="33">
        <v>0.9</v>
      </c>
      <c r="D479" s="11">
        <v>0.0</v>
      </c>
      <c r="E479" s="58">
        <v>0.831052</v>
      </c>
      <c r="F479" s="29">
        <v>0.001467</v>
      </c>
      <c r="G479" s="47">
        <v>0.9228</v>
      </c>
      <c r="H479" s="3"/>
      <c r="I479" s="22">
        <v>1.6E-4</v>
      </c>
      <c r="J479" s="3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6.0" customHeight="1">
      <c r="A480" s="35" t="s">
        <v>962</v>
      </c>
      <c r="B480" s="1" t="s">
        <v>963</v>
      </c>
      <c r="C480" s="34">
        <v>0.9011</v>
      </c>
      <c r="D480" s="27">
        <v>3.73E-7</v>
      </c>
      <c r="E480" s="58">
        <v>0.831052</v>
      </c>
      <c r="F480" s="29">
        <v>0.001467</v>
      </c>
      <c r="G480" s="37">
        <v>0.850319</v>
      </c>
      <c r="H480" s="3"/>
      <c r="I480" s="23">
        <v>7.62E-4</v>
      </c>
      <c r="J480" s="3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8.5" customHeight="1">
      <c r="A481" s="35" t="s">
        <v>964</v>
      </c>
      <c r="B481" s="1" t="s">
        <v>965</v>
      </c>
      <c r="C481" s="48">
        <v>0.79994</v>
      </c>
      <c r="D481" s="7">
        <v>1.64E-9</v>
      </c>
      <c r="E481" s="57">
        <v>0.831052</v>
      </c>
      <c r="F481" s="6">
        <v>3.77E-4</v>
      </c>
      <c r="G481" s="41">
        <v>0.849938</v>
      </c>
      <c r="H481" s="3"/>
      <c r="I481" s="20">
        <v>9.74E-4</v>
      </c>
      <c r="J481" s="3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8.5" customHeight="1">
      <c r="A482" s="35" t="s">
        <v>966</v>
      </c>
      <c r="B482" s="1" t="s">
        <v>967</v>
      </c>
      <c r="C482" s="48">
        <v>0.79821</v>
      </c>
      <c r="D482" s="7">
        <v>1.26E-6</v>
      </c>
      <c r="E482" s="57">
        <v>0.831052</v>
      </c>
      <c r="F482" s="6">
        <v>3.77E-4</v>
      </c>
      <c r="G482" s="41">
        <v>0.785597</v>
      </c>
      <c r="H482" s="3"/>
      <c r="I482" s="56">
        <v>8.1E-5</v>
      </c>
      <c r="J482" s="3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6.0" customHeight="1">
      <c r="A483" s="35" t="s">
        <v>968</v>
      </c>
      <c r="B483" s="1" t="s">
        <v>969</v>
      </c>
      <c r="C483" s="49">
        <v>0.79989</v>
      </c>
      <c r="D483" s="27">
        <v>4.88E-9</v>
      </c>
      <c r="E483" s="58">
        <v>0.831052</v>
      </c>
      <c r="F483" s="29">
        <v>3.77E-4</v>
      </c>
      <c r="G483" s="37">
        <v>0.849988</v>
      </c>
      <c r="H483" s="3"/>
      <c r="I483" s="23">
        <v>9.76E-4</v>
      </c>
      <c r="J483" s="3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8.5" customHeight="1">
      <c r="A484" s="35" t="s">
        <v>970</v>
      </c>
      <c r="B484" s="1" t="s">
        <v>971</v>
      </c>
      <c r="C484" s="48">
        <v>0.80031</v>
      </c>
      <c r="D484" s="7">
        <v>3.86E-8</v>
      </c>
      <c r="E484" s="57">
        <v>0.831052</v>
      </c>
      <c r="F484" s="6">
        <v>3.77E-4</v>
      </c>
      <c r="G484" s="41">
        <v>0.839362</v>
      </c>
      <c r="H484" s="3"/>
      <c r="I484" s="20">
        <v>6.05E-4</v>
      </c>
      <c r="J484" s="3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48.0" customHeight="1">
      <c r="A485" s="35" t="s">
        <v>972</v>
      </c>
      <c r="B485" s="1" t="s">
        <v>973</v>
      </c>
      <c r="C485" s="44">
        <v>0.8</v>
      </c>
      <c r="D485" s="5">
        <v>0.0</v>
      </c>
      <c r="E485" s="57">
        <v>0.831052</v>
      </c>
      <c r="F485" s="6">
        <v>3.77E-4</v>
      </c>
      <c r="G485" s="41">
        <v>0.844354</v>
      </c>
      <c r="H485" s="3"/>
      <c r="I485" s="20">
        <v>7.68E-4</v>
      </c>
      <c r="J485" s="3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48.0" customHeight="1">
      <c r="A486" s="35" t="s">
        <v>974</v>
      </c>
      <c r="B486" s="1" t="s">
        <v>975</v>
      </c>
      <c r="C486" s="48">
        <v>0.95008</v>
      </c>
      <c r="D486" s="7">
        <v>1.86E-9</v>
      </c>
      <c r="E486" s="57">
        <v>0.952147</v>
      </c>
      <c r="F486" s="7">
        <v>1.28E-6</v>
      </c>
      <c r="G486" s="41">
        <v>0.947068</v>
      </c>
      <c r="H486" s="3"/>
      <c r="I486" s="21">
        <v>2.38E-6</v>
      </c>
      <c r="J486" s="3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48.0" customHeight="1">
      <c r="A487" s="35" t="s">
        <v>976</v>
      </c>
      <c r="B487" s="1" t="s">
        <v>977</v>
      </c>
      <c r="C487" s="50">
        <v>0.9505</v>
      </c>
      <c r="D487" s="7">
        <v>6.79E-8</v>
      </c>
      <c r="E487" s="57">
        <v>0.952147</v>
      </c>
      <c r="F487" s="7">
        <v>1.28E-6</v>
      </c>
      <c r="G487" s="41">
        <v>0.905199</v>
      </c>
      <c r="H487" s="3"/>
      <c r="I487" s="20">
        <v>5.56E-4</v>
      </c>
      <c r="J487" s="3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6.0" customHeight="1">
      <c r="A488" s="35" t="s">
        <v>978</v>
      </c>
      <c r="B488" s="1" t="s">
        <v>979</v>
      </c>
      <c r="C488" s="26">
        <v>0.95</v>
      </c>
      <c r="D488" s="11">
        <v>0.0</v>
      </c>
      <c r="E488" s="58">
        <v>0.952147</v>
      </c>
      <c r="F488" s="11">
        <v>0.0</v>
      </c>
      <c r="G488" s="36">
        <v>0.95373</v>
      </c>
      <c r="H488" s="3"/>
      <c r="I488" s="13">
        <v>0.0</v>
      </c>
      <c r="J488" s="3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6.0" customHeight="1">
      <c r="A489" s="35" t="s">
        <v>980</v>
      </c>
      <c r="B489" s="1" t="s">
        <v>981</v>
      </c>
      <c r="C489" s="49">
        <v>0.95238</v>
      </c>
      <c r="D489" s="11">
        <v>0.0</v>
      </c>
      <c r="E489" s="58">
        <v>0.952147</v>
      </c>
      <c r="F489" s="11">
        <v>0.0</v>
      </c>
      <c r="G489" s="37">
        <v>0.917514</v>
      </c>
      <c r="H489" s="3"/>
      <c r="I489" s="13">
        <v>0.0</v>
      </c>
      <c r="J489" s="3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48.0" customHeight="1">
      <c r="A490" s="35" t="s">
        <v>982</v>
      </c>
      <c r="B490" s="1" t="s">
        <v>983</v>
      </c>
      <c r="C490" s="48">
        <v>0.95006</v>
      </c>
      <c r="D490" s="7">
        <v>9.18E-10</v>
      </c>
      <c r="E490" s="57">
        <v>0.955978</v>
      </c>
      <c r="F490" s="54">
        <v>9.9E-6</v>
      </c>
      <c r="G490" s="41">
        <v>0.969725</v>
      </c>
      <c r="H490" s="3"/>
      <c r="I490" s="20">
        <v>1.08E-4</v>
      </c>
      <c r="J490" s="3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48.0" customHeight="1">
      <c r="A491" s="35" t="s">
        <v>984</v>
      </c>
      <c r="B491" s="1" t="s">
        <v>985</v>
      </c>
      <c r="C491" s="48">
        <v>0.94995</v>
      </c>
      <c r="D491" s="7">
        <v>7.53E-10</v>
      </c>
      <c r="E491" s="57">
        <v>0.955978</v>
      </c>
      <c r="F491" s="54">
        <v>9.9E-6</v>
      </c>
      <c r="G491" s="41">
        <v>0.936591</v>
      </c>
      <c r="H491" s="3"/>
      <c r="I491" s="21">
        <v>4.98E-5</v>
      </c>
      <c r="J491" s="3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K$491">
    <sortState ref="A1:K491">
      <sortCondition ref="B1:B491"/>
    </sortState>
  </autoFilter>
  <mergeCells count="980">
    <mergeCell ref="I316:J316"/>
    <mergeCell ref="I317:J317"/>
    <mergeCell ref="I309:J309"/>
    <mergeCell ref="I310:J310"/>
    <mergeCell ref="I311:J311"/>
    <mergeCell ref="I312:J312"/>
    <mergeCell ref="I313:J313"/>
    <mergeCell ref="I314:J314"/>
    <mergeCell ref="I315:J315"/>
    <mergeCell ref="G291:H291"/>
    <mergeCell ref="I291:J291"/>
    <mergeCell ref="G292:H292"/>
    <mergeCell ref="I292:J292"/>
    <mergeCell ref="G293:H293"/>
    <mergeCell ref="I293:J293"/>
    <mergeCell ref="I294:J294"/>
    <mergeCell ref="G294:H294"/>
    <mergeCell ref="G295:H295"/>
    <mergeCell ref="G296:H296"/>
    <mergeCell ref="G297:H297"/>
    <mergeCell ref="G298:H298"/>
    <mergeCell ref="G299:H299"/>
    <mergeCell ref="G300:H300"/>
    <mergeCell ref="I295:J295"/>
    <mergeCell ref="I296:J296"/>
    <mergeCell ref="I297:J297"/>
    <mergeCell ref="I298:J298"/>
    <mergeCell ref="I299:J299"/>
    <mergeCell ref="I300:J300"/>
    <mergeCell ref="I301:J301"/>
    <mergeCell ref="G301:H301"/>
    <mergeCell ref="G302:H302"/>
    <mergeCell ref="G303:H303"/>
    <mergeCell ref="G304:H304"/>
    <mergeCell ref="G305:H305"/>
    <mergeCell ref="G306:H306"/>
    <mergeCell ref="G307:H307"/>
    <mergeCell ref="I302:J302"/>
    <mergeCell ref="I303:J303"/>
    <mergeCell ref="I304:J304"/>
    <mergeCell ref="I305:J305"/>
    <mergeCell ref="I306:J306"/>
    <mergeCell ref="I307:J307"/>
    <mergeCell ref="I308:J308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I318:J318"/>
    <mergeCell ref="G319:H319"/>
    <mergeCell ref="I319:J319"/>
    <mergeCell ref="I345:J345"/>
    <mergeCell ref="I346:J346"/>
    <mergeCell ref="I338:J338"/>
    <mergeCell ref="I339:J339"/>
    <mergeCell ref="I340:J340"/>
    <mergeCell ref="I341:J341"/>
    <mergeCell ref="I342:J342"/>
    <mergeCell ref="I343:J343"/>
    <mergeCell ref="I344:J344"/>
    <mergeCell ref="G320:H320"/>
    <mergeCell ref="I320:J320"/>
    <mergeCell ref="G321:H321"/>
    <mergeCell ref="I321:J321"/>
    <mergeCell ref="G322:H322"/>
    <mergeCell ref="I322:J322"/>
    <mergeCell ref="I323:J323"/>
    <mergeCell ref="G323:H323"/>
    <mergeCell ref="G324:H324"/>
    <mergeCell ref="G325:H325"/>
    <mergeCell ref="G326:H326"/>
    <mergeCell ref="G327:H327"/>
    <mergeCell ref="G328:H328"/>
    <mergeCell ref="G329:H329"/>
    <mergeCell ref="I324:J324"/>
    <mergeCell ref="I325:J325"/>
    <mergeCell ref="I326:J326"/>
    <mergeCell ref="I327:J327"/>
    <mergeCell ref="I328:J328"/>
    <mergeCell ref="I329:J329"/>
    <mergeCell ref="I330:J330"/>
    <mergeCell ref="G330:H330"/>
    <mergeCell ref="G331:H331"/>
    <mergeCell ref="G332:H332"/>
    <mergeCell ref="G333:H333"/>
    <mergeCell ref="G334:H334"/>
    <mergeCell ref="G335:H335"/>
    <mergeCell ref="G336:H336"/>
    <mergeCell ref="I331:J331"/>
    <mergeCell ref="I332:J332"/>
    <mergeCell ref="I333:J333"/>
    <mergeCell ref="I334:J334"/>
    <mergeCell ref="I335:J335"/>
    <mergeCell ref="I336:J336"/>
    <mergeCell ref="I337:J337"/>
    <mergeCell ref="G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I347:J347"/>
    <mergeCell ref="G348:H348"/>
    <mergeCell ref="I348:J348"/>
    <mergeCell ref="I375:J375"/>
    <mergeCell ref="I376:J376"/>
    <mergeCell ref="I367:J367"/>
    <mergeCell ref="I368:J368"/>
    <mergeCell ref="I369:J369"/>
    <mergeCell ref="I371:J371"/>
    <mergeCell ref="I372:J372"/>
    <mergeCell ref="I373:J373"/>
    <mergeCell ref="I374:J374"/>
    <mergeCell ref="G349:H349"/>
    <mergeCell ref="I349:J349"/>
    <mergeCell ref="G350:H350"/>
    <mergeCell ref="I350:J350"/>
    <mergeCell ref="G351:H351"/>
    <mergeCell ref="I351:J351"/>
    <mergeCell ref="I352:J352"/>
    <mergeCell ref="G352:H352"/>
    <mergeCell ref="G353:H353"/>
    <mergeCell ref="G354:H354"/>
    <mergeCell ref="G355:H355"/>
    <mergeCell ref="G356:H356"/>
    <mergeCell ref="G357:H357"/>
    <mergeCell ref="G358:H358"/>
    <mergeCell ref="I353:J353"/>
    <mergeCell ref="I354:J354"/>
    <mergeCell ref="I355:J355"/>
    <mergeCell ref="I356:J356"/>
    <mergeCell ref="I357:J357"/>
    <mergeCell ref="I358:J358"/>
    <mergeCell ref="I359:J359"/>
    <mergeCell ref="G359:H359"/>
    <mergeCell ref="G360:H360"/>
    <mergeCell ref="G361:H361"/>
    <mergeCell ref="G362:H362"/>
    <mergeCell ref="G363:H363"/>
    <mergeCell ref="G364:H364"/>
    <mergeCell ref="G365:H365"/>
    <mergeCell ref="I360:J360"/>
    <mergeCell ref="I361:J361"/>
    <mergeCell ref="I362:J362"/>
    <mergeCell ref="I363:J363"/>
    <mergeCell ref="I364:J364"/>
    <mergeCell ref="I365:J365"/>
    <mergeCell ref="I366:J366"/>
    <mergeCell ref="G366:H366"/>
    <mergeCell ref="G367:H367"/>
    <mergeCell ref="G368:H368"/>
    <mergeCell ref="G369:H369"/>
    <mergeCell ref="G371:H371"/>
    <mergeCell ref="G372:H372"/>
    <mergeCell ref="G373:H373"/>
    <mergeCell ref="G374:H374"/>
    <mergeCell ref="G375:H375"/>
    <mergeCell ref="G376:H376"/>
    <mergeCell ref="G377:H377"/>
    <mergeCell ref="I377:J377"/>
    <mergeCell ref="G378:H378"/>
    <mergeCell ref="I378:J378"/>
    <mergeCell ref="I404:J404"/>
    <mergeCell ref="I405:J405"/>
    <mergeCell ref="I397:J397"/>
    <mergeCell ref="I398:J398"/>
    <mergeCell ref="I399:J399"/>
    <mergeCell ref="I400:J400"/>
    <mergeCell ref="I401:J401"/>
    <mergeCell ref="I402:J402"/>
    <mergeCell ref="I403:J403"/>
    <mergeCell ref="G379:H379"/>
    <mergeCell ref="I379:J379"/>
    <mergeCell ref="G380:H380"/>
    <mergeCell ref="I380:J380"/>
    <mergeCell ref="G381:H381"/>
    <mergeCell ref="I381:J381"/>
    <mergeCell ref="I382:J382"/>
    <mergeCell ref="G382:H382"/>
    <mergeCell ref="G383:H383"/>
    <mergeCell ref="G384:H384"/>
    <mergeCell ref="G385:H385"/>
    <mergeCell ref="G386:H386"/>
    <mergeCell ref="G387:H387"/>
    <mergeCell ref="G388:H388"/>
    <mergeCell ref="I383:J383"/>
    <mergeCell ref="I384:J384"/>
    <mergeCell ref="I385:J385"/>
    <mergeCell ref="I386:J386"/>
    <mergeCell ref="I387:J387"/>
    <mergeCell ref="I388:J388"/>
    <mergeCell ref="I389:J389"/>
    <mergeCell ref="G389:H389"/>
    <mergeCell ref="G390:H390"/>
    <mergeCell ref="G391:H391"/>
    <mergeCell ref="G392:H392"/>
    <mergeCell ref="G393:H393"/>
    <mergeCell ref="G394:H394"/>
    <mergeCell ref="G395:H395"/>
    <mergeCell ref="I390:J390"/>
    <mergeCell ref="I391:J391"/>
    <mergeCell ref="I392:J392"/>
    <mergeCell ref="I393:J393"/>
    <mergeCell ref="I394:J394"/>
    <mergeCell ref="I395:J395"/>
    <mergeCell ref="I396:J396"/>
    <mergeCell ref="G396:H396"/>
    <mergeCell ref="G397:H397"/>
    <mergeCell ref="G398:H398"/>
    <mergeCell ref="G399:H399"/>
    <mergeCell ref="G400:H400"/>
    <mergeCell ref="G401:H401"/>
    <mergeCell ref="G402:H402"/>
    <mergeCell ref="G403:H403"/>
    <mergeCell ref="G404:H404"/>
    <mergeCell ref="G405:H405"/>
    <mergeCell ref="G406:H406"/>
    <mergeCell ref="I406:J406"/>
    <mergeCell ref="G407:H407"/>
    <mergeCell ref="I407:J407"/>
    <mergeCell ref="I433:J433"/>
    <mergeCell ref="I434:J434"/>
    <mergeCell ref="I426:J426"/>
    <mergeCell ref="I427:J427"/>
    <mergeCell ref="I428:J428"/>
    <mergeCell ref="I429:J429"/>
    <mergeCell ref="I430:J430"/>
    <mergeCell ref="I431:J431"/>
    <mergeCell ref="I432:J432"/>
    <mergeCell ref="G408:H408"/>
    <mergeCell ref="I408:J408"/>
    <mergeCell ref="G409:H409"/>
    <mergeCell ref="I409:J409"/>
    <mergeCell ref="G410:H410"/>
    <mergeCell ref="I410:J410"/>
    <mergeCell ref="I411:J411"/>
    <mergeCell ref="G411:H411"/>
    <mergeCell ref="G412:H412"/>
    <mergeCell ref="G413:H413"/>
    <mergeCell ref="G414:H414"/>
    <mergeCell ref="G415:H415"/>
    <mergeCell ref="G416:H416"/>
    <mergeCell ref="G417:H417"/>
    <mergeCell ref="I412:J412"/>
    <mergeCell ref="I413:J413"/>
    <mergeCell ref="I414:J414"/>
    <mergeCell ref="I415:J415"/>
    <mergeCell ref="I416:J416"/>
    <mergeCell ref="I417:J417"/>
    <mergeCell ref="I418:J418"/>
    <mergeCell ref="G418:H418"/>
    <mergeCell ref="G419:H419"/>
    <mergeCell ref="G420:H420"/>
    <mergeCell ref="G421:H421"/>
    <mergeCell ref="G422:H422"/>
    <mergeCell ref="G423:H423"/>
    <mergeCell ref="G424:H424"/>
    <mergeCell ref="I419:J419"/>
    <mergeCell ref="I420:J420"/>
    <mergeCell ref="I421:J421"/>
    <mergeCell ref="I422:J422"/>
    <mergeCell ref="I423:J423"/>
    <mergeCell ref="I424:J424"/>
    <mergeCell ref="I425:J425"/>
    <mergeCell ref="G425:H425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I435:J435"/>
    <mergeCell ref="G436:H436"/>
    <mergeCell ref="I436:J436"/>
    <mergeCell ref="I463:J463"/>
    <mergeCell ref="I464:J464"/>
    <mergeCell ref="I456:J456"/>
    <mergeCell ref="I457:J457"/>
    <mergeCell ref="I458:J458"/>
    <mergeCell ref="I459:J459"/>
    <mergeCell ref="I460:J460"/>
    <mergeCell ref="I461:J461"/>
    <mergeCell ref="I462:J462"/>
    <mergeCell ref="G437:H437"/>
    <mergeCell ref="I437:J437"/>
    <mergeCell ref="G439:H439"/>
    <mergeCell ref="I439:J439"/>
    <mergeCell ref="G440:H440"/>
    <mergeCell ref="I440:J440"/>
    <mergeCell ref="I441:J441"/>
    <mergeCell ref="G441:H441"/>
    <mergeCell ref="G442:H442"/>
    <mergeCell ref="G443:H443"/>
    <mergeCell ref="G444:H444"/>
    <mergeCell ref="G445:H445"/>
    <mergeCell ref="G446:H446"/>
    <mergeCell ref="G447:H447"/>
    <mergeCell ref="I442:J442"/>
    <mergeCell ref="I443:J443"/>
    <mergeCell ref="I444:J444"/>
    <mergeCell ref="I445:J445"/>
    <mergeCell ref="I446:J446"/>
    <mergeCell ref="I447:J447"/>
    <mergeCell ref="I448:J448"/>
    <mergeCell ref="G448:H448"/>
    <mergeCell ref="G449:H449"/>
    <mergeCell ref="G450:H450"/>
    <mergeCell ref="G451:H451"/>
    <mergeCell ref="G452:H452"/>
    <mergeCell ref="G453:H453"/>
    <mergeCell ref="G454:H454"/>
    <mergeCell ref="I449:J449"/>
    <mergeCell ref="I450:J450"/>
    <mergeCell ref="I451:J451"/>
    <mergeCell ref="I452:J452"/>
    <mergeCell ref="I453:J453"/>
    <mergeCell ref="I454:J454"/>
    <mergeCell ref="I455:J455"/>
    <mergeCell ref="G455:H455"/>
    <mergeCell ref="G456:H456"/>
    <mergeCell ref="G457:H457"/>
    <mergeCell ref="G458:H458"/>
    <mergeCell ref="G459:H459"/>
    <mergeCell ref="G460:H460"/>
    <mergeCell ref="G461:H461"/>
    <mergeCell ref="G462:H462"/>
    <mergeCell ref="G463:H463"/>
    <mergeCell ref="G464:H464"/>
    <mergeCell ref="G465:H465"/>
    <mergeCell ref="I465:J465"/>
    <mergeCell ref="G466:H466"/>
    <mergeCell ref="I466:J466"/>
    <mergeCell ref="I26:J26"/>
    <mergeCell ref="I27:J27"/>
    <mergeCell ref="I19:J19"/>
    <mergeCell ref="I20:J20"/>
    <mergeCell ref="I21:J21"/>
    <mergeCell ref="I22:J22"/>
    <mergeCell ref="I23:J23"/>
    <mergeCell ref="I24:J24"/>
    <mergeCell ref="I25:J25"/>
    <mergeCell ref="G1:H1"/>
    <mergeCell ref="I1:J1"/>
    <mergeCell ref="G2:H2"/>
    <mergeCell ref="I2:J2"/>
    <mergeCell ref="G3:H3"/>
    <mergeCell ref="I3:J3"/>
    <mergeCell ref="I4:J4"/>
    <mergeCell ref="G4:H4"/>
    <mergeCell ref="G5:H5"/>
    <mergeCell ref="G6:H6"/>
    <mergeCell ref="G7:H7"/>
    <mergeCell ref="G8:H8"/>
    <mergeCell ref="G9:H9"/>
    <mergeCell ref="G10:H10"/>
    <mergeCell ref="I5:J5"/>
    <mergeCell ref="I6:J6"/>
    <mergeCell ref="I7:J7"/>
    <mergeCell ref="I8:J8"/>
    <mergeCell ref="I9:J9"/>
    <mergeCell ref="I10:J10"/>
    <mergeCell ref="I11:J11"/>
    <mergeCell ref="G11:H11"/>
    <mergeCell ref="G12:H12"/>
    <mergeCell ref="G13:H13"/>
    <mergeCell ref="G14:H14"/>
    <mergeCell ref="G15:H15"/>
    <mergeCell ref="G16:H16"/>
    <mergeCell ref="G17:H17"/>
    <mergeCell ref="I12:J12"/>
    <mergeCell ref="I13:J13"/>
    <mergeCell ref="I14:J14"/>
    <mergeCell ref="I15:J15"/>
    <mergeCell ref="I16:J16"/>
    <mergeCell ref="I17:J17"/>
    <mergeCell ref="I18:J18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I28:J28"/>
    <mergeCell ref="G29:H29"/>
    <mergeCell ref="I29:J29"/>
    <mergeCell ref="I55:J55"/>
    <mergeCell ref="I56:J56"/>
    <mergeCell ref="I48:J48"/>
    <mergeCell ref="I49:J49"/>
    <mergeCell ref="I50:J50"/>
    <mergeCell ref="I51:J51"/>
    <mergeCell ref="I52:J52"/>
    <mergeCell ref="I53:J53"/>
    <mergeCell ref="I54:J54"/>
    <mergeCell ref="G30:H30"/>
    <mergeCell ref="I30:J30"/>
    <mergeCell ref="G31:H31"/>
    <mergeCell ref="I31:J31"/>
    <mergeCell ref="G32:H32"/>
    <mergeCell ref="I32:J32"/>
    <mergeCell ref="I33:J33"/>
    <mergeCell ref="G33:H33"/>
    <mergeCell ref="G34:H34"/>
    <mergeCell ref="G35:H35"/>
    <mergeCell ref="G36:H36"/>
    <mergeCell ref="G37:H37"/>
    <mergeCell ref="G38:H38"/>
    <mergeCell ref="G39:H39"/>
    <mergeCell ref="I34:J34"/>
    <mergeCell ref="I35:J35"/>
    <mergeCell ref="I36:J36"/>
    <mergeCell ref="I37:J37"/>
    <mergeCell ref="I38:J38"/>
    <mergeCell ref="I39:J39"/>
    <mergeCell ref="I40:J40"/>
    <mergeCell ref="G40:H40"/>
    <mergeCell ref="G41:H41"/>
    <mergeCell ref="G42:H42"/>
    <mergeCell ref="G43:H43"/>
    <mergeCell ref="G44:H44"/>
    <mergeCell ref="G45:H45"/>
    <mergeCell ref="G46:H46"/>
    <mergeCell ref="I41:J41"/>
    <mergeCell ref="I42:J42"/>
    <mergeCell ref="I43:J43"/>
    <mergeCell ref="I44:J44"/>
    <mergeCell ref="I45:J45"/>
    <mergeCell ref="I46:J46"/>
    <mergeCell ref="I47:J47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I57:J57"/>
    <mergeCell ref="G58:H58"/>
    <mergeCell ref="I58:J58"/>
    <mergeCell ref="I84:J84"/>
    <mergeCell ref="I85:J85"/>
    <mergeCell ref="I77:J77"/>
    <mergeCell ref="I78:J78"/>
    <mergeCell ref="I79:J79"/>
    <mergeCell ref="I80:J80"/>
    <mergeCell ref="I81:J81"/>
    <mergeCell ref="I82:J82"/>
    <mergeCell ref="I83:J83"/>
    <mergeCell ref="G59:H59"/>
    <mergeCell ref="I59:J59"/>
    <mergeCell ref="G60:H60"/>
    <mergeCell ref="I60:J60"/>
    <mergeCell ref="G61:H61"/>
    <mergeCell ref="I61:J61"/>
    <mergeCell ref="I62:J62"/>
    <mergeCell ref="G62:H62"/>
    <mergeCell ref="G63:H63"/>
    <mergeCell ref="G64:H64"/>
    <mergeCell ref="G65:H65"/>
    <mergeCell ref="G66:H66"/>
    <mergeCell ref="G67:H67"/>
    <mergeCell ref="G68:H68"/>
    <mergeCell ref="I63:J63"/>
    <mergeCell ref="I64:J64"/>
    <mergeCell ref="I65:J65"/>
    <mergeCell ref="I66:J66"/>
    <mergeCell ref="I67:J67"/>
    <mergeCell ref="I68:J68"/>
    <mergeCell ref="I69:J69"/>
    <mergeCell ref="G69:H69"/>
    <mergeCell ref="G70:H70"/>
    <mergeCell ref="G71:H71"/>
    <mergeCell ref="G72:H72"/>
    <mergeCell ref="G73:H73"/>
    <mergeCell ref="G74:H74"/>
    <mergeCell ref="G75:H75"/>
    <mergeCell ref="I70:J70"/>
    <mergeCell ref="I71:J71"/>
    <mergeCell ref="I72:J72"/>
    <mergeCell ref="I73:J73"/>
    <mergeCell ref="I74:J74"/>
    <mergeCell ref="I75:J75"/>
    <mergeCell ref="I76:J76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I86:J86"/>
    <mergeCell ref="G87:H87"/>
    <mergeCell ref="I87:J87"/>
    <mergeCell ref="G467:H467"/>
    <mergeCell ref="I467:J467"/>
    <mergeCell ref="G468:H468"/>
    <mergeCell ref="I468:J468"/>
    <mergeCell ref="G469:H469"/>
    <mergeCell ref="I469:J469"/>
    <mergeCell ref="I470:J470"/>
    <mergeCell ref="G470:H470"/>
    <mergeCell ref="G471:H471"/>
    <mergeCell ref="G472:H472"/>
    <mergeCell ref="G473:H473"/>
    <mergeCell ref="G474:H474"/>
    <mergeCell ref="G475:H475"/>
    <mergeCell ref="G476:H476"/>
    <mergeCell ref="I471:J471"/>
    <mergeCell ref="I472:J472"/>
    <mergeCell ref="I473:J473"/>
    <mergeCell ref="I474:J474"/>
    <mergeCell ref="I475:J475"/>
    <mergeCell ref="I476:J476"/>
    <mergeCell ref="I477:J477"/>
    <mergeCell ref="G484:H484"/>
    <mergeCell ref="G485:H485"/>
    <mergeCell ref="G486:H486"/>
    <mergeCell ref="G487:H487"/>
    <mergeCell ref="G488:H488"/>
    <mergeCell ref="G489:H489"/>
    <mergeCell ref="G490:H490"/>
    <mergeCell ref="G491:H491"/>
    <mergeCell ref="G477:H477"/>
    <mergeCell ref="G478:H478"/>
    <mergeCell ref="G479:H479"/>
    <mergeCell ref="G480:H480"/>
    <mergeCell ref="G481:H481"/>
    <mergeCell ref="G482:H482"/>
    <mergeCell ref="G483:H483"/>
    <mergeCell ref="I485:J485"/>
    <mergeCell ref="I486:J486"/>
    <mergeCell ref="I487:J487"/>
    <mergeCell ref="I488:J488"/>
    <mergeCell ref="I489:J489"/>
    <mergeCell ref="I490:J490"/>
    <mergeCell ref="I491:J491"/>
    <mergeCell ref="I478:J478"/>
    <mergeCell ref="I479:J479"/>
    <mergeCell ref="I480:J480"/>
    <mergeCell ref="I481:J481"/>
    <mergeCell ref="I482:J482"/>
    <mergeCell ref="I483:J483"/>
    <mergeCell ref="I484:J484"/>
    <mergeCell ref="I113:J113"/>
    <mergeCell ref="I114:J114"/>
    <mergeCell ref="I106:J106"/>
    <mergeCell ref="I107:J107"/>
    <mergeCell ref="I108:J108"/>
    <mergeCell ref="I109:J109"/>
    <mergeCell ref="I110:J110"/>
    <mergeCell ref="I111:J111"/>
    <mergeCell ref="I112:J112"/>
    <mergeCell ref="G88:H88"/>
    <mergeCell ref="I88:J88"/>
    <mergeCell ref="G89:H89"/>
    <mergeCell ref="I89:J89"/>
    <mergeCell ref="G90:H90"/>
    <mergeCell ref="I90:J90"/>
    <mergeCell ref="I91:J91"/>
    <mergeCell ref="G91:H91"/>
    <mergeCell ref="G92:H92"/>
    <mergeCell ref="G93:H93"/>
    <mergeCell ref="G94:H94"/>
    <mergeCell ref="G95:H95"/>
    <mergeCell ref="G96:H96"/>
    <mergeCell ref="G97:H97"/>
    <mergeCell ref="I92:J92"/>
    <mergeCell ref="I93:J93"/>
    <mergeCell ref="I94:J94"/>
    <mergeCell ref="I95:J95"/>
    <mergeCell ref="I96:J96"/>
    <mergeCell ref="I97:J97"/>
    <mergeCell ref="I98:J98"/>
    <mergeCell ref="G98:H98"/>
    <mergeCell ref="G99:H99"/>
    <mergeCell ref="G100:H100"/>
    <mergeCell ref="G101:H101"/>
    <mergeCell ref="G102:H102"/>
    <mergeCell ref="G103:H103"/>
    <mergeCell ref="G104:H104"/>
    <mergeCell ref="I99:J99"/>
    <mergeCell ref="I100:J100"/>
    <mergeCell ref="I101:J101"/>
    <mergeCell ref="I102:J102"/>
    <mergeCell ref="I103:J103"/>
    <mergeCell ref="I104:J104"/>
    <mergeCell ref="I105:J105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I115:J115"/>
    <mergeCell ref="G116:H116"/>
    <mergeCell ref="I116:J116"/>
    <mergeCell ref="I142:J142"/>
    <mergeCell ref="I143:J143"/>
    <mergeCell ref="I135:J135"/>
    <mergeCell ref="I136:J136"/>
    <mergeCell ref="I137:J137"/>
    <mergeCell ref="I138:J138"/>
    <mergeCell ref="I139:J139"/>
    <mergeCell ref="I140:J140"/>
    <mergeCell ref="I141:J141"/>
    <mergeCell ref="G117:H117"/>
    <mergeCell ref="I117:J117"/>
    <mergeCell ref="G118:H118"/>
    <mergeCell ref="I118:J118"/>
    <mergeCell ref="G119:H119"/>
    <mergeCell ref="I119:J119"/>
    <mergeCell ref="I120:J120"/>
    <mergeCell ref="G120:H120"/>
    <mergeCell ref="G121:H121"/>
    <mergeCell ref="G122:H122"/>
    <mergeCell ref="G123:H123"/>
    <mergeCell ref="G124:H124"/>
    <mergeCell ref="G125:H125"/>
    <mergeCell ref="G126:H126"/>
    <mergeCell ref="I121:J121"/>
    <mergeCell ref="I122:J122"/>
    <mergeCell ref="I123:J123"/>
    <mergeCell ref="I124:J124"/>
    <mergeCell ref="I125:J125"/>
    <mergeCell ref="I126:J126"/>
    <mergeCell ref="I127:J127"/>
    <mergeCell ref="G127:H127"/>
    <mergeCell ref="G128:H128"/>
    <mergeCell ref="G129:H129"/>
    <mergeCell ref="G130:H130"/>
    <mergeCell ref="G131:H131"/>
    <mergeCell ref="G132:H132"/>
    <mergeCell ref="G133:H133"/>
    <mergeCell ref="I128:J128"/>
    <mergeCell ref="I129:J129"/>
    <mergeCell ref="I130:J130"/>
    <mergeCell ref="I131:J131"/>
    <mergeCell ref="I132:J132"/>
    <mergeCell ref="I133:J133"/>
    <mergeCell ref="I134:J134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G144:H144"/>
    <mergeCell ref="I144:J144"/>
    <mergeCell ref="G145:H145"/>
    <mergeCell ref="I145:J145"/>
    <mergeCell ref="I171:J171"/>
    <mergeCell ref="I172:J172"/>
    <mergeCell ref="I164:J164"/>
    <mergeCell ref="I165:J165"/>
    <mergeCell ref="I166:J166"/>
    <mergeCell ref="I167:J167"/>
    <mergeCell ref="I168:J168"/>
    <mergeCell ref="I169:J169"/>
    <mergeCell ref="I170:J170"/>
    <mergeCell ref="G146:H146"/>
    <mergeCell ref="I146:J146"/>
    <mergeCell ref="G147:H147"/>
    <mergeCell ref="I147:J147"/>
    <mergeCell ref="G148:H148"/>
    <mergeCell ref="I148:J148"/>
    <mergeCell ref="I149:J149"/>
    <mergeCell ref="G149:H149"/>
    <mergeCell ref="G150:H150"/>
    <mergeCell ref="G151:H151"/>
    <mergeCell ref="G152:H152"/>
    <mergeCell ref="G153:H153"/>
    <mergeCell ref="G154:H154"/>
    <mergeCell ref="G155:H155"/>
    <mergeCell ref="I150:J150"/>
    <mergeCell ref="I151:J151"/>
    <mergeCell ref="I152:J152"/>
    <mergeCell ref="I153:J153"/>
    <mergeCell ref="I154:J154"/>
    <mergeCell ref="I155:J155"/>
    <mergeCell ref="I156:J156"/>
    <mergeCell ref="G156:H156"/>
    <mergeCell ref="G157:H157"/>
    <mergeCell ref="G158:H158"/>
    <mergeCell ref="G159:H159"/>
    <mergeCell ref="G160:H160"/>
    <mergeCell ref="G161:H161"/>
    <mergeCell ref="G162:H162"/>
    <mergeCell ref="I157:J157"/>
    <mergeCell ref="I158:J158"/>
    <mergeCell ref="I159:J159"/>
    <mergeCell ref="I160:J160"/>
    <mergeCell ref="I161:J161"/>
    <mergeCell ref="I162:J162"/>
    <mergeCell ref="I163:J163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I173:J173"/>
    <mergeCell ref="G174:H174"/>
    <mergeCell ref="I174:J174"/>
    <mergeCell ref="I200:J200"/>
    <mergeCell ref="I201:J201"/>
    <mergeCell ref="I193:J193"/>
    <mergeCell ref="I194:J194"/>
    <mergeCell ref="I195:J195"/>
    <mergeCell ref="I196:J196"/>
    <mergeCell ref="I197:J197"/>
    <mergeCell ref="I198:J198"/>
    <mergeCell ref="I199:J199"/>
    <mergeCell ref="G175:H175"/>
    <mergeCell ref="I175:J175"/>
    <mergeCell ref="G176:H176"/>
    <mergeCell ref="I176:J176"/>
    <mergeCell ref="G177:H177"/>
    <mergeCell ref="I177:J177"/>
    <mergeCell ref="I178:J178"/>
    <mergeCell ref="G178:H178"/>
    <mergeCell ref="G179:H179"/>
    <mergeCell ref="G180:H180"/>
    <mergeCell ref="G181:H181"/>
    <mergeCell ref="G182:H182"/>
    <mergeCell ref="G183:H183"/>
    <mergeCell ref="G184:H184"/>
    <mergeCell ref="I179:J179"/>
    <mergeCell ref="I180:J180"/>
    <mergeCell ref="I181:J181"/>
    <mergeCell ref="I182:J182"/>
    <mergeCell ref="I183:J183"/>
    <mergeCell ref="I184:J184"/>
    <mergeCell ref="I185:J185"/>
    <mergeCell ref="G185:H185"/>
    <mergeCell ref="G186:H186"/>
    <mergeCell ref="G187:H187"/>
    <mergeCell ref="G188:H188"/>
    <mergeCell ref="G189:H189"/>
    <mergeCell ref="G190:H190"/>
    <mergeCell ref="G191:H191"/>
    <mergeCell ref="I186:J186"/>
    <mergeCell ref="I187:J187"/>
    <mergeCell ref="I188:J188"/>
    <mergeCell ref="I189:J189"/>
    <mergeCell ref="I190:J190"/>
    <mergeCell ref="I191:J191"/>
    <mergeCell ref="I192:J192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202:H202"/>
    <mergeCell ref="I202:J202"/>
    <mergeCell ref="G203:H203"/>
    <mergeCell ref="I203:J203"/>
    <mergeCell ref="I229:J229"/>
    <mergeCell ref="I230:J230"/>
    <mergeCell ref="I222:J222"/>
    <mergeCell ref="I223:J223"/>
    <mergeCell ref="I224:J224"/>
    <mergeCell ref="I225:J225"/>
    <mergeCell ref="I226:J226"/>
    <mergeCell ref="I227:J227"/>
    <mergeCell ref="I228:J228"/>
    <mergeCell ref="G204:H204"/>
    <mergeCell ref="I204:J204"/>
    <mergeCell ref="G205:H205"/>
    <mergeCell ref="I205:J205"/>
    <mergeCell ref="G206:H206"/>
    <mergeCell ref="I206:J206"/>
    <mergeCell ref="I207:J207"/>
    <mergeCell ref="G207:H207"/>
    <mergeCell ref="G208:H208"/>
    <mergeCell ref="G209:H209"/>
    <mergeCell ref="G210:H210"/>
    <mergeCell ref="G211:H211"/>
    <mergeCell ref="G212:H212"/>
    <mergeCell ref="G213:H213"/>
    <mergeCell ref="I208:J208"/>
    <mergeCell ref="I209:J209"/>
    <mergeCell ref="I210:J210"/>
    <mergeCell ref="I211:J211"/>
    <mergeCell ref="I212:J212"/>
    <mergeCell ref="I213:J213"/>
    <mergeCell ref="I214:J214"/>
    <mergeCell ref="G214:H214"/>
    <mergeCell ref="G215:H215"/>
    <mergeCell ref="G216:H216"/>
    <mergeCell ref="G217:H217"/>
    <mergeCell ref="G218:H218"/>
    <mergeCell ref="G219:H219"/>
    <mergeCell ref="G220:H220"/>
    <mergeCell ref="I215:J215"/>
    <mergeCell ref="I216:J216"/>
    <mergeCell ref="I217:J217"/>
    <mergeCell ref="I218:J218"/>
    <mergeCell ref="I219:J219"/>
    <mergeCell ref="I220:J220"/>
    <mergeCell ref="I221:J221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I231:J231"/>
    <mergeCell ref="G232:H232"/>
    <mergeCell ref="I232:J232"/>
    <mergeCell ref="I258:J258"/>
    <mergeCell ref="I259:J259"/>
    <mergeCell ref="I251:J251"/>
    <mergeCell ref="I252:J252"/>
    <mergeCell ref="I253:J253"/>
    <mergeCell ref="I254:J254"/>
    <mergeCell ref="I255:J255"/>
    <mergeCell ref="I256:J256"/>
    <mergeCell ref="I257:J257"/>
    <mergeCell ref="G233:H233"/>
    <mergeCell ref="I233:J233"/>
    <mergeCell ref="G234:H234"/>
    <mergeCell ref="I234:J234"/>
    <mergeCell ref="G235:H235"/>
    <mergeCell ref="I235:J235"/>
    <mergeCell ref="I236:J236"/>
    <mergeCell ref="G236:H236"/>
    <mergeCell ref="G237:H237"/>
    <mergeCell ref="G238:H238"/>
    <mergeCell ref="G239:H239"/>
    <mergeCell ref="G240:H240"/>
    <mergeCell ref="G241:H241"/>
    <mergeCell ref="G242:H242"/>
    <mergeCell ref="I237:J237"/>
    <mergeCell ref="I238:J238"/>
    <mergeCell ref="I239:J239"/>
    <mergeCell ref="I240:J240"/>
    <mergeCell ref="I241:J241"/>
    <mergeCell ref="I242:J242"/>
    <mergeCell ref="I243:J243"/>
    <mergeCell ref="G243:H243"/>
    <mergeCell ref="G244:H244"/>
    <mergeCell ref="G245:H245"/>
    <mergeCell ref="G246:H246"/>
    <mergeCell ref="G247:H247"/>
    <mergeCell ref="G248:H248"/>
    <mergeCell ref="G249:H249"/>
    <mergeCell ref="I244:J244"/>
    <mergeCell ref="I245:J245"/>
    <mergeCell ref="I246:J246"/>
    <mergeCell ref="I247:J247"/>
    <mergeCell ref="I248:J248"/>
    <mergeCell ref="I249:J249"/>
    <mergeCell ref="I250:J250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0:H260"/>
    <mergeCell ref="I260:J260"/>
    <mergeCell ref="G261:H261"/>
    <mergeCell ref="I261:J261"/>
    <mergeCell ref="I287:J287"/>
    <mergeCell ref="I288:J288"/>
    <mergeCell ref="A370:J370"/>
    <mergeCell ref="A438:J438"/>
    <mergeCell ref="I280:J280"/>
    <mergeCell ref="I281:J281"/>
    <mergeCell ref="I282:J282"/>
    <mergeCell ref="I283:J283"/>
    <mergeCell ref="I284:J284"/>
    <mergeCell ref="I285:J285"/>
    <mergeCell ref="I286:J286"/>
    <mergeCell ref="G262:H262"/>
    <mergeCell ref="I262:J262"/>
    <mergeCell ref="G263:H263"/>
    <mergeCell ref="I263:J263"/>
    <mergeCell ref="G264:H264"/>
    <mergeCell ref="I264:J264"/>
    <mergeCell ref="I265:J265"/>
    <mergeCell ref="G265:H265"/>
    <mergeCell ref="G266:H266"/>
    <mergeCell ref="G267:H267"/>
    <mergeCell ref="G268:H268"/>
    <mergeCell ref="G269:H269"/>
    <mergeCell ref="G270:H270"/>
    <mergeCell ref="G271:H271"/>
    <mergeCell ref="I266:J266"/>
    <mergeCell ref="I267:J267"/>
    <mergeCell ref="I268:J268"/>
    <mergeCell ref="I269:J269"/>
    <mergeCell ref="I270:J270"/>
    <mergeCell ref="I271:J271"/>
    <mergeCell ref="I272:J272"/>
    <mergeCell ref="G272:H272"/>
    <mergeCell ref="G273:H273"/>
    <mergeCell ref="G274:H274"/>
    <mergeCell ref="G275:H275"/>
    <mergeCell ref="G276:H276"/>
    <mergeCell ref="G277:H277"/>
    <mergeCell ref="G278:H278"/>
    <mergeCell ref="I273:J273"/>
    <mergeCell ref="I274:J274"/>
    <mergeCell ref="I275:J275"/>
    <mergeCell ref="I276:J276"/>
    <mergeCell ref="I277:J277"/>
    <mergeCell ref="I278:J278"/>
    <mergeCell ref="I279:J279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I289:J289"/>
    <mergeCell ref="G290:H290"/>
    <mergeCell ref="I290:J29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4" width="25.0"/>
    <col customWidth="1" min="5" max="5" width="10.71"/>
    <col customWidth="1" min="6" max="6" width="23.43"/>
    <col customWidth="1" min="7" max="7" width="16.14"/>
    <col customWidth="1" min="8" max="8" width="12.0"/>
    <col customWidth="1" min="9" max="9" width="13.43"/>
    <col customWidth="1" min="10" max="26" width="8.71"/>
  </cols>
  <sheetData>
    <row r="1" ht="12.75" customHeight="1">
      <c r="A1" s="59" t="s">
        <v>986</v>
      </c>
      <c r="B1" s="59" t="s">
        <v>987</v>
      </c>
      <c r="C1" s="59" t="s">
        <v>988</v>
      </c>
      <c r="D1" s="59" t="s">
        <v>989</v>
      </c>
      <c r="E1" s="59" t="s">
        <v>990</v>
      </c>
      <c r="F1" s="59" t="s">
        <v>991</v>
      </c>
      <c r="G1" s="60"/>
      <c r="H1" s="61"/>
      <c r="I1" s="62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75" customHeight="1">
      <c r="A2" s="64" t="s">
        <v>992</v>
      </c>
      <c r="B2" s="64" t="s">
        <v>993</v>
      </c>
      <c r="C2" s="64" t="s">
        <v>994</v>
      </c>
      <c r="D2" s="64" t="s">
        <v>993</v>
      </c>
      <c r="E2" s="65">
        <v>10501.51</v>
      </c>
      <c r="F2" s="64" t="s">
        <v>995</v>
      </c>
      <c r="G2" s="66"/>
    </row>
    <row r="3" ht="12.75" customHeight="1">
      <c r="A3" s="64" t="s">
        <v>996</v>
      </c>
      <c r="B3" s="64" t="s">
        <v>997</v>
      </c>
      <c r="C3" s="64" t="s">
        <v>994</v>
      </c>
      <c r="D3" s="64" t="s">
        <v>997</v>
      </c>
      <c r="E3" s="67">
        <v>3002.954</v>
      </c>
      <c r="F3" s="64" t="s">
        <v>995</v>
      </c>
      <c r="G3" s="68"/>
    </row>
    <row r="4" ht="12.75" customHeight="1">
      <c r="A4" s="64" t="s">
        <v>998</v>
      </c>
      <c r="B4" s="64" t="s">
        <v>999</v>
      </c>
      <c r="C4" s="64" t="s">
        <v>994</v>
      </c>
      <c r="D4" s="64" t="s">
        <v>999</v>
      </c>
      <c r="E4" s="67">
        <v>1742.514</v>
      </c>
      <c r="F4" s="64" t="s">
        <v>995</v>
      </c>
      <c r="G4" s="69"/>
    </row>
    <row r="5" ht="12.75" customHeight="1">
      <c r="A5" s="64" t="s">
        <v>1000</v>
      </c>
      <c r="B5" s="64" t="s">
        <v>1001</v>
      </c>
      <c r="C5" s="64" t="s">
        <v>994</v>
      </c>
      <c r="D5" s="64" t="s">
        <v>1001</v>
      </c>
      <c r="E5" s="70">
        <v>426.2552</v>
      </c>
      <c r="F5" s="64" t="s">
        <v>995</v>
      </c>
      <c r="G5" s="69"/>
    </row>
    <row r="6" ht="12.75" customHeight="1">
      <c r="A6" s="64" t="s">
        <v>1002</v>
      </c>
      <c r="B6" s="64" t="s">
        <v>1003</v>
      </c>
      <c r="C6" s="64" t="s">
        <v>994</v>
      </c>
      <c r="D6" s="64" t="s">
        <v>1004</v>
      </c>
      <c r="E6" s="67">
        <v>4209.542</v>
      </c>
      <c r="F6" s="64" t="s">
        <v>995</v>
      </c>
      <c r="G6" s="68"/>
    </row>
    <row r="7" ht="12.75" customHeight="1">
      <c r="A7" s="64" t="s">
        <v>1005</v>
      </c>
      <c r="B7" s="64" t="s">
        <v>1006</v>
      </c>
      <c r="C7" s="64" t="s">
        <v>994</v>
      </c>
      <c r="D7" s="64" t="s">
        <v>1006</v>
      </c>
      <c r="E7" s="70">
        <v>715.4115</v>
      </c>
      <c r="F7" s="64" t="s">
        <v>995</v>
      </c>
      <c r="G7" s="68"/>
    </row>
    <row r="8" ht="12.75" customHeight="1">
      <c r="A8" s="64" t="s">
        <v>1007</v>
      </c>
      <c r="B8" s="64" t="s">
        <v>1008</v>
      </c>
      <c r="C8" s="64" t="s">
        <v>994</v>
      </c>
      <c r="D8" s="64" t="s">
        <v>1008</v>
      </c>
      <c r="E8" s="67">
        <v>1122.485</v>
      </c>
      <c r="F8" s="64" t="s">
        <v>995</v>
      </c>
      <c r="G8" s="68"/>
    </row>
    <row r="9" ht="15.0" customHeight="1">
      <c r="A9" s="64" t="s">
        <v>1009</v>
      </c>
      <c r="B9" s="64" t="s">
        <v>1010</v>
      </c>
      <c r="C9" s="64" t="s">
        <v>994</v>
      </c>
      <c r="D9" s="64" t="s">
        <v>1010</v>
      </c>
      <c r="E9" s="67">
        <v>1215.497</v>
      </c>
      <c r="F9" s="64" t="s">
        <v>995</v>
      </c>
      <c r="G9" s="68"/>
    </row>
    <row r="10" ht="12.75" customHeight="1">
      <c r="A10" s="64" t="s">
        <v>1011</v>
      </c>
      <c r="B10" s="64" t="s">
        <v>1012</v>
      </c>
      <c r="C10" s="64" t="s">
        <v>994</v>
      </c>
      <c r="D10" s="64" t="s">
        <v>1012</v>
      </c>
      <c r="E10" s="67">
        <v>5262.454</v>
      </c>
      <c r="F10" s="64" t="s">
        <v>995</v>
      </c>
      <c r="G10" s="68"/>
    </row>
    <row r="11" ht="12.75" customHeight="1">
      <c r="A11" s="64" t="s">
        <v>1013</v>
      </c>
      <c r="B11" s="64" t="s">
        <v>1014</v>
      </c>
      <c r="C11" s="64" t="s">
        <v>994</v>
      </c>
      <c r="D11" s="64" t="s">
        <v>1014</v>
      </c>
      <c r="E11" s="70">
        <v>132.1776</v>
      </c>
      <c r="F11" s="64" t="s">
        <v>995</v>
      </c>
      <c r="G11" s="68"/>
    </row>
    <row r="12" ht="12.75" customHeight="1">
      <c r="A12" s="64" t="s">
        <v>1015</v>
      </c>
      <c r="B12" s="64" t="s">
        <v>1016</v>
      </c>
      <c r="C12" s="64" t="s">
        <v>994</v>
      </c>
      <c r="D12" s="64" t="s">
        <v>1016</v>
      </c>
      <c r="E12" s="67">
        <v>1132.813</v>
      </c>
      <c r="F12" s="64" t="s">
        <v>995</v>
      </c>
      <c r="G12" s="68"/>
    </row>
    <row r="13" ht="12.75" customHeight="1">
      <c r="A13" s="64" t="s">
        <v>1017</v>
      </c>
      <c r="B13" s="64" t="s">
        <v>993</v>
      </c>
      <c r="C13" s="64" t="s">
        <v>1018</v>
      </c>
      <c r="D13" s="64" t="s">
        <v>993</v>
      </c>
      <c r="E13" s="70">
        <v>809.9935</v>
      </c>
      <c r="F13" s="64" t="s">
        <v>995</v>
      </c>
      <c r="G13" s="71"/>
    </row>
    <row r="14" ht="16.5" customHeight="1">
      <c r="A14" s="64" t="s">
        <v>1019</v>
      </c>
      <c r="B14" s="64" t="s">
        <v>997</v>
      </c>
      <c r="C14" s="64" t="s">
        <v>1018</v>
      </c>
      <c r="D14" s="64" t="s">
        <v>997</v>
      </c>
      <c r="E14" s="70">
        <v>206.0571</v>
      </c>
      <c r="F14" s="64" t="s">
        <v>995</v>
      </c>
      <c r="G14" s="71"/>
    </row>
    <row r="15" ht="12.75" customHeight="1">
      <c r="A15" s="64" t="s">
        <v>1020</v>
      </c>
      <c r="B15" s="64" t="s">
        <v>999</v>
      </c>
      <c r="C15" s="64" t="s">
        <v>1018</v>
      </c>
      <c r="D15" s="64" t="s">
        <v>999</v>
      </c>
      <c r="E15" s="72">
        <v>89.96992</v>
      </c>
      <c r="F15" s="64" t="s">
        <v>995</v>
      </c>
      <c r="G15" s="71"/>
    </row>
    <row r="16" ht="12.75" customHeight="1">
      <c r="A16" s="64" t="s">
        <v>1021</v>
      </c>
      <c r="B16" s="64" t="s">
        <v>1001</v>
      </c>
      <c r="C16" s="64" t="s">
        <v>1018</v>
      </c>
      <c r="D16" s="64" t="s">
        <v>1001</v>
      </c>
      <c r="E16" s="72">
        <v>60.99131</v>
      </c>
      <c r="F16" s="64" t="s">
        <v>995</v>
      </c>
      <c r="G16" s="71"/>
    </row>
    <row r="17" ht="12.75" customHeight="1">
      <c r="A17" s="64" t="s">
        <v>1022</v>
      </c>
      <c r="B17" s="64" t="s">
        <v>1003</v>
      </c>
      <c r="C17" s="64" t="s">
        <v>1018</v>
      </c>
      <c r="D17" s="64" t="s">
        <v>1004</v>
      </c>
      <c r="E17" s="70">
        <v>135.4126</v>
      </c>
      <c r="F17" s="64" t="s">
        <v>995</v>
      </c>
      <c r="G17" s="71"/>
    </row>
    <row r="18" ht="12.75" customHeight="1">
      <c r="A18" s="64" t="s">
        <v>1023</v>
      </c>
      <c r="B18" s="64" t="s">
        <v>1006</v>
      </c>
      <c r="C18" s="64" t="s">
        <v>1018</v>
      </c>
      <c r="D18" s="64" t="s">
        <v>1006</v>
      </c>
      <c r="E18" s="72">
        <v>36.02827</v>
      </c>
      <c r="F18" s="64" t="s">
        <v>995</v>
      </c>
      <c r="G18" s="71"/>
    </row>
    <row r="19" ht="12.75" customHeight="1">
      <c r="A19" s="64" t="s">
        <v>1024</v>
      </c>
      <c r="B19" s="64" t="s">
        <v>1008</v>
      </c>
      <c r="C19" s="64" t="s">
        <v>1018</v>
      </c>
      <c r="D19" s="64" t="s">
        <v>1008</v>
      </c>
      <c r="E19" s="72">
        <v>93.90538</v>
      </c>
      <c r="F19" s="64" t="s">
        <v>995</v>
      </c>
      <c r="G19" s="71"/>
    </row>
    <row r="20" ht="14.25" customHeight="1">
      <c r="A20" s="64" t="s">
        <v>1025</v>
      </c>
      <c r="B20" s="64" t="s">
        <v>1010</v>
      </c>
      <c r="C20" s="64" t="s">
        <v>1018</v>
      </c>
      <c r="D20" s="64" t="s">
        <v>1010</v>
      </c>
      <c r="E20" s="70">
        <v>67.9349</v>
      </c>
      <c r="F20" s="64" t="s">
        <v>995</v>
      </c>
      <c r="G20" s="71"/>
    </row>
    <row r="21" ht="12.75" customHeight="1">
      <c r="A21" s="64" t="s">
        <v>1026</v>
      </c>
      <c r="B21" s="64" t="s">
        <v>1012</v>
      </c>
      <c r="C21" s="64" t="s">
        <v>1018</v>
      </c>
      <c r="D21" s="64" t="s">
        <v>1012</v>
      </c>
      <c r="E21" s="70">
        <v>164.2936</v>
      </c>
      <c r="F21" s="64" t="s">
        <v>995</v>
      </c>
      <c r="G21" s="71"/>
    </row>
    <row r="22" ht="12.75" customHeight="1">
      <c r="A22" s="64" t="s">
        <v>1027</v>
      </c>
      <c r="B22" s="64" t="s">
        <v>1014</v>
      </c>
      <c r="C22" s="64" t="s">
        <v>1018</v>
      </c>
      <c r="D22" s="64" t="s">
        <v>1014</v>
      </c>
      <c r="E22" s="73">
        <v>0.0</v>
      </c>
      <c r="F22" s="64" t="s">
        <v>995</v>
      </c>
      <c r="G22" s="71"/>
    </row>
    <row r="23" ht="12.75" customHeight="1">
      <c r="A23" s="64" t="s">
        <v>1028</v>
      </c>
      <c r="B23" s="64" t="s">
        <v>1016</v>
      </c>
      <c r="C23" s="64" t="s">
        <v>1018</v>
      </c>
      <c r="D23" s="64" t="s">
        <v>1016</v>
      </c>
      <c r="E23" s="73">
        <v>0.0</v>
      </c>
      <c r="F23" s="64" t="s">
        <v>995</v>
      </c>
      <c r="G23" s="71"/>
    </row>
    <row r="24" ht="12.75" customHeight="1">
      <c r="A24" s="71" t="s">
        <v>1029</v>
      </c>
      <c r="B24" s="71" t="s">
        <v>1030</v>
      </c>
      <c r="C24" s="71" t="s">
        <v>1031</v>
      </c>
      <c r="D24" s="71" t="s">
        <v>993</v>
      </c>
      <c r="E24" s="74">
        <v>1676.4759187349025</v>
      </c>
      <c r="F24" s="64" t="s">
        <v>1032</v>
      </c>
      <c r="G24" s="66"/>
    </row>
    <row r="25" ht="12.75" customHeight="1">
      <c r="A25" s="64" t="s">
        <v>1033</v>
      </c>
      <c r="B25" s="64" t="s">
        <v>1034</v>
      </c>
      <c r="C25" s="64" t="s">
        <v>1035</v>
      </c>
      <c r="D25" s="71" t="s">
        <v>993</v>
      </c>
      <c r="E25" s="65">
        <v>9635.027581265098</v>
      </c>
      <c r="F25" s="64" t="s">
        <v>1032</v>
      </c>
      <c r="G25" s="66"/>
    </row>
    <row r="26" ht="12.75" customHeight="1">
      <c r="A26" s="64" t="s">
        <v>1036</v>
      </c>
      <c r="B26" s="64" t="s">
        <v>1037</v>
      </c>
      <c r="C26" s="64" t="s">
        <v>1038</v>
      </c>
      <c r="D26" s="64" t="s">
        <v>1038</v>
      </c>
      <c r="E26" s="74">
        <v>2650.8100381381637</v>
      </c>
      <c r="F26" s="64" t="s">
        <v>1032</v>
      </c>
      <c r="G26" s="71"/>
    </row>
    <row r="27" ht="12.75" customHeight="1">
      <c r="A27" s="64" t="s">
        <v>1039</v>
      </c>
      <c r="B27" s="64" t="s">
        <v>1030</v>
      </c>
      <c r="C27" s="64" t="s">
        <v>1038</v>
      </c>
      <c r="D27" s="64" t="s">
        <v>1038</v>
      </c>
      <c r="E27" s="74">
        <v>558.2010618618365</v>
      </c>
      <c r="F27" s="64" t="s">
        <v>1032</v>
      </c>
      <c r="G27" s="71"/>
    </row>
    <row r="28" ht="12.75" customHeight="1">
      <c r="A28" s="64" t="s">
        <v>1040</v>
      </c>
      <c r="B28" s="64" t="s">
        <v>1041</v>
      </c>
      <c r="C28" s="64" t="s">
        <v>999</v>
      </c>
      <c r="D28" s="64" t="s">
        <v>999</v>
      </c>
      <c r="E28" s="74">
        <v>338.0203845068775</v>
      </c>
      <c r="F28" s="64" t="s">
        <v>1032</v>
      </c>
      <c r="G28" s="71"/>
    </row>
    <row r="29" ht="12.75" customHeight="1">
      <c r="A29" s="64" t="s">
        <v>1042</v>
      </c>
      <c r="B29" s="64" t="s">
        <v>1043</v>
      </c>
      <c r="C29" s="64" t="s">
        <v>999</v>
      </c>
      <c r="D29" s="64" t="s">
        <v>999</v>
      </c>
      <c r="E29" s="74">
        <v>305.34001257810456</v>
      </c>
      <c r="F29" s="64" t="s">
        <v>1032</v>
      </c>
      <c r="G29" s="71"/>
    </row>
    <row r="30" ht="12.75" customHeight="1">
      <c r="A30" s="64" t="s">
        <v>1044</v>
      </c>
      <c r="B30" s="64" t="s">
        <v>1030</v>
      </c>
      <c r="C30" s="64" t="s">
        <v>999</v>
      </c>
      <c r="D30" s="64" t="s">
        <v>999</v>
      </c>
      <c r="E30" s="74">
        <v>1189.123522915018</v>
      </c>
      <c r="F30" s="64" t="s">
        <v>1032</v>
      </c>
      <c r="G30" s="71"/>
    </row>
    <row r="31" ht="12.75" customHeight="1">
      <c r="A31" s="64" t="s">
        <v>1045</v>
      </c>
      <c r="B31" s="64" t="s">
        <v>1046</v>
      </c>
      <c r="C31" s="64" t="s">
        <v>1001</v>
      </c>
      <c r="D31" s="64" t="s">
        <v>1001</v>
      </c>
      <c r="E31" s="71">
        <v>360.6670159672147</v>
      </c>
      <c r="F31" s="64" t="s">
        <v>1032</v>
      </c>
      <c r="G31" s="71"/>
    </row>
    <row r="32" ht="12.75" customHeight="1">
      <c r="A32" s="64" t="s">
        <v>1047</v>
      </c>
      <c r="B32" s="64" t="s">
        <v>1030</v>
      </c>
      <c r="C32" s="64" t="s">
        <v>1001</v>
      </c>
      <c r="D32" s="64" t="s">
        <v>1001</v>
      </c>
      <c r="E32" s="74">
        <v>126.57949403278532</v>
      </c>
      <c r="F32" s="64" t="s">
        <v>1032</v>
      </c>
      <c r="G32" s="71"/>
    </row>
    <row r="33" ht="12.75" customHeight="1">
      <c r="A33" s="64" t="s">
        <v>1048</v>
      </c>
      <c r="B33" s="64" t="s">
        <v>1049</v>
      </c>
      <c r="C33" s="64" t="s">
        <v>1004</v>
      </c>
      <c r="D33" s="64" t="s">
        <v>1004</v>
      </c>
      <c r="E33" s="71">
        <v>3799.946429670163</v>
      </c>
      <c r="F33" s="64" t="s">
        <v>1032</v>
      </c>
      <c r="G33" s="71"/>
    </row>
    <row r="34" ht="12.75" customHeight="1">
      <c r="A34" s="64" t="s">
        <v>1050</v>
      </c>
      <c r="B34" s="64" t="s">
        <v>1030</v>
      </c>
      <c r="C34" s="64" t="s">
        <v>1004</v>
      </c>
      <c r="D34" s="64" t="s">
        <v>1004</v>
      </c>
      <c r="E34" s="74">
        <v>545.0081703298368</v>
      </c>
      <c r="F34" s="64" t="s">
        <v>1032</v>
      </c>
      <c r="G34" s="71"/>
    </row>
    <row r="35" ht="12.75" customHeight="1">
      <c r="A35" s="64" t="s">
        <v>1051</v>
      </c>
      <c r="B35" s="64" t="s">
        <v>1049</v>
      </c>
      <c r="C35" s="64" t="s">
        <v>1052</v>
      </c>
      <c r="D35" s="64" t="s">
        <v>1052</v>
      </c>
      <c r="E35" s="71">
        <v>376.78578033810373</v>
      </c>
      <c r="F35" s="64" t="s">
        <v>1032</v>
      </c>
      <c r="G35" s="71"/>
    </row>
    <row r="36" ht="12.75" customHeight="1">
      <c r="A36" s="64" t="s">
        <v>1053</v>
      </c>
      <c r="B36" s="64" t="s">
        <v>1030</v>
      </c>
      <c r="C36" s="64" t="s">
        <v>1052</v>
      </c>
      <c r="D36" s="64" t="s">
        <v>1052</v>
      </c>
      <c r="E36" s="74">
        <v>374.65398966189633</v>
      </c>
      <c r="F36" s="64" t="s">
        <v>1032</v>
      </c>
      <c r="G36" s="71"/>
    </row>
    <row r="37" ht="12.75" customHeight="1">
      <c r="A37" s="64" t="s">
        <v>1054</v>
      </c>
      <c r="B37" s="64" t="s">
        <v>1049</v>
      </c>
      <c r="C37" s="64" t="s">
        <v>1008</v>
      </c>
      <c r="D37" s="64" t="s">
        <v>1008</v>
      </c>
      <c r="E37" s="71">
        <v>918.6061342059613</v>
      </c>
      <c r="F37" s="64" t="s">
        <v>1032</v>
      </c>
      <c r="G37" s="71"/>
    </row>
    <row r="38" ht="12.75" customHeight="1">
      <c r="A38" s="64" t="s">
        <v>1055</v>
      </c>
      <c r="B38" s="64" t="s">
        <v>1030</v>
      </c>
      <c r="C38" s="64" t="s">
        <v>1008</v>
      </c>
      <c r="D38" s="64" t="s">
        <v>1008</v>
      </c>
      <c r="E38" s="74">
        <v>297.7842457940385</v>
      </c>
      <c r="F38" s="64" t="s">
        <v>1032</v>
      </c>
      <c r="G38" s="71"/>
    </row>
    <row r="39" ht="12.75" customHeight="1">
      <c r="A39" s="64" t="s">
        <v>1056</v>
      </c>
      <c r="B39" s="64" t="s">
        <v>1049</v>
      </c>
      <c r="C39" s="64" t="s">
        <v>1010</v>
      </c>
      <c r="D39" s="64" t="s">
        <v>1010</v>
      </c>
      <c r="E39" s="71">
        <v>1159.3072633997383</v>
      </c>
      <c r="F39" s="64" t="s">
        <v>1032</v>
      </c>
      <c r="G39" s="71"/>
    </row>
    <row r="40" ht="12.75" customHeight="1">
      <c r="A40" s="64" t="s">
        <v>1057</v>
      </c>
      <c r="B40" s="64" t="s">
        <v>1030</v>
      </c>
      <c r="C40" s="64" t="s">
        <v>1010</v>
      </c>
      <c r="D40" s="64" t="s">
        <v>1010</v>
      </c>
      <c r="E40" s="74">
        <v>124.12463660026172</v>
      </c>
      <c r="F40" s="64" t="s">
        <v>1032</v>
      </c>
      <c r="G40" s="71"/>
    </row>
    <row r="41" ht="12.75" customHeight="1">
      <c r="A41" s="64" t="s">
        <v>1058</v>
      </c>
      <c r="B41" s="64" t="s">
        <v>1059</v>
      </c>
      <c r="C41" s="64" t="s">
        <v>1012</v>
      </c>
      <c r="D41" s="64" t="s">
        <v>1012</v>
      </c>
      <c r="E41" s="71">
        <v>4671.298441244082</v>
      </c>
      <c r="F41" s="64" t="s">
        <v>1032</v>
      </c>
      <c r="G41" s="71"/>
    </row>
    <row r="42" ht="12.75" customHeight="1">
      <c r="A42" s="64" t="s">
        <v>1060</v>
      </c>
      <c r="B42" s="64" t="s">
        <v>1030</v>
      </c>
      <c r="C42" s="64" t="s">
        <v>1012</v>
      </c>
      <c r="D42" s="64" t="s">
        <v>1012</v>
      </c>
      <c r="E42" s="74">
        <v>755.4491587559178</v>
      </c>
      <c r="F42" s="64" t="s">
        <v>1032</v>
      </c>
      <c r="G42" s="71"/>
    </row>
    <row r="43" ht="12.75" customHeight="1">
      <c r="A43" s="64" t="s">
        <v>1061</v>
      </c>
      <c r="B43" s="64" t="s">
        <v>1062</v>
      </c>
      <c r="C43" s="64" t="s">
        <v>1014</v>
      </c>
      <c r="D43" s="64" t="s">
        <v>1014</v>
      </c>
      <c r="E43" s="71">
        <v>93.19226150469093</v>
      </c>
      <c r="F43" s="64" t="s">
        <v>1032</v>
      </c>
      <c r="G43" s="71"/>
    </row>
    <row r="44" ht="12.75" customHeight="1">
      <c r="A44" s="64" t="s">
        <v>1063</v>
      </c>
      <c r="B44" s="64" t="s">
        <v>1064</v>
      </c>
      <c r="C44" s="64" t="s">
        <v>1016</v>
      </c>
      <c r="D44" s="64" t="s">
        <v>1016</v>
      </c>
      <c r="E44" s="71">
        <v>1047.438713524704</v>
      </c>
      <c r="F44" s="64" t="s">
        <v>1032</v>
      </c>
      <c r="G44" s="71"/>
    </row>
    <row r="45" ht="12.75" customHeight="1">
      <c r="A45" s="64" t="s">
        <v>1065</v>
      </c>
      <c r="B45" s="64" t="s">
        <v>1030</v>
      </c>
      <c r="C45" s="64" t="s">
        <v>1014</v>
      </c>
      <c r="D45" s="64" t="s">
        <v>1014</v>
      </c>
      <c r="E45" s="74">
        <v>38.98533849530909</v>
      </c>
      <c r="F45" s="64" t="s">
        <v>1032</v>
      </c>
      <c r="G45" s="71"/>
    </row>
    <row r="46" ht="12.75" customHeight="1">
      <c r="A46" s="64" t="s">
        <v>1066</v>
      </c>
      <c r="B46" s="64" t="s">
        <v>1030</v>
      </c>
      <c r="C46" s="64" t="s">
        <v>1016</v>
      </c>
      <c r="D46" s="64" t="s">
        <v>1016</v>
      </c>
      <c r="E46" s="74">
        <v>85.37428647529593</v>
      </c>
      <c r="F46" s="64" t="s">
        <v>1032</v>
      </c>
      <c r="G46" s="71"/>
    </row>
    <row r="47" ht="12.75" customHeight="1">
      <c r="A47" s="75" t="s">
        <v>1067</v>
      </c>
      <c r="B47" s="76" t="s">
        <v>1059</v>
      </c>
      <c r="C47" s="76" t="s">
        <v>1068</v>
      </c>
      <c r="D47" s="76" t="s">
        <v>1068</v>
      </c>
      <c r="E47" s="71">
        <v>288.1504321730859</v>
      </c>
      <c r="F47" s="64" t="s">
        <v>1032</v>
      </c>
      <c r="G47" s="71"/>
    </row>
    <row r="48" ht="12.75" customHeight="1">
      <c r="A48" s="75" t="s">
        <v>1069</v>
      </c>
      <c r="B48" s="76" t="s">
        <v>1046</v>
      </c>
      <c r="C48" s="76" t="s">
        <v>1068</v>
      </c>
      <c r="D48" s="76" t="s">
        <v>1068</v>
      </c>
      <c r="E48" s="71">
        <v>18.98884069513032</v>
      </c>
      <c r="F48" s="64" t="s">
        <v>1032</v>
      </c>
      <c r="G48" s="71"/>
    </row>
    <row r="49" ht="12.75" customHeight="1">
      <c r="A49" s="75" t="s">
        <v>1070</v>
      </c>
      <c r="B49" s="76" t="s">
        <v>1041</v>
      </c>
      <c r="C49" s="76" t="s">
        <v>1068</v>
      </c>
      <c r="D49" s="76" t="s">
        <v>1068</v>
      </c>
      <c r="E49" s="71">
        <v>12.569962947084257</v>
      </c>
      <c r="F49" s="64" t="s">
        <v>1032</v>
      </c>
      <c r="G49" s="71"/>
    </row>
    <row r="50" ht="12.75" customHeight="1">
      <c r="A50" s="75" t="s">
        <v>1071</v>
      </c>
      <c r="B50" s="76" t="s">
        <v>1043</v>
      </c>
      <c r="C50" s="76" t="s">
        <v>1068</v>
      </c>
      <c r="D50" s="76" t="s">
        <v>1068</v>
      </c>
      <c r="E50" s="71">
        <v>20.253588857660827</v>
      </c>
      <c r="F50" s="64" t="s">
        <v>1032</v>
      </c>
      <c r="G50" s="71"/>
    </row>
    <row r="51" ht="12.75" customHeight="1">
      <c r="A51" s="75" t="s">
        <v>1072</v>
      </c>
      <c r="B51" s="76" t="s">
        <v>1049</v>
      </c>
      <c r="C51" s="76" t="s">
        <v>1043</v>
      </c>
      <c r="D51" s="76" t="s">
        <v>1043</v>
      </c>
      <c r="E51" s="71">
        <v>325.5936014357654</v>
      </c>
      <c r="F51" s="64" t="s">
        <v>1032</v>
      </c>
      <c r="G51" s="71"/>
    </row>
    <row r="52" ht="12.75" customHeight="1">
      <c r="A52" s="75" t="s">
        <v>1073</v>
      </c>
      <c r="B52" s="76" t="s">
        <v>1049</v>
      </c>
      <c r="C52" s="76" t="s">
        <v>1068</v>
      </c>
      <c r="D52" s="76" t="s">
        <v>1068</v>
      </c>
      <c r="E52" s="71">
        <v>154.63599102166253</v>
      </c>
      <c r="F52" s="64" t="s">
        <v>1032</v>
      </c>
      <c r="G52" s="71"/>
    </row>
    <row r="53" ht="12.75" customHeight="1">
      <c r="A53" s="75" t="s">
        <v>1074</v>
      </c>
      <c r="B53" s="76" t="s">
        <v>1037</v>
      </c>
      <c r="C53" s="76" t="s">
        <v>1068</v>
      </c>
      <c r="D53" s="76" t="s">
        <v>1068</v>
      </c>
      <c r="E53" s="71">
        <v>124.93970128572991</v>
      </c>
      <c r="F53" s="64" t="s">
        <v>1032</v>
      </c>
      <c r="G53" s="71"/>
    </row>
    <row r="54" ht="12.75" customHeight="1">
      <c r="A54" s="75" t="s">
        <v>1075</v>
      </c>
      <c r="B54" s="76" t="s">
        <v>1076</v>
      </c>
      <c r="C54" s="76" t="s">
        <v>1037</v>
      </c>
      <c r="D54" s="71"/>
      <c r="E54" s="71">
        <v>2775.7497394238935</v>
      </c>
      <c r="F54" s="64" t="s">
        <v>1032</v>
      </c>
      <c r="G54" s="71"/>
    </row>
    <row r="55" ht="12.75" customHeight="1">
      <c r="A55" s="75" t="s">
        <v>1077</v>
      </c>
      <c r="B55" s="76" t="s">
        <v>1076</v>
      </c>
      <c r="C55" s="76" t="s">
        <v>1068</v>
      </c>
      <c r="D55" s="76" t="s">
        <v>1068</v>
      </c>
      <c r="E55" s="71">
        <v>181.08275894670214</v>
      </c>
      <c r="F55" s="64" t="s">
        <v>1032</v>
      </c>
      <c r="G55" s="71"/>
    </row>
    <row r="56" ht="12.75" customHeight="1">
      <c r="A56" s="75" t="s">
        <v>1078</v>
      </c>
      <c r="B56" s="76" t="s">
        <v>1034</v>
      </c>
      <c r="C56" s="76" t="s">
        <v>1076</v>
      </c>
      <c r="D56" s="71"/>
      <c r="E56" s="71">
        <v>2956.8324983705957</v>
      </c>
      <c r="F56" s="64" t="s">
        <v>1032</v>
      </c>
      <c r="G56" s="71"/>
    </row>
    <row r="57" ht="12.75" customHeight="1">
      <c r="A57" s="75" t="s">
        <v>1079</v>
      </c>
      <c r="B57" s="76" t="s">
        <v>1034</v>
      </c>
      <c r="C57" s="76" t="s">
        <v>1041</v>
      </c>
      <c r="D57" s="71"/>
      <c r="E57" s="71">
        <v>350.5903474539618</v>
      </c>
      <c r="F57" s="64" t="s">
        <v>1032</v>
      </c>
      <c r="G57" s="71"/>
    </row>
    <row r="58" ht="12.75" customHeight="1">
      <c r="A58" s="75" t="s">
        <v>1080</v>
      </c>
      <c r="B58" s="76" t="s">
        <v>1034</v>
      </c>
      <c r="C58" s="76" t="s">
        <v>1068</v>
      </c>
      <c r="D58" s="76" t="s">
        <v>1068</v>
      </c>
      <c r="E58" s="71">
        <v>435.2972857861363</v>
      </c>
      <c r="F58" s="64" t="s">
        <v>1032</v>
      </c>
      <c r="G58" s="71"/>
    </row>
    <row r="59" ht="12.75" customHeight="1">
      <c r="A59" s="75" t="s">
        <v>1081</v>
      </c>
      <c r="B59" s="76" t="s">
        <v>1082</v>
      </c>
      <c r="C59" s="76" t="s">
        <v>1059</v>
      </c>
      <c r="D59" s="71"/>
      <c r="E59" s="71">
        <v>4475.42770046235</v>
      </c>
      <c r="F59" s="64" t="s">
        <v>1032</v>
      </c>
      <c r="G59" s="71"/>
    </row>
    <row r="60" ht="12.75" customHeight="1">
      <c r="A60" s="75" t="s">
        <v>1083</v>
      </c>
      <c r="B60" s="76" t="s">
        <v>1084</v>
      </c>
      <c r="C60" s="76" t="s">
        <v>1059</v>
      </c>
      <c r="D60" s="71"/>
      <c r="E60" s="71">
        <v>484.0211729548185</v>
      </c>
      <c r="F60" s="64" t="s">
        <v>1032</v>
      </c>
      <c r="G60" s="71"/>
    </row>
    <row r="61" ht="12.75" customHeight="1">
      <c r="A61" s="75" t="s">
        <v>1085</v>
      </c>
      <c r="B61" s="76" t="s">
        <v>1086</v>
      </c>
      <c r="C61" s="76" t="s">
        <v>1049</v>
      </c>
      <c r="D61" s="71"/>
      <c r="E61" s="71">
        <v>6077.596691881694</v>
      </c>
      <c r="F61" s="64" t="s">
        <v>1032</v>
      </c>
      <c r="G61" s="71"/>
    </row>
    <row r="62" ht="12.75" customHeight="1">
      <c r="A62" s="75" t="s">
        <v>1087</v>
      </c>
      <c r="B62" s="76" t="s">
        <v>1084</v>
      </c>
      <c r="C62" s="76" t="s">
        <v>1049</v>
      </c>
      <c r="D62" s="71"/>
      <c r="E62" s="71">
        <v>657.2785081896996</v>
      </c>
      <c r="F62" s="64" t="s">
        <v>1032</v>
      </c>
      <c r="G62" s="71"/>
    </row>
    <row r="63" ht="12.75" customHeight="1">
      <c r="A63" s="75" t="s">
        <v>1088</v>
      </c>
      <c r="B63" s="76" t="s">
        <v>1089</v>
      </c>
      <c r="C63" s="76" t="s">
        <v>1046</v>
      </c>
      <c r="D63" s="71"/>
      <c r="E63" s="71">
        <v>342.6034093078715</v>
      </c>
      <c r="F63" s="64" t="s">
        <v>1032</v>
      </c>
      <c r="G63" s="71"/>
    </row>
    <row r="64" ht="12.75" customHeight="1">
      <c r="A64" s="75" t="s">
        <v>1090</v>
      </c>
      <c r="B64" s="76" t="s">
        <v>1084</v>
      </c>
      <c r="C64" s="76" t="s">
        <v>1046</v>
      </c>
      <c r="D64" s="71"/>
      <c r="E64" s="71">
        <v>37.05244735447346</v>
      </c>
      <c r="F64" s="64" t="s">
        <v>1032</v>
      </c>
      <c r="G64" s="71"/>
    </row>
    <row r="65" ht="12.75" customHeight="1">
      <c r="A65" s="75" t="s">
        <v>1091</v>
      </c>
      <c r="B65" s="76" t="s">
        <v>1089</v>
      </c>
      <c r="C65" s="76" t="s">
        <v>1034</v>
      </c>
      <c r="D65" s="71"/>
      <c r="E65" s="71">
        <v>12072.157744951792</v>
      </c>
      <c r="F65" s="64" t="s">
        <v>1032</v>
      </c>
      <c r="G65" s="71"/>
    </row>
    <row r="66" ht="12.75" customHeight="1">
      <c r="A66" s="75" t="s">
        <v>1092</v>
      </c>
      <c r="B66" s="76" t="s">
        <v>1084</v>
      </c>
      <c r="C66" s="76" t="s">
        <v>1034</v>
      </c>
      <c r="D66" s="71"/>
      <c r="E66" s="71">
        <v>1305.5899679239978</v>
      </c>
      <c r="F66" s="64" t="s">
        <v>1032</v>
      </c>
      <c r="G66" s="71"/>
    </row>
    <row r="67" ht="12.75" customHeight="1">
      <c r="A67" s="75" t="s">
        <v>1093</v>
      </c>
      <c r="B67" s="76" t="s">
        <v>1086</v>
      </c>
      <c r="C67" s="76" t="s">
        <v>1086</v>
      </c>
      <c r="D67" s="71"/>
      <c r="E67" s="71">
        <v>139.7726190555766</v>
      </c>
      <c r="F67" s="64" t="s">
        <v>1032</v>
      </c>
      <c r="G67" s="71"/>
    </row>
    <row r="68" ht="12.75" customHeight="1">
      <c r="A68" s="75" t="s">
        <v>1094</v>
      </c>
      <c r="B68" s="76" t="s">
        <v>1086</v>
      </c>
      <c r="C68" s="76" t="s">
        <v>1095</v>
      </c>
      <c r="D68" s="71"/>
      <c r="E68" s="71">
        <v>26.54095769809798</v>
      </c>
      <c r="F68" s="64" t="s">
        <v>1032</v>
      </c>
      <c r="G68" s="71"/>
    </row>
    <row r="69" ht="12.75" customHeight="1">
      <c r="A69" s="75" t="s">
        <v>1096</v>
      </c>
      <c r="B69" s="76" t="s">
        <v>1082</v>
      </c>
      <c r="C69" s="76" t="s">
        <v>1082</v>
      </c>
      <c r="D69" s="71"/>
      <c r="E69" s="71">
        <v>204.17920280844626</v>
      </c>
      <c r="F69" s="64" t="s">
        <v>1032</v>
      </c>
      <c r="G69" s="71"/>
    </row>
    <row r="70" ht="12.75" customHeight="1">
      <c r="A70" s="75" t="s">
        <v>1097</v>
      </c>
      <c r="B70" s="76" t="s">
        <v>1082</v>
      </c>
      <c r="C70" s="76" t="s">
        <v>1095</v>
      </c>
      <c r="D70" s="71"/>
      <c r="E70" s="71">
        <v>30.44716421440276</v>
      </c>
      <c r="F70" s="64" t="s">
        <v>1032</v>
      </c>
      <c r="G70" s="71"/>
    </row>
    <row r="71" ht="12.75" customHeight="1">
      <c r="A71" s="75" t="s">
        <v>1098</v>
      </c>
      <c r="B71" s="76" t="s">
        <v>1089</v>
      </c>
      <c r="C71" s="76" t="s">
        <v>1089</v>
      </c>
      <c r="D71" s="71"/>
      <c r="E71" s="71">
        <v>463.8477042630879</v>
      </c>
      <c r="F71" s="64" t="s">
        <v>1032</v>
      </c>
      <c r="G71" s="71"/>
    </row>
    <row r="72" ht="12.75" customHeight="1">
      <c r="A72" s="75" t="s">
        <v>1099</v>
      </c>
      <c r="B72" s="76" t="s">
        <v>1089</v>
      </c>
      <c r="C72" s="76" t="s">
        <v>1095</v>
      </c>
      <c r="D72" s="71"/>
      <c r="E72" s="71">
        <v>135.96480085770565</v>
      </c>
      <c r="F72" s="64" t="s">
        <v>1032</v>
      </c>
      <c r="G72" s="71"/>
    </row>
    <row r="73" ht="12.75" customHeight="1">
      <c r="A73" s="75" t="s">
        <v>1100</v>
      </c>
      <c r="B73" s="76" t="s">
        <v>1084</v>
      </c>
      <c r="C73" s="76" t="s">
        <v>1068</v>
      </c>
      <c r="D73" s="71"/>
      <c r="E73" s="71">
        <v>143.4128886157346</v>
      </c>
      <c r="F73" s="64" t="s">
        <v>1032</v>
      </c>
      <c r="G73" s="71"/>
    </row>
    <row r="74" ht="12.75" customHeight="1">
      <c r="A74" s="75" t="s">
        <v>1101</v>
      </c>
      <c r="B74" s="76" t="s">
        <v>1102</v>
      </c>
      <c r="C74" s="76" t="s">
        <v>1084</v>
      </c>
      <c r="D74" s="71"/>
      <c r="E74" s="71">
        <v>2627.354985038724</v>
      </c>
      <c r="F74" s="64" t="s">
        <v>1032</v>
      </c>
      <c r="G74" s="71"/>
    </row>
    <row r="75" ht="12.75" customHeight="1">
      <c r="A75" s="75" t="s">
        <v>1103</v>
      </c>
      <c r="B75" s="76" t="s">
        <v>1062</v>
      </c>
      <c r="C75" s="76" t="s">
        <v>1062</v>
      </c>
      <c r="D75" s="71"/>
      <c r="E75" s="71">
        <v>62.25517495361374</v>
      </c>
      <c r="F75" s="64" t="s">
        <v>1032</v>
      </c>
      <c r="G75" s="71"/>
    </row>
    <row r="76" ht="12.75" customHeight="1">
      <c r="A76" s="75" t="s">
        <v>1104</v>
      </c>
      <c r="B76" s="76" t="s">
        <v>1062</v>
      </c>
      <c r="C76" s="76" t="s">
        <v>1095</v>
      </c>
      <c r="D76" s="71"/>
      <c r="E76" s="71">
        <v>36.33486109849116</v>
      </c>
      <c r="F76" s="64" t="s">
        <v>1032</v>
      </c>
      <c r="G76" s="71"/>
    </row>
    <row r="77" ht="12.75" customHeight="1">
      <c r="A77" s="75" t="s">
        <v>1105</v>
      </c>
      <c r="B77" s="76" t="s">
        <v>1064</v>
      </c>
      <c r="C77" s="76" t="s">
        <v>1106</v>
      </c>
      <c r="D77" s="71"/>
      <c r="E77" s="71">
        <v>334.05607383275105</v>
      </c>
      <c r="F77" s="64" t="s">
        <v>1032</v>
      </c>
      <c r="G77" s="71"/>
    </row>
    <row r="78" ht="12.75" customHeight="1">
      <c r="A78" s="75" t="s">
        <v>1107</v>
      </c>
      <c r="B78" s="76" t="s">
        <v>1064</v>
      </c>
      <c r="C78" s="76" t="s">
        <v>1095</v>
      </c>
      <c r="D78" s="71"/>
      <c r="E78" s="71">
        <v>322.91562796569303</v>
      </c>
      <c r="F78" s="64" t="s">
        <v>1032</v>
      </c>
      <c r="G78" s="71"/>
    </row>
    <row r="79" ht="12.75" customHeight="1">
      <c r="A79" s="75" t="s">
        <v>1108</v>
      </c>
      <c r="B79" s="76" t="s">
        <v>1030</v>
      </c>
      <c r="C79" s="76" t="s">
        <v>1062</v>
      </c>
      <c r="D79" s="71"/>
      <c r="E79" s="71">
        <v>0.0</v>
      </c>
      <c r="F79" s="64" t="s">
        <v>1032</v>
      </c>
      <c r="G79" s="71"/>
    </row>
    <row r="80" ht="12.75" customHeight="1">
      <c r="A80" s="75" t="s">
        <v>1109</v>
      </c>
      <c r="B80" s="76" t="s">
        <v>1110</v>
      </c>
      <c r="C80" s="76" t="s">
        <v>1062</v>
      </c>
      <c r="D80" s="71"/>
      <c r="E80" s="71">
        <v>24.0352498579003</v>
      </c>
      <c r="F80" s="64" t="s">
        <v>1111</v>
      </c>
      <c r="G80" s="71"/>
    </row>
    <row r="81" ht="12.75" customHeight="1">
      <c r="A81" s="75" t="s">
        <v>1112</v>
      </c>
      <c r="B81" s="76" t="s">
        <v>1113</v>
      </c>
      <c r="C81" s="76" t="s">
        <v>1062</v>
      </c>
      <c r="D81" s="71"/>
      <c r="E81" s="71">
        <v>105.49188740013857</v>
      </c>
      <c r="F81" s="64" t="s">
        <v>1032</v>
      </c>
      <c r="G81" s="71"/>
    </row>
    <row r="82" ht="12.75" customHeight="1">
      <c r="A82" s="75" t="s">
        <v>1114</v>
      </c>
      <c r="B82" s="76" t="s">
        <v>1110</v>
      </c>
      <c r="C82" s="76" t="s">
        <v>1106</v>
      </c>
      <c r="D82" s="71"/>
      <c r="E82" s="71">
        <v>387.38405876861134</v>
      </c>
      <c r="F82" s="64" t="s">
        <v>1111</v>
      </c>
      <c r="G82" s="71"/>
    </row>
    <row r="83" ht="12.75" customHeight="1">
      <c r="A83" s="75" t="s">
        <v>1115</v>
      </c>
      <c r="B83" s="76" t="s">
        <v>1116</v>
      </c>
      <c r="C83" s="76" t="s">
        <v>1106</v>
      </c>
      <c r="D83" s="71"/>
      <c r="E83" s="71">
        <v>0.7934859451666654</v>
      </c>
      <c r="F83" s="64" t="s">
        <v>1111</v>
      </c>
      <c r="G83" s="71"/>
    </row>
    <row r="84" ht="12.75" customHeight="1">
      <c r="A84" s="75" t="s">
        <v>1117</v>
      </c>
      <c r="B84" s="76" t="s">
        <v>1113</v>
      </c>
      <c r="C84" s="76" t="s">
        <v>1106</v>
      </c>
      <c r="D84" s="71"/>
      <c r="E84" s="71">
        <v>960.0808352556423</v>
      </c>
      <c r="F84" s="64" t="s">
        <v>1032</v>
      </c>
      <c r="G84" s="71"/>
    </row>
    <row r="85" ht="12.75" customHeight="1">
      <c r="A85" s="75" t="s">
        <v>1118</v>
      </c>
      <c r="B85" s="76" t="s">
        <v>1030</v>
      </c>
      <c r="C85" s="76" t="s">
        <v>1106</v>
      </c>
      <c r="D85" s="71"/>
      <c r="E85" s="71">
        <v>22.096115428144703</v>
      </c>
      <c r="F85" s="64" t="s">
        <v>1032</v>
      </c>
      <c r="G85" s="71"/>
    </row>
    <row r="86" ht="12.75" customHeight="1">
      <c r="A86" s="75" t="s">
        <v>1119</v>
      </c>
      <c r="B86" s="76" t="s">
        <v>1120</v>
      </c>
      <c r="C86" s="76" t="s">
        <v>1086</v>
      </c>
      <c r="D86" s="71"/>
      <c r="E86" s="71">
        <v>6104.138386849096</v>
      </c>
      <c r="F86" s="64" t="s">
        <v>1111</v>
      </c>
      <c r="G86" s="71"/>
    </row>
    <row r="87" ht="12.75" customHeight="1">
      <c r="A87" s="75" t="s">
        <v>1121</v>
      </c>
      <c r="B87" s="76" t="s">
        <v>1120</v>
      </c>
      <c r="C87" s="76" t="s">
        <v>1082</v>
      </c>
      <c r="D87" s="71"/>
      <c r="E87" s="71">
        <v>4505.874781684526</v>
      </c>
      <c r="F87" s="64" t="s">
        <v>1111</v>
      </c>
      <c r="G87" s="71"/>
    </row>
    <row r="88" ht="12.75" customHeight="1">
      <c r="A88" s="75" t="s">
        <v>1122</v>
      </c>
      <c r="B88" s="76" t="s">
        <v>1123</v>
      </c>
      <c r="C88" s="76" t="s">
        <v>1089</v>
      </c>
      <c r="D88" s="71"/>
      <c r="E88" s="71">
        <v>6702.827701413757</v>
      </c>
      <c r="F88" s="64" t="s">
        <v>1111</v>
      </c>
      <c r="G88" s="71"/>
    </row>
    <row r="89" ht="12.75" customHeight="1">
      <c r="A89" s="75" t="s">
        <v>1124</v>
      </c>
      <c r="B89" s="76" t="s">
        <v>1120</v>
      </c>
      <c r="C89" s="76" t="s">
        <v>1089</v>
      </c>
      <c r="D89" s="71"/>
      <c r="E89" s="71">
        <v>5847.899021175734</v>
      </c>
      <c r="F89" s="64" t="s">
        <v>1111</v>
      </c>
      <c r="G89" s="71"/>
    </row>
    <row r="90" ht="12.75" customHeight="1">
      <c r="A90" s="75" t="s">
        <v>1125</v>
      </c>
      <c r="B90" s="76" t="s">
        <v>1123</v>
      </c>
      <c r="C90" s="76" t="s">
        <v>1095</v>
      </c>
      <c r="D90" s="71"/>
      <c r="E90" s="71">
        <v>577.9658304150793</v>
      </c>
      <c r="F90" s="64" t="s">
        <v>1111</v>
      </c>
      <c r="G90" s="71"/>
    </row>
    <row r="91" ht="12.75" customHeight="1">
      <c r="A91" s="75" t="s">
        <v>1126</v>
      </c>
      <c r="B91" s="76" t="s">
        <v>1120</v>
      </c>
      <c r="C91" s="76" t="s">
        <v>1127</v>
      </c>
      <c r="D91" s="71"/>
      <c r="E91" s="71">
        <v>263.9009963620496</v>
      </c>
      <c r="F91" s="64" t="s">
        <v>1111</v>
      </c>
      <c r="G91" s="71"/>
    </row>
    <row r="92" ht="12.75" customHeight="1">
      <c r="A92" s="75" t="s">
        <v>1128</v>
      </c>
      <c r="B92" s="76" t="s">
        <v>1120</v>
      </c>
      <c r="C92" s="76" t="s">
        <v>1095</v>
      </c>
      <c r="D92" s="71"/>
      <c r="E92" s="71">
        <v>1105.6677682096206</v>
      </c>
      <c r="F92" s="64" t="s">
        <v>1111</v>
      </c>
      <c r="G92" s="71"/>
    </row>
    <row r="93" ht="12.75" customHeight="1">
      <c r="A93" s="75" t="s">
        <v>1129</v>
      </c>
      <c r="B93" s="76" t="s">
        <v>1130</v>
      </c>
      <c r="C93" s="76" t="s">
        <v>1127</v>
      </c>
      <c r="D93" s="71"/>
      <c r="E93" s="71">
        <v>17.68873587728515</v>
      </c>
      <c r="F93" s="64" t="s">
        <v>1032</v>
      </c>
      <c r="G93" s="71"/>
    </row>
    <row r="94" ht="12.75" customHeight="1">
      <c r="A94" s="75" t="s">
        <v>1131</v>
      </c>
      <c r="B94" s="76" t="s">
        <v>1127</v>
      </c>
      <c r="C94" s="76" t="s">
        <v>1127</v>
      </c>
      <c r="D94" s="71"/>
      <c r="E94" s="71">
        <v>6.135507915119076</v>
      </c>
      <c r="F94" s="64" t="s">
        <v>1032</v>
      </c>
      <c r="G94" s="71"/>
    </row>
    <row r="95" ht="12.75" customHeight="1">
      <c r="A95" s="75" t="s">
        <v>1132</v>
      </c>
      <c r="B95" s="76" t="s">
        <v>1127</v>
      </c>
      <c r="C95" s="76" t="s">
        <v>1133</v>
      </c>
      <c r="D95" s="71"/>
      <c r="E95" s="71">
        <v>280.3092021525569</v>
      </c>
      <c r="F95" s="64" t="s">
        <v>1032</v>
      </c>
      <c r="G95" s="71"/>
    </row>
    <row r="96" ht="12.75" customHeight="1">
      <c r="A96" s="75" t="s">
        <v>1134</v>
      </c>
      <c r="B96" s="76" t="s">
        <v>1127</v>
      </c>
      <c r="C96" s="76" t="s">
        <v>1095</v>
      </c>
      <c r="D96" s="71"/>
      <c r="E96" s="71">
        <v>1.2805174746880301</v>
      </c>
      <c r="F96" s="64" t="s">
        <v>1032</v>
      </c>
      <c r="G96" s="71"/>
    </row>
    <row r="97" ht="12.75" customHeight="1">
      <c r="A97" s="75" t="s">
        <v>1135</v>
      </c>
      <c r="B97" s="76" t="s">
        <v>1030</v>
      </c>
      <c r="C97" s="76" t="s">
        <v>1133</v>
      </c>
      <c r="D97" s="71"/>
      <c r="E97" s="71">
        <v>2817.0123849380134</v>
      </c>
      <c r="F97" s="64" t="s">
        <v>1032</v>
      </c>
      <c r="G97" s="71"/>
    </row>
    <row r="98" ht="12.75" customHeight="1">
      <c r="A98" s="75" t="s">
        <v>1136</v>
      </c>
      <c r="B98" s="76" t="s">
        <v>1130</v>
      </c>
      <c r="C98" s="76" t="s">
        <v>1095</v>
      </c>
      <c r="D98" s="71"/>
      <c r="E98" s="71">
        <v>1.5361156247200178</v>
      </c>
      <c r="F98" s="64" t="s">
        <v>1032</v>
      </c>
      <c r="G98" s="71"/>
    </row>
    <row r="99" ht="12.75" customHeight="1">
      <c r="A99" s="75" t="s">
        <v>1137</v>
      </c>
      <c r="B99" s="76" t="s">
        <v>1116</v>
      </c>
      <c r="C99" s="76" t="s">
        <v>1110</v>
      </c>
      <c r="D99" s="71"/>
      <c r="E99" s="71">
        <v>661.6636070796818</v>
      </c>
      <c r="F99" s="64" t="s">
        <v>1111</v>
      </c>
      <c r="G99" s="71"/>
    </row>
    <row r="100" ht="12.75" customHeight="1">
      <c r="A100" s="75" t="s">
        <v>1138</v>
      </c>
      <c r="B100" s="76" t="s">
        <v>1116</v>
      </c>
      <c r="C100" s="76" t="s">
        <v>1120</v>
      </c>
      <c r="D100" s="71"/>
      <c r="E100" s="71">
        <v>721.90185410516</v>
      </c>
      <c r="F100" s="64" t="s">
        <v>1111</v>
      </c>
      <c r="G100" s="71"/>
    </row>
    <row r="101" ht="12.75" customHeight="1">
      <c r="A101" s="75" t="s">
        <v>1139</v>
      </c>
      <c r="B101" s="76" t="s">
        <v>1116</v>
      </c>
      <c r="C101" s="76" t="s">
        <v>1095</v>
      </c>
      <c r="D101" s="71"/>
      <c r="E101" s="71">
        <v>15.296790983176788</v>
      </c>
      <c r="F101" s="64" t="s">
        <v>1111</v>
      </c>
      <c r="G101" s="71"/>
    </row>
    <row r="102" ht="12.75" customHeight="1">
      <c r="A102" s="75" t="s">
        <v>1140</v>
      </c>
      <c r="B102" s="76" t="s">
        <v>1110</v>
      </c>
      <c r="C102" s="76" t="s">
        <v>1123</v>
      </c>
      <c r="D102" s="71"/>
      <c r="E102" s="71">
        <v>6678.121359311408</v>
      </c>
      <c r="F102" s="64" t="s">
        <v>1111</v>
      </c>
      <c r="G102" s="71"/>
    </row>
    <row r="103" ht="12.75" customHeight="1">
      <c r="A103" s="75" t="s">
        <v>1141</v>
      </c>
      <c r="B103" s="76" t="s">
        <v>1110</v>
      </c>
      <c r="C103" s="76" t="s">
        <v>1120</v>
      </c>
      <c r="D103" s="71"/>
      <c r="E103" s="71">
        <v>858.9552368438864</v>
      </c>
      <c r="F103" s="64" t="s">
        <v>1111</v>
      </c>
      <c r="G103" s="71"/>
    </row>
    <row r="104" ht="12.75" customHeight="1">
      <c r="A104" s="75" t="s">
        <v>1142</v>
      </c>
      <c r="B104" s="76" t="s">
        <v>1110</v>
      </c>
      <c r="C104" s="76" t="s">
        <v>1095</v>
      </c>
      <c r="D104" s="71"/>
      <c r="E104" s="71">
        <v>79.4595468769424</v>
      </c>
      <c r="F104" s="64" t="s">
        <v>1111</v>
      </c>
      <c r="G104" s="71"/>
    </row>
    <row r="105" ht="12.75" customHeight="1">
      <c r="A105" s="75" t="s">
        <v>1143</v>
      </c>
      <c r="B105" s="76" t="s">
        <v>1110</v>
      </c>
      <c r="C105" s="76" t="s">
        <v>1144</v>
      </c>
      <c r="D105" s="77"/>
      <c r="E105" s="71">
        <v>2.0199551065752677</v>
      </c>
      <c r="F105" s="64" t="s">
        <v>1111</v>
      </c>
      <c r="G105" s="71"/>
    </row>
    <row r="106" ht="12.75" customHeight="1">
      <c r="A106" s="75" t="s">
        <v>1145</v>
      </c>
      <c r="B106" s="76" t="s">
        <v>1146</v>
      </c>
      <c r="C106" s="76" t="s">
        <v>1110</v>
      </c>
      <c r="D106" s="71"/>
      <c r="E106" s="71">
        <v>7442.58284835302</v>
      </c>
      <c r="F106" s="64" t="s">
        <v>1111</v>
      </c>
      <c r="G106" s="71"/>
    </row>
    <row r="107" ht="12.75" customHeight="1">
      <c r="A107" s="75" t="s">
        <v>1147</v>
      </c>
      <c r="B107" s="76" t="s">
        <v>1113</v>
      </c>
      <c r="C107" s="76" t="s">
        <v>1120</v>
      </c>
      <c r="D107" s="71"/>
      <c r="E107" s="71">
        <v>13903.1004669253</v>
      </c>
      <c r="F107" s="64" t="s">
        <v>1032</v>
      </c>
      <c r="G107" s="71"/>
    </row>
    <row r="108" ht="12.75" customHeight="1">
      <c r="A108" s="75" t="s">
        <v>1148</v>
      </c>
      <c r="B108" s="76" t="s">
        <v>1030</v>
      </c>
      <c r="C108" s="76" t="s">
        <v>1120</v>
      </c>
      <c r="D108" s="71"/>
      <c r="E108" s="71">
        <v>830.3861896037889</v>
      </c>
      <c r="F108" s="64" t="s">
        <v>1032</v>
      </c>
      <c r="G108" s="71"/>
    </row>
    <row r="109" ht="12.75" customHeight="1">
      <c r="A109" s="75" t="s">
        <v>1149</v>
      </c>
      <c r="B109" s="76" t="s">
        <v>1113</v>
      </c>
      <c r="C109" s="76" t="s">
        <v>1123</v>
      </c>
      <c r="D109" s="71"/>
      <c r="E109" s="71">
        <v>2475.822921025705</v>
      </c>
      <c r="F109" s="64" t="s">
        <v>1032</v>
      </c>
      <c r="G109" s="71"/>
    </row>
    <row r="110" ht="12.75" customHeight="1">
      <c r="A110" s="75" t="s">
        <v>1150</v>
      </c>
      <c r="B110" s="76" t="s">
        <v>1030</v>
      </c>
      <c r="C110" s="76" t="s">
        <v>1123</v>
      </c>
      <c r="D110" s="71"/>
      <c r="E110" s="71">
        <v>685.6971377296459</v>
      </c>
      <c r="F110" s="64" t="s">
        <v>1032</v>
      </c>
      <c r="G110" s="71"/>
    </row>
    <row r="111" ht="12.75" customHeight="1">
      <c r="A111" s="75" t="s">
        <v>1151</v>
      </c>
      <c r="B111" s="76" t="s">
        <v>1030</v>
      </c>
      <c r="C111" s="76" t="s">
        <v>1130</v>
      </c>
      <c r="D111" s="71"/>
      <c r="E111" s="71">
        <v>0.0</v>
      </c>
      <c r="F111" s="64"/>
      <c r="G111" s="71"/>
    </row>
    <row r="112" ht="12.75" customHeight="1">
      <c r="A112" s="75" t="s">
        <v>1152</v>
      </c>
      <c r="B112" s="76" t="s">
        <v>1146</v>
      </c>
      <c r="C112" s="76" t="s">
        <v>1116</v>
      </c>
      <c r="D112" s="71"/>
      <c r="E112" s="71"/>
      <c r="F112" s="64" t="s">
        <v>1111</v>
      </c>
      <c r="G112" s="71"/>
    </row>
    <row r="113" ht="12.75" customHeight="1">
      <c r="A113" s="75" t="s">
        <v>1153</v>
      </c>
      <c r="B113" s="76" t="s">
        <v>1113</v>
      </c>
      <c r="C113" s="76" t="s">
        <v>1130</v>
      </c>
      <c r="D113" s="71"/>
      <c r="E113" s="71"/>
      <c r="F113" s="64"/>
      <c r="G113" s="71"/>
    </row>
    <row r="114" ht="12.75" customHeight="1">
      <c r="A114" s="75" t="s">
        <v>1154</v>
      </c>
      <c r="B114" s="76" t="s">
        <v>1030</v>
      </c>
      <c r="C114" s="76" t="s">
        <v>1155</v>
      </c>
      <c r="D114" s="71"/>
      <c r="E114" s="71"/>
      <c r="F114" s="64"/>
      <c r="G114" s="71"/>
    </row>
    <row r="115" ht="12.75" customHeight="1">
      <c r="A115" s="75" t="s">
        <v>1156</v>
      </c>
      <c r="B115" s="76" t="s">
        <v>1030</v>
      </c>
      <c r="C115" s="76" t="s">
        <v>1116</v>
      </c>
      <c r="D115" s="71"/>
      <c r="E115" s="71"/>
      <c r="F115" s="64"/>
      <c r="G115" s="71"/>
    </row>
    <row r="116" ht="12.75" customHeight="1">
      <c r="A116" s="75" t="s">
        <v>1157</v>
      </c>
      <c r="B116" s="76" t="s">
        <v>1068</v>
      </c>
      <c r="C116" s="76" t="s">
        <v>1113</v>
      </c>
      <c r="D116" s="71"/>
      <c r="E116" s="71"/>
      <c r="F116" s="64"/>
      <c r="G116" s="71"/>
    </row>
    <row r="117" ht="12.75" customHeight="1">
      <c r="A117" s="71"/>
      <c r="B117" s="71"/>
      <c r="C117" s="71"/>
      <c r="D117" s="71"/>
      <c r="E117" s="71"/>
      <c r="F117" s="71"/>
      <c r="G117" s="71"/>
    </row>
    <row r="118" ht="12.75" customHeight="1">
      <c r="A118" s="71"/>
      <c r="B118" s="71"/>
      <c r="C118" s="71"/>
      <c r="D118" s="71"/>
      <c r="E118" s="71"/>
      <c r="F118" s="71"/>
      <c r="G118" s="71"/>
    </row>
    <row r="119" ht="12.75" customHeight="1">
      <c r="A119" s="71"/>
      <c r="B119" s="71"/>
      <c r="C119" s="71"/>
      <c r="D119" s="71"/>
      <c r="E119" s="71"/>
      <c r="F119" s="71"/>
      <c r="G119" s="71"/>
    </row>
    <row r="120" ht="12.75" customHeight="1">
      <c r="A120" s="71"/>
      <c r="B120" s="71"/>
      <c r="C120" s="71"/>
      <c r="D120" s="71"/>
      <c r="E120" s="71"/>
      <c r="F120" s="71"/>
      <c r="G120" s="71"/>
    </row>
    <row r="121" ht="12.75" customHeight="1">
      <c r="A121" s="71"/>
      <c r="B121" s="71"/>
      <c r="C121" s="71"/>
      <c r="D121" s="71"/>
      <c r="E121" s="71"/>
      <c r="F121" s="71"/>
      <c r="G121" s="71"/>
    </row>
    <row r="122" ht="12.75" customHeight="1">
      <c r="A122" s="71"/>
      <c r="B122" s="71"/>
      <c r="C122" s="71"/>
      <c r="D122" s="71"/>
      <c r="E122" s="71"/>
      <c r="F122" s="71"/>
      <c r="G122" s="71"/>
    </row>
    <row r="123" ht="12.75" customHeight="1">
      <c r="A123" s="71"/>
      <c r="B123" s="71"/>
      <c r="C123" s="71"/>
      <c r="D123" s="71"/>
      <c r="E123" s="71"/>
      <c r="F123" s="71"/>
      <c r="G123" s="71"/>
    </row>
    <row r="124" ht="12.75" customHeight="1">
      <c r="A124" s="71"/>
      <c r="B124" s="71"/>
      <c r="C124" s="71"/>
      <c r="D124" s="71"/>
      <c r="E124" s="71"/>
      <c r="F124" s="71"/>
      <c r="G124" s="71"/>
    </row>
    <row r="125" ht="12.75" customHeight="1">
      <c r="A125" s="71"/>
      <c r="B125" s="71"/>
      <c r="C125" s="71"/>
      <c r="D125" s="71"/>
      <c r="E125" s="71"/>
      <c r="F125" s="71"/>
      <c r="G125" s="71"/>
    </row>
    <row r="126" ht="12.75" customHeight="1">
      <c r="A126" s="71"/>
      <c r="B126" s="71"/>
      <c r="C126" s="71"/>
      <c r="D126" s="71"/>
      <c r="E126" s="71"/>
      <c r="F126" s="71"/>
      <c r="G126" s="71"/>
    </row>
    <row r="127" ht="12.75" customHeight="1">
      <c r="A127" s="71"/>
      <c r="B127" s="71"/>
      <c r="C127" s="71"/>
      <c r="D127" s="71"/>
      <c r="E127" s="71"/>
      <c r="F127" s="71"/>
      <c r="G127" s="71"/>
    </row>
    <row r="128" ht="12.75" customHeight="1">
      <c r="A128" s="71"/>
      <c r="B128" s="71"/>
      <c r="C128" s="71"/>
      <c r="D128" s="71"/>
      <c r="E128" s="71"/>
      <c r="F128" s="71"/>
      <c r="G128" s="71"/>
    </row>
    <row r="129" ht="12.75" customHeight="1">
      <c r="A129" s="71"/>
      <c r="B129" s="71"/>
      <c r="C129" s="71"/>
      <c r="D129" s="71"/>
      <c r="E129" s="71"/>
      <c r="F129" s="71"/>
      <c r="G129" s="71"/>
    </row>
    <row r="130" ht="12.75" customHeight="1">
      <c r="A130" s="71"/>
      <c r="B130" s="71"/>
      <c r="C130" s="71"/>
      <c r="D130" s="71"/>
      <c r="E130" s="71"/>
      <c r="F130" s="71"/>
      <c r="G130" s="71"/>
    </row>
    <row r="131" ht="12.75" customHeight="1">
      <c r="A131" s="71"/>
      <c r="B131" s="71"/>
      <c r="C131" s="71"/>
      <c r="D131" s="71"/>
      <c r="E131" s="71"/>
      <c r="F131" s="71"/>
      <c r="G131" s="71"/>
    </row>
    <row r="132" ht="12.75" customHeight="1">
      <c r="A132" s="71"/>
      <c r="B132" s="71"/>
      <c r="C132" s="71"/>
      <c r="D132" s="71"/>
      <c r="E132" s="71"/>
      <c r="F132" s="71"/>
      <c r="G132" s="71"/>
    </row>
    <row r="133" ht="12.75" customHeight="1">
      <c r="A133" s="71"/>
      <c r="B133" s="71"/>
      <c r="C133" s="71"/>
      <c r="D133" s="71"/>
      <c r="E133" s="71"/>
      <c r="F133" s="71"/>
      <c r="G133" s="71"/>
    </row>
    <row r="134" ht="12.75" customHeight="1">
      <c r="A134" s="71"/>
      <c r="B134" s="71"/>
      <c r="C134" s="71"/>
      <c r="D134" s="71"/>
      <c r="E134" s="71"/>
      <c r="F134" s="71"/>
      <c r="G134" s="71"/>
    </row>
    <row r="135" ht="12.75" customHeight="1">
      <c r="A135" s="71"/>
      <c r="B135" s="71"/>
      <c r="C135" s="71"/>
      <c r="D135" s="71"/>
      <c r="E135" s="71"/>
      <c r="F135" s="71"/>
      <c r="G135" s="71"/>
    </row>
    <row r="136" ht="12.75" customHeight="1">
      <c r="A136" s="71"/>
      <c r="B136" s="71"/>
      <c r="C136" s="71"/>
      <c r="D136" s="71"/>
      <c r="E136" s="71"/>
      <c r="F136" s="71"/>
      <c r="G136" s="71"/>
    </row>
    <row r="137" ht="12.75" customHeight="1">
      <c r="A137" s="71"/>
      <c r="B137" s="71"/>
      <c r="C137" s="71"/>
      <c r="D137" s="71"/>
      <c r="E137" s="71"/>
      <c r="F137" s="71"/>
      <c r="G137" s="71"/>
    </row>
    <row r="138" ht="12.75" customHeight="1">
      <c r="A138" s="71"/>
      <c r="B138" s="71"/>
      <c r="C138" s="71"/>
      <c r="D138" s="71"/>
      <c r="E138" s="71"/>
      <c r="F138" s="71"/>
      <c r="G138" s="71"/>
    </row>
    <row r="139" ht="12.75" customHeight="1">
      <c r="A139" s="71"/>
      <c r="B139" s="71"/>
      <c r="C139" s="71"/>
      <c r="D139" s="71"/>
      <c r="E139" s="71"/>
      <c r="F139" s="71"/>
      <c r="G139" s="71"/>
    </row>
    <row r="140" ht="12.75" customHeight="1">
      <c r="A140" s="71"/>
      <c r="B140" s="71"/>
      <c r="C140" s="71"/>
      <c r="D140" s="71"/>
      <c r="E140" s="71"/>
      <c r="F140" s="71"/>
      <c r="G140" s="71"/>
    </row>
    <row r="141" ht="12.75" customHeight="1">
      <c r="A141" s="71"/>
      <c r="B141" s="71"/>
      <c r="C141" s="71"/>
      <c r="D141" s="71"/>
      <c r="E141" s="71"/>
      <c r="F141" s="71"/>
      <c r="G141" s="71"/>
    </row>
    <row r="142" ht="12.75" customHeight="1">
      <c r="A142" s="71"/>
      <c r="B142" s="71"/>
      <c r="C142" s="71"/>
      <c r="D142" s="71"/>
      <c r="E142" s="71"/>
      <c r="F142" s="71"/>
      <c r="G142" s="71"/>
    </row>
    <row r="143" ht="12.75" customHeight="1">
      <c r="A143" s="71"/>
      <c r="B143" s="71"/>
      <c r="C143" s="71"/>
      <c r="D143" s="71"/>
      <c r="E143" s="71"/>
      <c r="F143" s="71"/>
      <c r="G143" s="71"/>
    </row>
    <row r="144" ht="12.75" customHeight="1">
      <c r="A144" s="71"/>
      <c r="B144" s="71"/>
      <c r="C144" s="71"/>
      <c r="D144" s="71"/>
      <c r="E144" s="71"/>
      <c r="F144" s="71"/>
      <c r="G144" s="71"/>
    </row>
    <row r="145" ht="12.75" customHeight="1">
      <c r="A145" s="71"/>
      <c r="B145" s="71"/>
      <c r="C145" s="71"/>
      <c r="D145" s="71"/>
      <c r="E145" s="71"/>
      <c r="F145" s="71"/>
      <c r="G145" s="71"/>
    </row>
    <row r="146" ht="12.75" customHeight="1">
      <c r="A146" s="71"/>
      <c r="B146" s="71"/>
      <c r="C146" s="71"/>
      <c r="D146" s="71"/>
      <c r="E146" s="71"/>
      <c r="F146" s="71"/>
      <c r="G146" s="71"/>
    </row>
    <row r="147" ht="12.75" customHeight="1">
      <c r="A147" s="71"/>
      <c r="B147" s="71"/>
      <c r="C147" s="71"/>
      <c r="D147" s="71"/>
      <c r="E147" s="71"/>
      <c r="F147" s="71"/>
      <c r="G147" s="71"/>
    </row>
    <row r="148" ht="12.75" customHeight="1">
      <c r="A148" s="71"/>
      <c r="B148" s="71"/>
      <c r="C148" s="71"/>
      <c r="D148" s="71"/>
      <c r="E148" s="71"/>
      <c r="F148" s="71"/>
      <c r="G148" s="71"/>
    </row>
    <row r="149" ht="12.75" customHeight="1">
      <c r="A149" s="71"/>
      <c r="B149" s="71"/>
      <c r="C149" s="71"/>
      <c r="D149" s="71"/>
      <c r="E149" s="71"/>
      <c r="F149" s="71"/>
      <c r="G149" s="71"/>
    </row>
    <row r="150" ht="12.75" customHeight="1">
      <c r="A150" s="71"/>
      <c r="B150" s="71"/>
      <c r="C150" s="71"/>
      <c r="D150" s="71"/>
      <c r="E150" s="71"/>
      <c r="F150" s="71"/>
      <c r="G150" s="71"/>
    </row>
    <row r="151" ht="12.75" customHeight="1">
      <c r="A151" s="71"/>
      <c r="B151" s="71"/>
      <c r="C151" s="71"/>
      <c r="D151" s="71"/>
      <c r="E151" s="71"/>
      <c r="F151" s="71"/>
      <c r="G151" s="71"/>
    </row>
    <row r="152" ht="12.75" customHeight="1">
      <c r="A152" s="71"/>
      <c r="B152" s="71"/>
      <c r="C152" s="71"/>
      <c r="D152" s="71"/>
      <c r="E152" s="71"/>
      <c r="F152" s="71"/>
      <c r="G152" s="71"/>
    </row>
    <row r="153" ht="12.75" customHeight="1">
      <c r="A153" s="71"/>
      <c r="B153" s="71"/>
      <c r="C153" s="71"/>
      <c r="D153" s="71"/>
      <c r="E153" s="71"/>
      <c r="F153" s="71"/>
      <c r="G153" s="71"/>
    </row>
    <row r="154" ht="12.75" customHeight="1">
      <c r="A154" s="71"/>
      <c r="B154" s="71"/>
      <c r="C154" s="71"/>
      <c r="D154" s="71"/>
      <c r="E154" s="71"/>
      <c r="F154" s="71"/>
      <c r="G154" s="71"/>
    </row>
    <row r="155" ht="12.75" customHeight="1">
      <c r="A155" s="71"/>
      <c r="B155" s="71"/>
      <c r="C155" s="71"/>
      <c r="D155" s="71"/>
      <c r="E155" s="71"/>
      <c r="F155" s="71"/>
      <c r="G155" s="71"/>
    </row>
    <row r="156" ht="12.75" customHeight="1">
      <c r="A156" s="71"/>
      <c r="B156" s="71"/>
      <c r="C156" s="71"/>
      <c r="D156" s="71"/>
      <c r="E156" s="71"/>
      <c r="F156" s="71"/>
      <c r="G156" s="71"/>
    </row>
    <row r="157" ht="12.75" customHeight="1">
      <c r="A157" s="71"/>
      <c r="B157" s="71"/>
      <c r="C157" s="71"/>
      <c r="D157" s="71"/>
      <c r="E157" s="71"/>
      <c r="F157" s="71"/>
      <c r="G157" s="71"/>
    </row>
    <row r="158" ht="12.75" customHeight="1">
      <c r="A158" s="71"/>
      <c r="B158" s="71"/>
      <c r="C158" s="71"/>
      <c r="D158" s="71"/>
      <c r="E158" s="71"/>
      <c r="F158" s="71"/>
      <c r="G158" s="71"/>
    </row>
    <row r="159" ht="12.75" customHeight="1">
      <c r="A159" s="71"/>
      <c r="B159" s="71"/>
      <c r="C159" s="71"/>
      <c r="D159" s="71"/>
      <c r="E159" s="71"/>
      <c r="F159" s="71"/>
      <c r="G159" s="71"/>
    </row>
    <row r="160" ht="12.75" customHeight="1">
      <c r="A160" s="71"/>
      <c r="B160" s="71"/>
      <c r="C160" s="71"/>
      <c r="D160" s="71"/>
      <c r="E160" s="71"/>
      <c r="F160" s="71"/>
      <c r="G160" s="71"/>
    </row>
    <row r="161" ht="12.75" customHeight="1">
      <c r="A161" s="71"/>
      <c r="B161" s="71"/>
      <c r="C161" s="71"/>
      <c r="D161" s="71"/>
      <c r="E161" s="71"/>
      <c r="F161" s="71"/>
      <c r="G161" s="71"/>
    </row>
    <row r="162" ht="12.75" customHeight="1">
      <c r="A162" s="71"/>
      <c r="B162" s="71"/>
      <c r="C162" s="71"/>
      <c r="D162" s="71"/>
      <c r="E162" s="71"/>
      <c r="F162" s="71"/>
      <c r="G162" s="71"/>
    </row>
    <row r="163" ht="12.75" customHeight="1">
      <c r="A163" s="71"/>
      <c r="B163" s="71"/>
      <c r="C163" s="71"/>
      <c r="D163" s="71"/>
      <c r="E163" s="71"/>
      <c r="F163" s="71"/>
      <c r="G163" s="71"/>
    </row>
    <row r="164" ht="12.75" customHeight="1">
      <c r="A164" s="71"/>
      <c r="B164" s="71"/>
      <c r="C164" s="71"/>
      <c r="D164" s="71"/>
      <c r="E164" s="71"/>
      <c r="F164" s="71"/>
      <c r="G164" s="71"/>
    </row>
    <row r="165" ht="12.75" customHeight="1">
      <c r="A165" s="71"/>
      <c r="B165" s="71"/>
      <c r="C165" s="71"/>
      <c r="D165" s="71"/>
      <c r="E165" s="71"/>
      <c r="F165" s="71"/>
      <c r="G165" s="71"/>
    </row>
    <row r="166" ht="12.75" customHeight="1">
      <c r="A166" s="71"/>
      <c r="B166" s="71"/>
      <c r="C166" s="71"/>
      <c r="D166" s="71"/>
      <c r="E166" s="71"/>
      <c r="F166" s="71"/>
      <c r="G166" s="71"/>
    </row>
    <row r="167" ht="12.75" customHeight="1">
      <c r="A167" s="71"/>
      <c r="B167" s="71"/>
      <c r="C167" s="71"/>
      <c r="D167" s="71"/>
      <c r="E167" s="71"/>
      <c r="F167" s="71"/>
      <c r="G167" s="71"/>
    </row>
    <row r="168" ht="12.75" customHeight="1">
      <c r="A168" s="71"/>
      <c r="B168" s="71"/>
      <c r="C168" s="71"/>
      <c r="D168" s="71"/>
      <c r="E168" s="71"/>
      <c r="F168" s="71"/>
      <c r="G168" s="71"/>
    </row>
    <row r="169" ht="12.75" customHeight="1">
      <c r="A169" s="71"/>
      <c r="B169" s="71"/>
      <c r="C169" s="71"/>
      <c r="D169" s="71"/>
      <c r="E169" s="71"/>
      <c r="F169" s="71"/>
      <c r="G169" s="71"/>
    </row>
    <row r="170" ht="12.75" customHeight="1">
      <c r="A170" s="71"/>
      <c r="B170" s="71"/>
      <c r="C170" s="71"/>
      <c r="D170" s="71"/>
      <c r="E170" s="71"/>
      <c r="F170" s="71"/>
      <c r="G170" s="71"/>
    </row>
    <row r="171" ht="12.75" customHeight="1">
      <c r="A171" s="71"/>
      <c r="B171" s="71"/>
      <c r="C171" s="71"/>
      <c r="D171" s="71"/>
      <c r="E171" s="71"/>
      <c r="F171" s="71"/>
      <c r="G171" s="71"/>
    </row>
    <row r="172" ht="12.75" customHeight="1">
      <c r="A172" s="71"/>
      <c r="B172" s="71"/>
      <c r="C172" s="71"/>
      <c r="D172" s="71"/>
      <c r="E172" s="71"/>
      <c r="F172" s="71"/>
      <c r="G172" s="71"/>
    </row>
    <row r="173" ht="12.75" customHeight="1">
      <c r="A173" s="71"/>
      <c r="B173" s="71"/>
      <c r="C173" s="71"/>
      <c r="D173" s="71"/>
      <c r="E173" s="71"/>
      <c r="F173" s="71"/>
      <c r="G173" s="71"/>
    </row>
    <row r="174" ht="12.75" customHeight="1">
      <c r="A174" s="71"/>
      <c r="B174" s="71"/>
      <c r="C174" s="71"/>
      <c r="D174" s="71"/>
      <c r="E174" s="71"/>
      <c r="F174" s="71"/>
      <c r="G174" s="71"/>
    </row>
    <row r="175" ht="12.75" customHeight="1">
      <c r="A175" s="71"/>
      <c r="B175" s="71"/>
      <c r="C175" s="71"/>
      <c r="D175" s="71"/>
      <c r="E175" s="71"/>
      <c r="F175" s="71"/>
      <c r="G175" s="71"/>
    </row>
    <row r="176" ht="12.75" customHeight="1">
      <c r="A176" s="71"/>
      <c r="B176" s="71"/>
      <c r="C176" s="71"/>
      <c r="D176" s="71"/>
      <c r="E176" s="71"/>
      <c r="F176" s="71"/>
      <c r="G176" s="71"/>
    </row>
    <row r="177" ht="12.75" customHeight="1">
      <c r="A177" s="71"/>
      <c r="B177" s="71"/>
      <c r="C177" s="71"/>
      <c r="D177" s="71"/>
      <c r="E177" s="71"/>
      <c r="F177" s="71"/>
      <c r="G177" s="71"/>
    </row>
    <row r="178" ht="12.75" customHeight="1">
      <c r="A178" s="71"/>
      <c r="B178" s="71"/>
      <c r="C178" s="71"/>
      <c r="D178" s="71"/>
      <c r="E178" s="71"/>
      <c r="F178" s="71"/>
      <c r="G178" s="71"/>
    </row>
    <row r="179" ht="12.75" customHeight="1">
      <c r="A179" s="71"/>
      <c r="B179" s="71"/>
      <c r="C179" s="71"/>
      <c r="D179" s="71"/>
      <c r="E179" s="71"/>
      <c r="F179" s="71"/>
      <c r="G179" s="71"/>
    </row>
    <row r="180" ht="12.75" customHeight="1">
      <c r="A180" s="71"/>
      <c r="B180" s="71"/>
      <c r="C180" s="71"/>
      <c r="D180" s="71"/>
      <c r="E180" s="71"/>
      <c r="F180" s="71"/>
      <c r="G180" s="71"/>
    </row>
    <row r="181" ht="12.75" customHeight="1">
      <c r="A181" s="71"/>
      <c r="B181" s="71"/>
      <c r="C181" s="71"/>
      <c r="D181" s="71"/>
      <c r="E181" s="71"/>
      <c r="F181" s="71"/>
      <c r="G181" s="71"/>
    </row>
    <row r="182" ht="12.75" customHeight="1">
      <c r="A182" s="71"/>
      <c r="B182" s="71"/>
      <c r="C182" s="71"/>
      <c r="D182" s="71"/>
      <c r="E182" s="71"/>
      <c r="F182" s="71"/>
      <c r="G182" s="71"/>
    </row>
    <row r="183" ht="12.75" customHeight="1">
      <c r="A183" s="71"/>
      <c r="B183" s="71"/>
      <c r="C183" s="71"/>
      <c r="D183" s="71"/>
      <c r="E183" s="71"/>
      <c r="F183" s="71"/>
      <c r="G183" s="71"/>
    </row>
    <row r="184" ht="12.75" customHeight="1">
      <c r="A184" s="71"/>
      <c r="B184" s="71"/>
      <c r="C184" s="71"/>
      <c r="D184" s="71"/>
      <c r="E184" s="71"/>
      <c r="F184" s="71"/>
      <c r="G184" s="71"/>
    </row>
    <row r="185" ht="12.75" customHeight="1">
      <c r="A185" s="71"/>
      <c r="B185" s="71"/>
      <c r="C185" s="71"/>
      <c r="D185" s="71"/>
      <c r="E185" s="71"/>
      <c r="F185" s="71"/>
      <c r="G185" s="71"/>
    </row>
    <row r="186" ht="12.75" customHeight="1">
      <c r="A186" s="71"/>
      <c r="B186" s="71"/>
      <c r="C186" s="71"/>
      <c r="D186" s="71"/>
      <c r="E186" s="71"/>
      <c r="F186" s="71"/>
      <c r="G186" s="71"/>
    </row>
    <row r="187" ht="12.75" customHeight="1">
      <c r="A187" s="71"/>
      <c r="B187" s="71"/>
      <c r="C187" s="71"/>
      <c r="D187" s="71"/>
      <c r="E187" s="71"/>
      <c r="F187" s="71"/>
      <c r="G187" s="71"/>
    </row>
    <row r="188" ht="12.75" customHeight="1">
      <c r="A188" s="71"/>
      <c r="B188" s="71"/>
      <c r="C188" s="71"/>
      <c r="D188" s="71"/>
      <c r="E188" s="71"/>
      <c r="F188" s="71"/>
      <c r="G188" s="71"/>
    </row>
    <row r="189" ht="12.75" customHeight="1">
      <c r="A189" s="71"/>
      <c r="B189" s="71"/>
      <c r="C189" s="71"/>
      <c r="D189" s="71"/>
      <c r="E189" s="71"/>
      <c r="F189" s="71"/>
      <c r="G189" s="71"/>
    </row>
    <row r="190" ht="12.75" customHeight="1">
      <c r="A190" s="71"/>
      <c r="B190" s="71"/>
      <c r="C190" s="71"/>
      <c r="D190" s="71"/>
      <c r="E190" s="71"/>
      <c r="F190" s="71"/>
      <c r="G190" s="71"/>
    </row>
    <row r="191" ht="12.75" customHeight="1">
      <c r="A191" s="71"/>
      <c r="B191" s="71"/>
      <c r="C191" s="71"/>
      <c r="D191" s="71"/>
      <c r="E191" s="71"/>
      <c r="F191" s="71"/>
      <c r="G191" s="71"/>
    </row>
    <row r="192" ht="12.75" customHeight="1">
      <c r="A192" s="71"/>
      <c r="B192" s="71"/>
      <c r="C192" s="71"/>
      <c r="D192" s="71"/>
      <c r="E192" s="71"/>
      <c r="F192" s="71"/>
      <c r="G192" s="71"/>
    </row>
    <row r="193" ht="12.75" customHeight="1">
      <c r="A193" s="71"/>
      <c r="B193" s="71"/>
      <c r="C193" s="71"/>
      <c r="D193" s="71"/>
      <c r="E193" s="71"/>
      <c r="F193" s="71"/>
      <c r="G193" s="71"/>
    </row>
    <row r="194" ht="12.75" customHeight="1">
      <c r="A194" s="71"/>
      <c r="B194" s="71"/>
      <c r="C194" s="71"/>
      <c r="D194" s="71"/>
      <c r="E194" s="71"/>
      <c r="F194" s="71"/>
      <c r="G194" s="71"/>
    </row>
    <row r="195" ht="12.75" customHeight="1">
      <c r="A195" s="71"/>
      <c r="B195" s="71"/>
      <c r="C195" s="71"/>
      <c r="D195" s="71"/>
      <c r="E195" s="71"/>
      <c r="F195" s="71"/>
      <c r="G195" s="71"/>
    </row>
    <row r="196" ht="12.75" customHeight="1">
      <c r="A196" s="71"/>
      <c r="B196" s="71"/>
      <c r="C196" s="71"/>
      <c r="D196" s="71"/>
      <c r="E196" s="71"/>
      <c r="F196" s="71"/>
      <c r="G196" s="71"/>
    </row>
    <row r="197" ht="12.75" customHeight="1">
      <c r="A197" s="71"/>
      <c r="B197" s="71"/>
      <c r="C197" s="71"/>
      <c r="D197" s="71"/>
      <c r="E197" s="71"/>
      <c r="F197" s="71"/>
      <c r="G197" s="71"/>
    </row>
    <row r="198" ht="12.75" customHeight="1">
      <c r="A198" s="71"/>
      <c r="B198" s="71"/>
      <c r="C198" s="71"/>
      <c r="D198" s="71"/>
      <c r="E198" s="71"/>
      <c r="F198" s="71"/>
      <c r="G198" s="71"/>
    </row>
    <row r="199" ht="12.75" customHeight="1">
      <c r="A199" s="71"/>
      <c r="B199" s="71"/>
      <c r="C199" s="71"/>
      <c r="D199" s="71"/>
      <c r="E199" s="71"/>
      <c r="F199" s="71"/>
      <c r="G199" s="71"/>
    </row>
    <row r="200" ht="12.75" customHeight="1">
      <c r="A200" s="71"/>
      <c r="B200" s="71"/>
      <c r="C200" s="71"/>
      <c r="D200" s="71"/>
      <c r="E200" s="71"/>
      <c r="F200" s="71"/>
      <c r="G200" s="71"/>
    </row>
    <row r="201" ht="12.75" customHeight="1">
      <c r="A201" s="71"/>
      <c r="B201" s="71"/>
      <c r="C201" s="71"/>
      <c r="D201" s="71"/>
      <c r="E201" s="71"/>
      <c r="F201" s="71"/>
      <c r="G201" s="71"/>
    </row>
    <row r="202" ht="12.75" customHeight="1">
      <c r="A202" s="71"/>
      <c r="B202" s="71"/>
      <c r="C202" s="71"/>
      <c r="D202" s="71"/>
      <c r="E202" s="71"/>
      <c r="F202" s="71"/>
      <c r="G202" s="71"/>
    </row>
    <row r="203" ht="12.75" customHeight="1">
      <c r="A203" s="71"/>
      <c r="B203" s="71"/>
      <c r="C203" s="71"/>
      <c r="D203" s="71"/>
      <c r="E203" s="71"/>
      <c r="F203" s="71"/>
      <c r="G203" s="71"/>
    </row>
    <row r="204" ht="12.75" customHeight="1">
      <c r="A204" s="71"/>
      <c r="B204" s="71"/>
      <c r="C204" s="71"/>
      <c r="D204" s="71"/>
      <c r="E204" s="71"/>
      <c r="F204" s="71"/>
      <c r="G204" s="71"/>
    </row>
    <row r="205" ht="12.75" customHeight="1">
      <c r="A205" s="71"/>
      <c r="B205" s="71"/>
      <c r="C205" s="71"/>
      <c r="D205" s="71"/>
      <c r="E205" s="71"/>
      <c r="F205" s="71"/>
      <c r="G205" s="71"/>
    </row>
    <row r="206" ht="12.75" customHeight="1">
      <c r="A206" s="71"/>
      <c r="B206" s="71"/>
      <c r="C206" s="71"/>
      <c r="D206" s="71"/>
      <c r="E206" s="71"/>
      <c r="F206" s="71"/>
      <c r="G206" s="71"/>
    </row>
    <row r="207" ht="12.75" customHeight="1">
      <c r="A207" s="71"/>
      <c r="B207" s="71"/>
      <c r="C207" s="71"/>
      <c r="D207" s="71"/>
      <c r="E207" s="71"/>
      <c r="F207" s="71"/>
      <c r="G207" s="71"/>
    </row>
    <row r="208" ht="12.75" customHeight="1">
      <c r="A208" s="71"/>
      <c r="B208" s="71"/>
      <c r="C208" s="71"/>
      <c r="D208" s="71"/>
      <c r="E208" s="71"/>
      <c r="F208" s="71"/>
      <c r="G208" s="71"/>
    </row>
    <row r="209" ht="12.75" customHeight="1">
      <c r="A209" s="71"/>
      <c r="B209" s="71"/>
      <c r="C209" s="71"/>
      <c r="D209" s="71"/>
      <c r="E209" s="71"/>
      <c r="F209" s="71"/>
      <c r="G209" s="71"/>
    </row>
    <row r="210" ht="12.75" customHeight="1">
      <c r="A210" s="71"/>
      <c r="B210" s="71"/>
      <c r="C210" s="71"/>
      <c r="D210" s="71"/>
      <c r="E210" s="71"/>
      <c r="F210" s="71"/>
      <c r="G210" s="71"/>
    </row>
    <row r="211" ht="12.75" customHeight="1">
      <c r="A211" s="71"/>
      <c r="B211" s="71"/>
      <c r="C211" s="71"/>
      <c r="D211" s="71"/>
      <c r="E211" s="71"/>
      <c r="F211" s="71"/>
      <c r="G211" s="71"/>
    </row>
    <row r="212" ht="12.75" customHeight="1">
      <c r="A212" s="71"/>
      <c r="B212" s="71"/>
      <c r="C212" s="71"/>
      <c r="D212" s="71"/>
      <c r="E212" s="71"/>
      <c r="F212" s="71"/>
      <c r="G212" s="71"/>
    </row>
    <row r="213" ht="12.75" customHeight="1">
      <c r="A213" s="71"/>
      <c r="B213" s="71"/>
      <c r="C213" s="71"/>
      <c r="D213" s="71"/>
      <c r="E213" s="71"/>
      <c r="F213" s="71"/>
      <c r="G213" s="71"/>
    </row>
    <row r="214" ht="12.75" customHeight="1">
      <c r="A214" s="71"/>
      <c r="B214" s="71"/>
      <c r="C214" s="71"/>
      <c r="D214" s="71"/>
      <c r="E214" s="71"/>
      <c r="F214" s="71"/>
      <c r="G214" s="71"/>
    </row>
    <row r="215" ht="12.75" customHeight="1">
      <c r="A215" s="71"/>
      <c r="B215" s="71"/>
      <c r="C215" s="71"/>
      <c r="D215" s="71"/>
      <c r="E215" s="71"/>
      <c r="F215" s="71"/>
      <c r="G215" s="71"/>
    </row>
    <row r="216" ht="12.75" customHeight="1">
      <c r="A216" s="71"/>
      <c r="B216" s="71"/>
      <c r="C216" s="71"/>
      <c r="D216" s="71"/>
      <c r="E216" s="71"/>
      <c r="F216" s="71"/>
      <c r="G216" s="71"/>
    </row>
    <row r="217" ht="12.75" customHeight="1">
      <c r="A217" s="71"/>
      <c r="B217" s="71"/>
      <c r="C217" s="71"/>
      <c r="D217" s="71"/>
      <c r="E217" s="71"/>
      <c r="F217" s="71"/>
      <c r="G217" s="71"/>
    </row>
    <row r="218" ht="12.75" customHeight="1">
      <c r="A218" s="71"/>
      <c r="B218" s="71"/>
      <c r="C218" s="71"/>
      <c r="D218" s="71"/>
      <c r="E218" s="71"/>
      <c r="F218" s="71"/>
      <c r="G218" s="71"/>
    </row>
    <row r="219" ht="12.75" customHeight="1">
      <c r="A219" s="71"/>
      <c r="B219" s="71"/>
      <c r="C219" s="71"/>
      <c r="D219" s="71"/>
      <c r="E219" s="71"/>
      <c r="F219" s="71"/>
      <c r="G219" s="71"/>
    </row>
    <row r="220" ht="12.75" customHeight="1">
      <c r="A220" s="71"/>
      <c r="B220" s="71"/>
      <c r="C220" s="71"/>
      <c r="D220" s="71"/>
      <c r="E220" s="71"/>
      <c r="F220" s="71"/>
      <c r="G220" s="71"/>
    </row>
    <row r="221" ht="12.75" customHeight="1">
      <c r="A221" s="71"/>
      <c r="B221" s="71"/>
      <c r="C221" s="71"/>
      <c r="D221" s="71"/>
      <c r="E221" s="71"/>
      <c r="F221" s="71"/>
      <c r="G221" s="71"/>
    </row>
    <row r="222" ht="12.75" customHeight="1">
      <c r="A222" s="71"/>
      <c r="B222" s="71"/>
      <c r="C222" s="71"/>
      <c r="D222" s="71"/>
      <c r="E222" s="71"/>
      <c r="F222" s="71"/>
      <c r="G222" s="71"/>
    </row>
    <row r="223" ht="12.75" customHeight="1">
      <c r="A223" s="71"/>
      <c r="B223" s="71"/>
      <c r="C223" s="71"/>
      <c r="D223" s="71"/>
      <c r="E223" s="71"/>
      <c r="F223" s="71"/>
      <c r="G223" s="71"/>
    </row>
    <row r="224" ht="12.75" customHeight="1">
      <c r="A224" s="71"/>
      <c r="B224" s="71"/>
      <c r="C224" s="71"/>
      <c r="D224" s="71"/>
      <c r="E224" s="71"/>
      <c r="F224" s="71"/>
      <c r="G224" s="71"/>
    </row>
    <row r="225" ht="12.75" customHeight="1">
      <c r="A225" s="71"/>
      <c r="B225" s="71"/>
      <c r="C225" s="71"/>
      <c r="D225" s="71"/>
      <c r="E225" s="71"/>
      <c r="F225" s="71"/>
      <c r="G225" s="71"/>
    </row>
    <row r="226" ht="12.75" customHeight="1">
      <c r="A226" s="71"/>
      <c r="B226" s="71"/>
      <c r="C226" s="71"/>
      <c r="D226" s="71"/>
      <c r="E226" s="71"/>
      <c r="F226" s="71"/>
      <c r="G226" s="71"/>
    </row>
    <row r="227" ht="12.75" customHeight="1">
      <c r="A227" s="71"/>
      <c r="B227" s="71"/>
      <c r="C227" s="71"/>
      <c r="D227" s="71"/>
      <c r="E227" s="71"/>
      <c r="F227" s="71"/>
      <c r="G227" s="71"/>
    </row>
    <row r="228" ht="12.75" customHeight="1">
      <c r="A228" s="71"/>
      <c r="B228" s="71"/>
      <c r="C228" s="71"/>
      <c r="D228" s="71"/>
      <c r="E228" s="71"/>
      <c r="F228" s="71"/>
      <c r="G228" s="71"/>
    </row>
    <row r="229" ht="12.75" customHeight="1">
      <c r="A229" s="71"/>
      <c r="B229" s="71"/>
      <c r="C229" s="71"/>
      <c r="D229" s="71"/>
      <c r="E229" s="71"/>
      <c r="F229" s="71"/>
      <c r="G229" s="71"/>
    </row>
    <row r="230" ht="12.75" customHeight="1">
      <c r="A230" s="71"/>
      <c r="B230" s="71"/>
      <c r="C230" s="71"/>
      <c r="D230" s="71"/>
      <c r="E230" s="71"/>
      <c r="F230" s="71"/>
      <c r="G230" s="71"/>
    </row>
    <row r="231" ht="12.75" customHeight="1">
      <c r="A231" s="71"/>
      <c r="B231" s="71"/>
      <c r="C231" s="71"/>
      <c r="D231" s="71"/>
      <c r="E231" s="71"/>
      <c r="F231" s="71"/>
      <c r="G231" s="71"/>
    </row>
    <row r="232" ht="12.75" customHeight="1">
      <c r="A232" s="71"/>
      <c r="B232" s="71"/>
      <c r="C232" s="71"/>
      <c r="D232" s="71"/>
      <c r="E232" s="71"/>
      <c r="F232" s="71"/>
      <c r="G232" s="71"/>
    </row>
    <row r="233" ht="12.75" customHeight="1">
      <c r="A233" s="71"/>
      <c r="B233" s="71"/>
      <c r="C233" s="71"/>
      <c r="D233" s="71"/>
      <c r="E233" s="71"/>
      <c r="F233" s="71"/>
      <c r="G233" s="71"/>
    </row>
    <row r="234" ht="12.75" customHeight="1">
      <c r="A234" s="71"/>
      <c r="B234" s="71"/>
      <c r="C234" s="71"/>
      <c r="D234" s="71"/>
      <c r="E234" s="71"/>
      <c r="F234" s="71"/>
      <c r="G234" s="71"/>
    </row>
    <row r="235" ht="12.75" customHeight="1">
      <c r="A235" s="71"/>
      <c r="B235" s="71"/>
      <c r="C235" s="71"/>
      <c r="D235" s="71"/>
      <c r="E235" s="71"/>
      <c r="F235" s="71"/>
      <c r="G235" s="71"/>
    </row>
    <row r="236" ht="12.75" customHeight="1">
      <c r="A236" s="71"/>
      <c r="B236" s="71"/>
      <c r="C236" s="71"/>
      <c r="D236" s="71"/>
      <c r="E236" s="71"/>
      <c r="F236" s="71"/>
      <c r="G236" s="71"/>
    </row>
    <row r="237" ht="12.75" customHeight="1">
      <c r="A237" s="71"/>
      <c r="B237" s="71"/>
      <c r="C237" s="71"/>
      <c r="D237" s="71"/>
      <c r="E237" s="71"/>
      <c r="F237" s="71"/>
      <c r="G237" s="71"/>
    </row>
    <row r="238" ht="12.75" customHeight="1">
      <c r="A238" s="71"/>
      <c r="B238" s="71"/>
      <c r="C238" s="71"/>
      <c r="D238" s="71"/>
      <c r="E238" s="71"/>
      <c r="F238" s="71"/>
      <c r="G238" s="71"/>
    </row>
    <row r="239" ht="12.75" customHeight="1">
      <c r="A239" s="71"/>
      <c r="B239" s="71"/>
      <c r="C239" s="71"/>
      <c r="D239" s="71"/>
      <c r="E239" s="71"/>
      <c r="F239" s="71"/>
      <c r="G239" s="71"/>
    </row>
    <row r="240" ht="12.75" customHeight="1">
      <c r="A240" s="71"/>
      <c r="B240" s="71"/>
      <c r="C240" s="71"/>
      <c r="D240" s="71"/>
      <c r="E240" s="71"/>
      <c r="F240" s="71"/>
      <c r="G240" s="71"/>
    </row>
    <row r="241" ht="12.75" customHeight="1">
      <c r="A241" s="71"/>
      <c r="B241" s="71"/>
      <c r="C241" s="71"/>
      <c r="D241" s="71"/>
      <c r="E241" s="71"/>
      <c r="F241" s="71"/>
      <c r="G241" s="71"/>
    </row>
    <row r="242" ht="12.75" customHeight="1">
      <c r="A242" s="71"/>
      <c r="B242" s="71"/>
      <c r="C242" s="71"/>
      <c r="D242" s="71"/>
      <c r="E242" s="71"/>
      <c r="F242" s="71"/>
      <c r="G242" s="71"/>
    </row>
    <row r="243" ht="12.75" customHeight="1">
      <c r="A243" s="71"/>
      <c r="B243" s="71"/>
      <c r="C243" s="71"/>
      <c r="D243" s="71"/>
      <c r="E243" s="71"/>
      <c r="F243" s="71"/>
      <c r="G243" s="71"/>
    </row>
    <row r="244" ht="12.75" customHeight="1">
      <c r="A244" s="71"/>
      <c r="B244" s="71"/>
      <c r="C244" s="71"/>
      <c r="D244" s="71"/>
      <c r="E244" s="71"/>
      <c r="F244" s="71"/>
      <c r="G244" s="71"/>
    </row>
    <row r="245" ht="12.75" customHeight="1">
      <c r="A245" s="71"/>
      <c r="B245" s="71"/>
      <c r="C245" s="71"/>
      <c r="D245" s="71"/>
      <c r="E245" s="71"/>
      <c r="F245" s="71"/>
      <c r="G245" s="71"/>
    </row>
    <row r="246" ht="12.75" customHeight="1">
      <c r="A246" s="71"/>
      <c r="B246" s="71"/>
      <c r="C246" s="71"/>
      <c r="D246" s="71"/>
      <c r="E246" s="71"/>
      <c r="F246" s="71"/>
      <c r="G246" s="71"/>
    </row>
    <row r="247" ht="12.75" customHeight="1">
      <c r="A247" s="71"/>
      <c r="B247" s="71"/>
      <c r="C247" s="71"/>
      <c r="D247" s="71"/>
      <c r="E247" s="71"/>
      <c r="F247" s="71"/>
      <c r="G247" s="71"/>
    </row>
    <row r="248" ht="12.75" customHeight="1">
      <c r="A248" s="71"/>
      <c r="B248" s="71"/>
      <c r="C248" s="71"/>
      <c r="D248" s="71"/>
      <c r="E248" s="71"/>
      <c r="F248" s="71"/>
      <c r="G248" s="71"/>
    </row>
    <row r="249" ht="12.75" customHeight="1">
      <c r="A249" s="71"/>
      <c r="B249" s="71"/>
      <c r="C249" s="71"/>
      <c r="D249" s="71"/>
      <c r="E249" s="71"/>
      <c r="F249" s="71"/>
      <c r="G249" s="71"/>
    </row>
    <row r="250" ht="12.75" customHeight="1">
      <c r="A250" s="71"/>
      <c r="B250" s="71"/>
      <c r="C250" s="71"/>
      <c r="D250" s="71"/>
      <c r="E250" s="71"/>
      <c r="F250" s="71"/>
      <c r="G250" s="71"/>
    </row>
    <row r="251" ht="12.75" customHeight="1">
      <c r="A251" s="71"/>
      <c r="B251" s="71"/>
      <c r="C251" s="71"/>
      <c r="D251" s="71"/>
      <c r="E251" s="71"/>
      <c r="F251" s="71"/>
      <c r="G251" s="71"/>
    </row>
    <row r="252" ht="12.75" customHeight="1">
      <c r="A252" s="71"/>
      <c r="B252" s="71"/>
      <c r="C252" s="71"/>
      <c r="D252" s="71"/>
      <c r="E252" s="71"/>
      <c r="F252" s="71"/>
      <c r="G252" s="71"/>
    </row>
    <row r="253" ht="12.75" customHeight="1">
      <c r="A253" s="71"/>
      <c r="B253" s="71"/>
      <c r="C253" s="71"/>
      <c r="D253" s="71"/>
      <c r="E253" s="71"/>
      <c r="F253" s="71"/>
      <c r="G253" s="71"/>
    </row>
    <row r="254" ht="12.75" customHeight="1">
      <c r="A254" s="71"/>
      <c r="B254" s="71"/>
      <c r="C254" s="71"/>
      <c r="D254" s="71"/>
      <c r="E254" s="71"/>
      <c r="F254" s="71"/>
      <c r="G254" s="71"/>
    </row>
    <row r="255" ht="12.75" customHeight="1">
      <c r="A255" s="71"/>
      <c r="B255" s="71"/>
      <c r="C255" s="71"/>
      <c r="D255" s="71"/>
      <c r="E255" s="71"/>
      <c r="F255" s="71"/>
      <c r="G255" s="71"/>
    </row>
    <row r="256" ht="12.75" customHeight="1">
      <c r="A256" s="71"/>
      <c r="B256" s="71"/>
      <c r="C256" s="71"/>
      <c r="D256" s="71"/>
      <c r="E256" s="71"/>
      <c r="F256" s="71"/>
      <c r="G256" s="71"/>
    </row>
    <row r="257" ht="12.75" customHeight="1">
      <c r="A257" s="71"/>
      <c r="B257" s="71"/>
      <c r="C257" s="71"/>
      <c r="D257" s="71"/>
      <c r="E257" s="71"/>
      <c r="F257" s="71"/>
      <c r="G257" s="71"/>
    </row>
    <row r="258" ht="12.75" customHeight="1">
      <c r="A258" s="71"/>
      <c r="B258" s="71"/>
      <c r="C258" s="71"/>
      <c r="D258" s="71"/>
      <c r="E258" s="71"/>
      <c r="F258" s="71"/>
      <c r="G258" s="71"/>
    </row>
    <row r="259" ht="12.75" customHeight="1">
      <c r="A259" s="71"/>
      <c r="B259" s="71"/>
      <c r="C259" s="71"/>
      <c r="D259" s="71"/>
      <c r="E259" s="71"/>
      <c r="F259" s="71"/>
      <c r="G259" s="71"/>
    </row>
    <row r="260" ht="12.75" customHeight="1">
      <c r="A260" s="71"/>
      <c r="B260" s="71"/>
      <c r="C260" s="71"/>
      <c r="D260" s="71"/>
      <c r="E260" s="71"/>
      <c r="F260" s="71"/>
      <c r="G260" s="71"/>
    </row>
    <row r="261" ht="12.75" customHeight="1">
      <c r="A261" s="71"/>
      <c r="B261" s="71"/>
      <c r="C261" s="71"/>
      <c r="D261" s="71"/>
      <c r="E261" s="71"/>
      <c r="F261" s="71"/>
      <c r="G261" s="71"/>
    </row>
    <row r="262" ht="12.75" customHeight="1">
      <c r="A262" s="71"/>
      <c r="B262" s="71"/>
      <c r="C262" s="71"/>
      <c r="D262" s="71"/>
      <c r="E262" s="71"/>
      <c r="F262" s="71"/>
      <c r="G262" s="71"/>
    </row>
    <row r="263" ht="12.75" customHeight="1">
      <c r="A263" s="71"/>
      <c r="B263" s="71"/>
      <c r="C263" s="71"/>
      <c r="D263" s="71"/>
      <c r="E263" s="71"/>
      <c r="F263" s="71"/>
      <c r="G263" s="71"/>
    </row>
    <row r="264" ht="12.75" customHeight="1">
      <c r="A264" s="71"/>
      <c r="B264" s="71"/>
      <c r="C264" s="71"/>
      <c r="D264" s="71"/>
      <c r="E264" s="71"/>
      <c r="F264" s="71"/>
      <c r="G264" s="71"/>
    </row>
    <row r="265" ht="12.75" customHeight="1">
      <c r="A265" s="71"/>
      <c r="B265" s="71"/>
      <c r="C265" s="71"/>
      <c r="D265" s="71"/>
      <c r="E265" s="71"/>
      <c r="F265" s="71"/>
      <c r="G265" s="71"/>
    </row>
    <row r="266" ht="12.75" customHeight="1">
      <c r="A266" s="71"/>
      <c r="B266" s="71"/>
      <c r="C266" s="71"/>
      <c r="D266" s="71"/>
      <c r="E266" s="71"/>
      <c r="F266" s="71"/>
      <c r="G266" s="71"/>
    </row>
    <row r="267" ht="12.75" customHeight="1">
      <c r="A267" s="71"/>
      <c r="B267" s="71"/>
      <c r="C267" s="71"/>
      <c r="D267" s="71"/>
      <c r="E267" s="71"/>
      <c r="F267" s="71"/>
      <c r="G267" s="71"/>
    </row>
    <row r="268" ht="12.75" customHeight="1">
      <c r="A268" s="71"/>
      <c r="B268" s="71"/>
      <c r="C268" s="71"/>
      <c r="D268" s="71"/>
      <c r="E268" s="71"/>
      <c r="F268" s="71"/>
      <c r="G268" s="71"/>
    </row>
    <row r="269" ht="12.75" customHeight="1">
      <c r="A269" s="71"/>
      <c r="B269" s="71"/>
      <c r="C269" s="71"/>
      <c r="D269" s="71"/>
      <c r="E269" s="71"/>
      <c r="F269" s="71"/>
      <c r="G269" s="71"/>
    </row>
    <row r="270" ht="12.75" customHeight="1">
      <c r="A270" s="71"/>
      <c r="B270" s="71"/>
      <c r="C270" s="71"/>
      <c r="D270" s="71"/>
      <c r="E270" s="71"/>
      <c r="F270" s="71"/>
      <c r="G270" s="71"/>
    </row>
    <row r="271" ht="12.75" customHeight="1">
      <c r="A271" s="71"/>
      <c r="B271" s="71"/>
      <c r="C271" s="71"/>
      <c r="D271" s="71"/>
      <c r="E271" s="71"/>
      <c r="F271" s="71"/>
      <c r="G271" s="71"/>
    </row>
    <row r="272" ht="12.75" customHeight="1">
      <c r="A272" s="71"/>
      <c r="B272" s="71"/>
      <c r="C272" s="71"/>
      <c r="D272" s="71"/>
      <c r="E272" s="71"/>
      <c r="F272" s="71"/>
      <c r="G272" s="71"/>
    </row>
    <row r="273" ht="12.75" customHeight="1">
      <c r="A273" s="71"/>
      <c r="B273" s="71"/>
      <c r="C273" s="71"/>
      <c r="D273" s="71"/>
      <c r="E273" s="71"/>
      <c r="F273" s="71"/>
      <c r="G273" s="71"/>
    </row>
    <row r="274" ht="12.75" customHeight="1">
      <c r="A274" s="71"/>
      <c r="B274" s="71"/>
      <c r="C274" s="71"/>
      <c r="D274" s="71"/>
      <c r="E274" s="71"/>
      <c r="F274" s="71"/>
      <c r="G274" s="71"/>
    </row>
    <row r="275" ht="12.75" customHeight="1">
      <c r="A275" s="71"/>
      <c r="B275" s="71"/>
      <c r="C275" s="71"/>
      <c r="D275" s="71"/>
      <c r="E275" s="71"/>
      <c r="F275" s="71"/>
      <c r="G275" s="71"/>
    </row>
    <row r="276" ht="12.75" customHeight="1">
      <c r="A276" s="71"/>
      <c r="B276" s="71"/>
      <c r="C276" s="71"/>
      <c r="D276" s="71"/>
      <c r="E276" s="71"/>
      <c r="F276" s="71"/>
      <c r="G276" s="71"/>
    </row>
    <row r="277" ht="12.75" customHeight="1">
      <c r="A277" s="71"/>
      <c r="B277" s="71"/>
      <c r="C277" s="71"/>
      <c r="D277" s="71"/>
      <c r="E277" s="71"/>
      <c r="F277" s="71"/>
      <c r="G277" s="71"/>
    </row>
    <row r="278" ht="12.75" customHeight="1">
      <c r="A278" s="71"/>
      <c r="B278" s="71"/>
      <c r="C278" s="71"/>
      <c r="D278" s="71"/>
      <c r="E278" s="71"/>
      <c r="F278" s="71"/>
      <c r="G278" s="71"/>
    </row>
    <row r="279" ht="12.75" customHeight="1">
      <c r="A279" s="71"/>
      <c r="B279" s="71"/>
      <c r="C279" s="71"/>
      <c r="D279" s="71"/>
      <c r="E279" s="71"/>
      <c r="F279" s="71"/>
      <c r="G279" s="71"/>
    </row>
    <row r="280" ht="12.75" customHeight="1">
      <c r="A280" s="71"/>
      <c r="B280" s="71"/>
      <c r="C280" s="71"/>
      <c r="D280" s="71"/>
      <c r="E280" s="71"/>
      <c r="F280" s="71"/>
      <c r="G280" s="71"/>
    </row>
    <row r="281" ht="12.75" customHeight="1">
      <c r="A281" s="71"/>
      <c r="B281" s="71"/>
      <c r="C281" s="71"/>
      <c r="D281" s="71"/>
      <c r="E281" s="71"/>
      <c r="F281" s="71"/>
      <c r="G281" s="71"/>
    </row>
    <row r="282" ht="12.75" customHeight="1">
      <c r="A282" s="71"/>
      <c r="B282" s="71"/>
      <c r="C282" s="71"/>
      <c r="D282" s="71"/>
      <c r="E282" s="71"/>
      <c r="F282" s="71"/>
      <c r="G282" s="71"/>
    </row>
    <row r="283" ht="12.75" customHeight="1">
      <c r="A283" s="71"/>
      <c r="B283" s="71"/>
      <c r="C283" s="71"/>
      <c r="D283" s="71"/>
      <c r="E283" s="71"/>
      <c r="F283" s="71"/>
      <c r="G283" s="71"/>
    </row>
    <row r="284" ht="12.75" customHeight="1">
      <c r="A284" s="71"/>
      <c r="B284" s="71"/>
      <c r="C284" s="71"/>
      <c r="D284" s="71"/>
      <c r="E284" s="71"/>
      <c r="F284" s="71"/>
      <c r="G284" s="71"/>
    </row>
    <row r="285" ht="12.75" customHeight="1">
      <c r="A285" s="71"/>
      <c r="B285" s="71"/>
      <c r="C285" s="71"/>
      <c r="D285" s="71"/>
      <c r="E285" s="71"/>
      <c r="F285" s="71"/>
      <c r="G285" s="71"/>
    </row>
    <row r="286" ht="12.75" customHeight="1">
      <c r="A286" s="71"/>
      <c r="B286" s="71"/>
      <c r="C286" s="71"/>
      <c r="D286" s="71"/>
      <c r="E286" s="71"/>
      <c r="F286" s="71"/>
      <c r="G286" s="71"/>
    </row>
    <row r="287" ht="12.75" customHeight="1">
      <c r="A287" s="71"/>
      <c r="B287" s="71"/>
      <c r="C287" s="71"/>
      <c r="D287" s="71"/>
      <c r="E287" s="71"/>
      <c r="F287" s="71"/>
      <c r="G287" s="71"/>
    </row>
    <row r="288" ht="12.75" customHeight="1">
      <c r="A288" s="71"/>
      <c r="B288" s="71"/>
      <c r="C288" s="71"/>
      <c r="D288" s="71"/>
      <c r="E288" s="71"/>
      <c r="F288" s="71"/>
      <c r="G288" s="71"/>
    </row>
    <row r="289" ht="12.75" customHeight="1">
      <c r="A289" s="71"/>
      <c r="B289" s="71"/>
      <c r="C289" s="71"/>
      <c r="D289" s="71"/>
      <c r="E289" s="71"/>
      <c r="F289" s="71"/>
      <c r="G289" s="71"/>
    </row>
    <row r="290" ht="12.75" customHeight="1">
      <c r="A290" s="71"/>
      <c r="B290" s="71"/>
      <c r="C290" s="71"/>
      <c r="D290" s="71"/>
      <c r="E290" s="71"/>
      <c r="F290" s="71"/>
      <c r="G290" s="71"/>
    </row>
    <row r="291" ht="12.75" customHeight="1">
      <c r="A291" s="71"/>
      <c r="B291" s="71"/>
      <c r="C291" s="71"/>
      <c r="D291" s="71"/>
      <c r="E291" s="71"/>
      <c r="F291" s="71"/>
      <c r="G291" s="71"/>
    </row>
    <row r="292" ht="12.75" customHeight="1">
      <c r="A292" s="71"/>
      <c r="B292" s="71"/>
      <c r="C292" s="71"/>
      <c r="D292" s="71"/>
      <c r="E292" s="71"/>
      <c r="F292" s="71"/>
      <c r="G292" s="71"/>
    </row>
    <row r="293" ht="12.75" customHeight="1">
      <c r="A293" s="71"/>
      <c r="B293" s="71"/>
      <c r="C293" s="71"/>
      <c r="D293" s="71"/>
      <c r="E293" s="71"/>
      <c r="F293" s="71"/>
      <c r="G293" s="71"/>
    </row>
    <row r="294" ht="12.75" customHeight="1">
      <c r="A294" s="71"/>
      <c r="B294" s="71"/>
      <c r="C294" s="71"/>
      <c r="D294" s="71"/>
      <c r="E294" s="71"/>
      <c r="F294" s="71"/>
      <c r="G294" s="71"/>
    </row>
    <row r="295" ht="12.75" customHeight="1">
      <c r="A295" s="71"/>
      <c r="B295" s="71"/>
      <c r="C295" s="71"/>
      <c r="D295" s="71"/>
      <c r="E295" s="71"/>
      <c r="F295" s="71"/>
      <c r="G295" s="71"/>
    </row>
    <row r="296" ht="12.75" customHeight="1">
      <c r="A296" s="71"/>
      <c r="B296" s="71"/>
      <c r="C296" s="71"/>
      <c r="D296" s="71"/>
      <c r="E296" s="71"/>
      <c r="F296" s="71"/>
      <c r="G296" s="71"/>
    </row>
    <row r="297" ht="12.75" customHeight="1">
      <c r="A297" s="71"/>
      <c r="B297" s="71"/>
      <c r="C297" s="71"/>
      <c r="D297" s="71"/>
      <c r="E297" s="71"/>
      <c r="F297" s="71"/>
      <c r="G297" s="71"/>
    </row>
    <row r="298" ht="12.75" customHeight="1">
      <c r="A298" s="71"/>
      <c r="B298" s="71"/>
      <c r="C298" s="71"/>
      <c r="D298" s="71"/>
      <c r="E298" s="71"/>
      <c r="F298" s="71"/>
      <c r="G298" s="71"/>
    </row>
    <row r="299" ht="12.75" customHeight="1">
      <c r="A299" s="71"/>
      <c r="B299" s="71"/>
      <c r="C299" s="71"/>
      <c r="D299" s="71"/>
      <c r="E299" s="71"/>
      <c r="F299" s="71"/>
      <c r="G299" s="71"/>
    </row>
    <row r="300" ht="12.75" customHeight="1">
      <c r="A300" s="71"/>
      <c r="B300" s="71"/>
      <c r="C300" s="71"/>
      <c r="D300" s="71"/>
      <c r="E300" s="71"/>
      <c r="F300" s="71"/>
      <c r="G300" s="71"/>
    </row>
    <row r="301" ht="12.75" customHeight="1">
      <c r="A301" s="71"/>
      <c r="B301" s="71"/>
      <c r="C301" s="71"/>
      <c r="D301" s="71"/>
      <c r="E301" s="71"/>
      <c r="F301" s="71"/>
      <c r="G301" s="71"/>
    </row>
    <row r="302" ht="12.75" customHeight="1">
      <c r="A302" s="71"/>
      <c r="B302" s="71"/>
      <c r="C302" s="71"/>
      <c r="D302" s="71"/>
      <c r="E302" s="71"/>
      <c r="F302" s="71"/>
      <c r="G302" s="71"/>
    </row>
    <row r="303" ht="12.75" customHeight="1">
      <c r="A303" s="71"/>
      <c r="B303" s="71"/>
      <c r="C303" s="71"/>
      <c r="D303" s="71"/>
      <c r="E303" s="71"/>
      <c r="F303" s="71"/>
      <c r="G303" s="71"/>
    </row>
    <row r="304" ht="12.75" customHeight="1">
      <c r="A304" s="71"/>
      <c r="B304" s="71"/>
      <c r="C304" s="71"/>
      <c r="D304" s="71"/>
      <c r="E304" s="71"/>
      <c r="F304" s="71"/>
      <c r="G304" s="71"/>
    </row>
    <row r="305" ht="12.75" customHeight="1">
      <c r="A305" s="71"/>
      <c r="B305" s="71"/>
      <c r="C305" s="71"/>
      <c r="D305" s="71"/>
      <c r="E305" s="71"/>
      <c r="F305" s="71"/>
      <c r="G305" s="71"/>
    </row>
    <row r="306" ht="12.75" customHeight="1">
      <c r="A306" s="71"/>
      <c r="B306" s="71"/>
      <c r="C306" s="71"/>
      <c r="D306" s="71"/>
      <c r="E306" s="71"/>
      <c r="F306" s="71"/>
      <c r="G306" s="71"/>
    </row>
    <row r="307" ht="12.75" customHeight="1">
      <c r="A307" s="71"/>
      <c r="B307" s="71"/>
      <c r="C307" s="71"/>
      <c r="D307" s="71"/>
      <c r="E307" s="71"/>
      <c r="F307" s="71"/>
      <c r="G307" s="71"/>
    </row>
    <row r="308" ht="12.75" customHeight="1">
      <c r="A308" s="71"/>
      <c r="B308" s="71"/>
      <c r="C308" s="71"/>
      <c r="D308" s="71"/>
      <c r="E308" s="71"/>
      <c r="F308" s="71"/>
      <c r="G308" s="71"/>
    </row>
    <row r="309" ht="12.75" customHeight="1">
      <c r="A309" s="71"/>
      <c r="B309" s="71"/>
      <c r="C309" s="71"/>
      <c r="D309" s="71"/>
      <c r="E309" s="71"/>
      <c r="F309" s="71"/>
      <c r="G309" s="71"/>
    </row>
    <row r="310" ht="12.75" customHeight="1">
      <c r="A310" s="71"/>
      <c r="B310" s="71"/>
      <c r="C310" s="71"/>
      <c r="D310" s="71"/>
      <c r="E310" s="71"/>
      <c r="F310" s="71"/>
      <c r="G310" s="71"/>
    </row>
    <row r="311" ht="12.75" customHeight="1">
      <c r="A311" s="71"/>
      <c r="B311" s="71"/>
      <c r="C311" s="71"/>
      <c r="D311" s="71"/>
      <c r="E311" s="71"/>
      <c r="F311" s="71"/>
      <c r="G311" s="71"/>
    </row>
    <row r="312" ht="12.75" customHeight="1">
      <c r="A312" s="71"/>
      <c r="B312" s="71"/>
      <c r="C312" s="71"/>
      <c r="D312" s="71"/>
      <c r="E312" s="71"/>
      <c r="F312" s="71"/>
      <c r="G312" s="71"/>
    </row>
    <row r="313" ht="12.75" customHeight="1">
      <c r="A313" s="71"/>
      <c r="B313" s="71"/>
      <c r="C313" s="71"/>
      <c r="D313" s="71"/>
      <c r="E313" s="71"/>
      <c r="F313" s="71"/>
      <c r="G313" s="71"/>
    </row>
    <row r="314" ht="12.75" customHeight="1">
      <c r="A314" s="71"/>
      <c r="B314" s="71"/>
      <c r="C314" s="71"/>
      <c r="D314" s="71"/>
      <c r="E314" s="71"/>
      <c r="F314" s="71"/>
      <c r="G314" s="71"/>
    </row>
    <row r="315" ht="12.75" customHeight="1">
      <c r="A315" s="71"/>
      <c r="B315" s="71"/>
      <c r="C315" s="71"/>
      <c r="D315" s="71"/>
      <c r="E315" s="71"/>
      <c r="F315" s="71"/>
      <c r="G315" s="71"/>
    </row>
    <row r="316" ht="12.75" customHeight="1">
      <c r="A316" s="71"/>
      <c r="B316" s="71"/>
      <c r="C316" s="71"/>
      <c r="D316" s="71"/>
      <c r="E316" s="71"/>
      <c r="F316" s="71"/>
      <c r="G316" s="71"/>
    </row>
    <row r="317" ht="12.75" customHeight="1">
      <c r="A317" s="71"/>
      <c r="B317" s="71"/>
      <c r="C317" s="71"/>
      <c r="D317" s="71"/>
      <c r="E317" s="71"/>
      <c r="F317" s="71"/>
      <c r="G317" s="71"/>
    </row>
    <row r="318" ht="12.75" customHeight="1">
      <c r="A318" s="71"/>
      <c r="B318" s="71"/>
      <c r="C318" s="71"/>
      <c r="D318" s="71"/>
      <c r="E318" s="71"/>
      <c r="F318" s="71"/>
      <c r="G318" s="71"/>
    </row>
    <row r="319" ht="12.75" customHeight="1">
      <c r="A319" s="71"/>
      <c r="B319" s="71"/>
      <c r="C319" s="71"/>
      <c r="D319" s="71"/>
      <c r="E319" s="71"/>
      <c r="F319" s="71"/>
      <c r="G319" s="71"/>
    </row>
    <row r="320" ht="12.75" customHeight="1">
      <c r="A320" s="71"/>
      <c r="B320" s="71"/>
      <c r="C320" s="71"/>
      <c r="D320" s="71"/>
      <c r="E320" s="71"/>
      <c r="F320" s="71"/>
      <c r="G320" s="71"/>
    </row>
    <row r="321" ht="12.75" customHeight="1">
      <c r="A321" s="71"/>
      <c r="B321" s="71"/>
      <c r="C321" s="71"/>
      <c r="D321" s="71"/>
      <c r="E321" s="71"/>
      <c r="F321" s="71"/>
      <c r="G321" s="71"/>
    </row>
    <row r="322" ht="12.75" customHeight="1">
      <c r="A322" s="71"/>
      <c r="B322" s="71"/>
      <c r="C322" s="71"/>
      <c r="D322" s="71"/>
      <c r="E322" s="71"/>
      <c r="F322" s="71"/>
      <c r="G322" s="71"/>
    </row>
    <row r="323" ht="12.75" customHeight="1">
      <c r="A323" s="71"/>
      <c r="B323" s="71"/>
      <c r="C323" s="71"/>
      <c r="D323" s="71"/>
      <c r="E323" s="71"/>
      <c r="F323" s="71"/>
      <c r="G323" s="71"/>
    </row>
    <row r="324" ht="12.75" customHeight="1">
      <c r="A324" s="71"/>
      <c r="B324" s="71"/>
      <c r="C324" s="71"/>
      <c r="D324" s="71"/>
      <c r="E324" s="71"/>
      <c r="F324" s="71"/>
      <c r="G324" s="71"/>
    </row>
    <row r="325" ht="12.75" customHeight="1">
      <c r="A325" s="71"/>
      <c r="B325" s="71"/>
      <c r="C325" s="71"/>
      <c r="D325" s="71"/>
      <c r="E325" s="71"/>
      <c r="F325" s="71"/>
      <c r="G325" s="71"/>
    </row>
    <row r="326" ht="12.75" customHeight="1">
      <c r="A326" s="71"/>
      <c r="B326" s="71"/>
      <c r="C326" s="71"/>
      <c r="D326" s="71"/>
      <c r="E326" s="71"/>
      <c r="F326" s="71"/>
      <c r="G326" s="71"/>
    </row>
    <row r="327" ht="12.75" customHeight="1">
      <c r="A327" s="71"/>
      <c r="B327" s="71"/>
      <c r="C327" s="71"/>
      <c r="D327" s="71"/>
      <c r="E327" s="71"/>
      <c r="F327" s="71"/>
      <c r="G327" s="71"/>
    </row>
    <row r="328" ht="12.75" customHeight="1">
      <c r="A328" s="71"/>
      <c r="B328" s="71"/>
      <c r="C328" s="71"/>
      <c r="D328" s="71"/>
      <c r="E328" s="71"/>
      <c r="F328" s="71"/>
      <c r="G328" s="71"/>
    </row>
    <row r="329" ht="12.75" customHeight="1">
      <c r="A329" s="71"/>
      <c r="B329" s="71"/>
      <c r="C329" s="71"/>
      <c r="D329" s="71"/>
      <c r="E329" s="71"/>
      <c r="F329" s="71"/>
      <c r="G329" s="71"/>
    </row>
    <row r="330" ht="12.75" customHeight="1">
      <c r="A330" s="71"/>
      <c r="B330" s="71"/>
      <c r="C330" s="71"/>
      <c r="D330" s="71"/>
      <c r="E330" s="71"/>
      <c r="F330" s="71"/>
      <c r="G330" s="71"/>
    </row>
    <row r="331" ht="12.75" customHeight="1">
      <c r="A331" s="71"/>
      <c r="B331" s="71"/>
      <c r="C331" s="71"/>
      <c r="D331" s="71"/>
      <c r="E331" s="71"/>
      <c r="F331" s="71"/>
      <c r="G331" s="71"/>
    </row>
    <row r="332" ht="12.75" customHeight="1">
      <c r="A332" s="71"/>
      <c r="B332" s="71"/>
      <c r="C332" s="71"/>
      <c r="D332" s="71"/>
      <c r="E332" s="71"/>
      <c r="F332" s="71"/>
      <c r="G332" s="71"/>
    </row>
    <row r="333" ht="12.75" customHeight="1">
      <c r="A333" s="71"/>
      <c r="B333" s="71"/>
      <c r="C333" s="71"/>
      <c r="D333" s="71"/>
      <c r="E333" s="71"/>
      <c r="F333" s="71"/>
      <c r="G333" s="71"/>
    </row>
    <row r="334" ht="12.75" customHeight="1">
      <c r="A334" s="71"/>
      <c r="B334" s="71"/>
      <c r="C334" s="71"/>
      <c r="D334" s="71"/>
      <c r="E334" s="71"/>
      <c r="F334" s="71"/>
      <c r="G334" s="71"/>
    </row>
    <row r="335" ht="12.75" customHeight="1">
      <c r="A335" s="71"/>
      <c r="B335" s="71"/>
      <c r="C335" s="71"/>
      <c r="D335" s="71"/>
      <c r="E335" s="71"/>
      <c r="F335" s="71"/>
      <c r="G335" s="71"/>
    </row>
    <row r="336" ht="12.75" customHeight="1">
      <c r="A336" s="71"/>
      <c r="B336" s="71"/>
      <c r="C336" s="71"/>
      <c r="D336" s="71"/>
      <c r="E336" s="71"/>
      <c r="F336" s="71"/>
      <c r="G336" s="71"/>
    </row>
    <row r="337" ht="12.75" customHeight="1">
      <c r="A337" s="71"/>
      <c r="B337" s="71"/>
      <c r="C337" s="71"/>
      <c r="D337" s="71"/>
      <c r="E337" s="71"/>
      <c r="F337" s="71"/>
      <c r="G337" s="71"/>
    </row>
    <row r="338" ht="12.75" customHeight="1">
      <c r="A338" s="71"/>
      <c r="B338" s="71"/>
      <c r="C338" s="71"/>
      <c r="D338" s="71"/>
      <c r="E338" s="71"/>
      <c r="F338" s="71"/>
      <c r="G338" s="71"/>
    </row>
    <row r="339" ht="12.75" customHeight="1">
      <c r="A339" s="71"/>
      <c r="B339" s="71"/>
      <c r="C339" s="71"/>
      <c r="D339" s="71"/>
      <c r="E339" s="71"/>
      <c r="F339" s="71"/>
      <c r="G339" s="71"/>
    </row>
    <row r="340" ht="12.75" customHeight="1">
      <c r="A340" s="71"/>
      <c r="B340" s="71"/>
      <c r="C340" s="71"/>
      <c r="D340" s="71"/>
      <c r="E340" s="71"/>
      <c r="F340" s="71"/>
      <c r="G340" s="71"/>
    </row>
    <row r="341" ht="12.75" customHeight="1">
      <c r="A341" s="71"/>
      <c r="B341" s="71"/>
      <c r="C341" s="71"/>
      <c r="D341" s="71"/>
      <c r="E341" s="71"/>
      <c r="F341" s="71"/>
      <c r="G341" s="71"/>
    </row>
    <row r="342" ht="12.75" customHeight="1">
      <c r="A342" s="71"/>
      <c r="B342" s="71"/>
      <c r="C342" s="71"/>
      <c r="D342" s="71"/>
      <c r="E342" s="71"/>
      <c r="F342" s="71"/>
      <c r="G342" s="71"/>
    </row>
    <row r="343" ht="12.75" customHeight="1">
      <c r="A343" s="71"/>
      <c r="B343" s="71"/>
      <c r="C343" s="71"/>
      <c r="D343" s="71"/>
      <c r="E343" s="71"/>
      <c r="F343" s="71"/>
      <c r="G343" s="71"/>
    </row>
    <row r="344" ht="12.75" customHeight="1">
      <c r="A344" s="71"/>
      <c r="B344" s="71"/>
      <c r="C344" s="71"/>
      <c r="D344" s="71"/>
      <c r="E344" s="71"/>
      <c r="F344" s="71"/>
      <c r="G344" s="71"/>
    </row>
    <row r="345" ht="12.75" customHeight="1">
      <c r="A345" s="71"/>
      <c r="B345" s="71"/>
      <c r="C345" s="71"/>
      <c r="D345" s="71"/>
      <c r="E345" s="71"/>
      <c r="F345" s="71"/>
      <c r="G345" s="71"/>
    </row>
    <row r="346" ht="12.75" customHeight="1">
      <c r="A346" s="71"/>
      <c r="B346" s="71"/>
      <c r="C346" s="71"/>
      <c r="D346" s="71"/>
      <c r="E346" s="71"/>
      <c r="F346" s="71"/>
      <c r="G346" s="71"/>
    </row>
    <row r="347" ht="12.75" customHeight="1">
      <c r="A347" s="71"/>
      <c r="B347" s="71"/>
      <c r="C347" s="71"/>
      <c r="D347" s="71"/>
      <c r="E347" s="71"/>
      <c r="F347" s="71"/>
      <c r="G347" s="71"/>
    </row>
    <row r="348" ht="12.75" customHeight="1">
      <c r="A348" s="71"/>
      <c r="B348" s="71"/>
      <c r="C348" s="71"/>
      <c r="D348" s="71"/>
      <c r="E348" s="71"/>
      <c r="F348" s="71"/>
      <c r="G348" s="71"/>
    </row>
    <row r="349" ht="12.75" customHeight="1">
      <c r="A349" s="71"/>
      <c r="B349" s="71"/>
      <c r="C349" s="71"/>
      <c r="D349" s="71"/>
      <c r="E349" s="71"/>
      <c r="F349" s="71"/>
      <c r="G349" s="71"/>
    </row>
    <row r="350" ht="12.75" customHeight="1">
      <c r="A350" s="71"/>
      <c r="B350" s="71"/>
      <c r="C350" s="71"/>
      <c r="D350" s="71"/>
      <c r="E350" s="71"/>
      <c r="F350" s="71"/>
      <c r="G350" s="71"/>
    </row>
    <row r="351" ht="12.75" customHeight="1">
      <c r="A351" s="71"/>
      <c r="B351" s="71"/>
      <c r="C351" s="71"/>
      <c r="D351" s="71"/>
      <c r="E351" s="71"/>
      <c r="F351" s="71"/>
      <c r="G351" s="71"/>
    </row>
    <row r="352" ht="12.75" customHeight="1">
      <c r="A352" s="71"/>
      <c r="B352" s="71"/>
      <c r="C352" s="71"/>
      <c r="D352" s="71"/>
      <c r="E352" s="71"/>
      <c r="F352" s="71"/>
      <c r="G352" s="71"/>
    </row>
    <row r="353" ht="12.75" customHeight="1">
      <c r="A353" s="71"/>
      <c r="B353" s="71"/>
      <c r="C353" s="71"/>
      <c r="D353" s="71"/>
      <c r="E353" s="71"/>
      <c r="F353" s="71"/>
      <c r="G353" s="71"/>
    </row>
    <row r="354" ht="12.75" customHeight="1">
      <c r="A354" s="71"/>
      <c r="B354" s="71"/>
      <c r="C354" s="71"/>
      <c r="D354" s="71"/>
      <c r="E354" s="71"/>
      <c r="F354" s="71"/>
      <c r="G354" s="71"/>
    </row>
    <row r="355" ht="12.75" customHeight="1">
      <c r="A355" s="71"/>
      <c r="B355" s="71"/>
      <c r="C355" s="71"/>
      <c r="D355" s="71"/>
      <c r="E355" s="71"/>
      <c r="F355" s="71"/>
      <c r="G355" s="71"/>
    </row>
    <row r="356" ht="12.75" customHeight="1">
      <c r="A356" s="71"/>
      <c r="B356" s="71"/>
      <c r="C356" s="71"/>
      <c r="D356" s="71"/>
      <c r="E356" s="71"/>
      <c r="F356" s="71"/>
      <c r="G356" s="71"/>
    </row>
    <row r="357" ht="12.75" customHeight="1">
      <c r="A357" s="71"/>
      <c r="B357" s="71"/>
      <c r="C357" s="71"/>
      <c r="D357" s="71"/>
      <c r="E357" s="71"/>
      <c r="F357" s="71"/>
      <c r="G357" s="71"/>
    </row>
    <row r="358" ht="12.75" customHeight="1">
      <c r="A358" s="71"/>
      <c r="B358" s="71"/>
      <c r="C358" s="71"/>
      <c r="D358" s="71"/>
      <c r="E358" s="71"/>
      <c r="F358" s="71"/>
      <c r="G358" s="71"/>
    </row>
    <row r="359" ht="12.75" customHeight="1">
      <c r="A359" s="71"/>
      <c r="B359" s="71"/>
      <c r="C359" s="71"/>
      <c r="D359" s="71"/>
      <c r="E359" s="71"/>
      <c r="F359" s="71"/>
      <c r="G359" s="71"/>
    </row>
    <row r="360" ht="12.75" customHeight="1">
      <c r="A360" s="71"/>
      <c r="B360" s="71"/>
      <c r="C360" s="71"/>
      <c r="D360" s="71"/>
      <c r="E360" s="71"/>
      <c r="F360" s="71"/>
      <c r="G360" s="71"/>
    </row>
    <row r="361" ht="12.75" customHeight="1">
      <c r="A361" s="71"/>
      <c r="B361" s="71"/>
      <c r="C361" s="71"/>
      <c r="D361" s="71"/>
      <c r="E361" s="71"/>
      <c r="F361" s="71"/>
      <c r="G361" s="71"/>
    </row>
    <row r="362" ht="12.75" customHeight="1">
      <c r="A362" s="71"/>
      <c r="B362" s="71"/>
      <c r="C362" s="71"/>
      <c r="D362" s="71"/>
      <c r="E362" s="71"/>
      <c r="F362" s="71"/>
      <c r="G362" s="71"/>
    </row>
    <row r="363" ht="12.75" customHeight="1">
      <c r="A363" s="71"/>
      <c r="B363" s="71"/>
      <c r="C363" s="71"/>
      <c r="D363" s="71"/>
      <c r="E363" s="71"/>
      <c r="F363" s="71"/>
      <c r="G363" s="71"/>
    </row>
    <row r="364" ht="12.75" customHeight="1">
      <c r="A364" s="71"/>
      <c r="B364" s="71"/>
      <c r="C364" s="71"/>
      <c r="D364" s="71"/>
      <c r="E364" s="71"/>
      <c r="F364" s="71"/>
      <c r="G364" s="71"/>
    </row>
    <row r="365" ht="12.75" customHeight="1">
      <c r="A365" s="71"/>
      <c r="B365" s="71"/>
      <c r="C365" s="71"/>
      <c r="D365" s="71"/>
      <c r="E365" s="71"/>
      <c r="F365" s="71"/>
      <c r="G365" s="71"/>
    </row>
    <row r="366" ht="12.75" customHeight="1">
      <c r="A366" s="71"/>
      <c r="B366" s="71"/>
      <c r="C366" s="71"/>
      <c r="D366" s="71"/>
      <c r="E366" s="71"/>
      <c r="F366" s="71"/>
      <c r="G366" s="71"/>
    </row>
    <row r="367" ht="12.75" customHeight="1">
      <c r="A367" s="71"/>
      <c r="B367" s="71"/>
      <c r="C367" s="71"/>
      <c r="D367" s="71"/>
      <c r="E367" s="71"/>
      <c r="F367" s="71"/>
      <c r="G367" s="71"/>
    </row>
    <row r="368" ht="12.75" customHeight="1">
      <c r="A368" s="71"/>
      <c r="B368" s="71"/>
      <c r="C368" s="71"/>
      <c r="D368" s="71"/>
      <c r="E368" s="71"/>
      <c r="F368" s="71"/>
      <c r="G368" s="71"/>
    </row>
    <row r="369" ht="12.75" customHeight="1">
      <c r="A369" s="71"/>
      <c r="B369" s="71"/>
      <c r="C369" s="71"/>
      <c r="D369" s="71"/>
      <c r="E369" s="71"/>
      <c r="F369" s="71"/>
      <c r="G369" s="71"/>
    </row>
    <row r="370" ht="12.75" customHeight="1">
      <c r="A370" s="71"/>
      <c r="B370" s="71"/>
      <c r="C370" s="71"/>
      <c r="D370" s="71"/>
      <c r="E370" s="71"/>
      <c r="F370" s="71"/>
      <c r="G370" s="71"/>
    </row>
    <row r="371" ht="12.75" customHeight="1">
      <c r="A371" s="71"/>
      <c r="B371" s="71"/>
      <c r="C371" s="71"/>
      <c r="D371" s="71"/>
      <c r="E371" s="71"/>
      <c r="F371" s="71"/>
      <c r="G371" s="71"/>
    </row>
    <row r="372" ht="12.75" customHeight="1">
      <c r="A372" s="71"/>
      <c r="B372" s="71"/>
      <c r="C372" s="71"/>
      <c r="D372" s="71"/>
      <c r="E372" s="71"/>
      <c r="F372" s="71"/>
      <c r="G372" s="71"/>
    </row>
    <row r="373" ht="12.75" customHeight="1">
      <c r="A373" s="71"/>
      <c r="B373" s="71"/>
      <c r="C373" s="71"/>
      <c r="D373" s="71"/>
      <c r="E373" s="71"/>
      <c r="F373" s="71"/>
      <c r="G373" s="71"/>
    </row>
    <row r="374" ht="12.75" customHeight="1">
      <c r="A374" s="71"/>
      <c r="B374" s="71"/>
      <c r="C374" s="71"/>
      <c r="D374" s="71"/>
      <c r="E374" s="71"/>
      <c r="F374" s="71"/>
      <c r="G374" s="71"/>
    </row>
    <row r="375" ht="12.75" customHeight="1">
      <c r="A375" s="71"/>
      <c r="B375" s="71"/>
      <c r="C375" s="71"/>
      <c r="D375" s="71"/>
      <c r="E375" s="71"/>
      <c r="F375" s="71"/>
      <c r="G375" s="71"/>
    </row>
    <row r="376" ht="12.75" customHeight="1">
      <c r="A376" s="71"/>
      <c r="B376" s="71"/>
      <c r="C376" s="71"/>
      <c r="D376" s="71"/>
      <c r="E376" s="71"/>
      <c r="F376" s="71"/>
      <c r="G376" s="71"/>
    </row>
    <row r="377" ht="12.75" customHeight="1">
      <c r="A377" s="71"/>
      <c r="B377" s="71"/>
      <c r="C377" s="71"/>
      <c r="D377" s="71"/>
      <c r="E377" s="71"/>
      <c r="F377" s="71"/>
      <c r="G377" s="71"/>
    </row>
    <row r="378" ht="12.75" customHeight="1">
      <c r="A378" s="71"/>
      <c r="B378" s="71"/>
      <c r="C378" s="71"/>
      <c r="D378" s="71"/>
      <c r="E378" s="71"/>
      <c r="F378" s="71"/>
      <c r="G378" s="71"/>
    </row>
    <row r="379" ht="12.75" customHeight="1">
      <c r="A379" s="71"/>
      <c r="B379" s="71"/>
      <c r="C379" s="71"/>
      <c r="D379" s="71"/>
      <c r="E379" s="71"/>
      <c r="F379" s="71"/>
      <c r="G379" s="71"/>
    </row>
    <row r="380" ht="12.75" customHeight="1">
      <c r="A380" s="71"/>
      <c r="B380" s="71"/>
      <c r="C380" s="71"/>
      <c r="D380" s="71"/>
      <c r="E380" s="71"/>
      <c r="F380" s="71"/>
      <c r="G380" s="71"/>
    </row>
    <row r="381" ht="12.75" customHeight="1">
      <c r="A381" s="71"/>
      <c r="B381" s="71"/>
      <c r="C381" s="71"/>
      <c r="D381" s="71"/>
      <c r="E381" s="71"/>
      <c r="F381" s="71"/>
      <c r="G381" s="71"/>
    </row>
    <row r="382" ht="12.75" customHeight="1">
      <c r="A382" s="71"/>
      <c r="B382" s="71"/>
      <c r="C382" s="71"/>
      <c r="D382" s="71"/>
      <c r="E382" s="71"/>
      <c r="F382" s="71"/>
      <c r="G382" s="71"/>
    </row>
    <row r="383" ht="12.75" customHeight="1">
      <c r="A383" s="71"/>
      <c r="B383" s="71"/>
      <c r="C383" s="71"/>
      <c r="D383" s="71"/>
      <c r="E383" s="71"/>
      <c r="F383" s="71"/>
      <c r="G383" s="71"/>
    </row>
    <row r="384" ht="12.75" customHeight="1">
      <c r="A384" s="71"/>
      <c r="B384" s="71"/>
      <c r="C384" s="71"/>
      <c r="D384" s="71"/>
      <c r="E384" s="71"/>
      <c r="F384" s="71"/>
      <c r="G384" s="71"/>
    </row>
    <row r="385" ht="12.75" customHeight="1">
      <c r="A385" s="71"/>
      <c r="B385" s="71"/>
      <c r="C385" s="71"/>
      <c r="D385" s="71"/>
      <c r="E385" s="71"/>
      <c r="F385" s="71"/>
      <c r="G385" s="71"/>
    </row>
    <row r="386" ht="12.75" customHeight="1">
      <c r="A386" s="71"/>
      <c r="B386" s="71"/>
      <c r="C386" s="71"/>
      <c r="D386" s="71"/>
      <c r="E386" s="71"/>
      <c r="F386" s="71"/>
      <c r="G386" s="71"/>
    </row>
    <row r="387" ht="12.75" customHeight="1">
      <c r="A387" s="71"/>
      <c r="B387" s="71"/>
      <c r="C387" s="71"/>
      <c r="D387" s="71"/>
      <c r="E387" s="71"/>
      <c r="F387" s="71"/>
      <c r="G387" s="71"/>
    </row>
    <row r="388" ht="12.75" customHeight="1">
      <c r="A388" s="71"/>
      <c r="B388" s="71"/>
      <c r="C388" s="71"/>
      <c r="D388" s="71"/>
      <c r="E388" s="71"/>
      <c r="F388" s="71"/>
      <c r="G388" s="71"/>
    </row>
    <row r="389" ht="12.75" customHeight="1">
      <c r="A389" s="71"/>
      <c r="B389" s="71"/>
      <c r="C389" s="71"/>
      <c r="D389" s="71"/>
      <c r="E389" s="71"/>
      <c r="F389" s="71"/>
      <c r="G389" s="71"/>
    </row>
    <row r="390" ht="12.75" customHeight="1">
      <c r="A390" s="71"/>
      <c r="B390" s="71"/>
      <c r="C390" s="71"/>
      <c r="D390" s="71"/>
      <c r="E390" s="71"/>
      <c r="F390" s="71"/>
      <c r="G390" s="71"/>
    </row>
    <row r="391" ht="12.75" customHeight="1">
      <c r="A391" s="71"/>
      <c r="B391" s="71"/>
      <c r="C391" s="71"/>
      <c r="D391" s="71"/>
      <c r="E391" s="71"/>
      <c r="F391" s="71"/>
      <c r="G391" s="71"/>
    </row>
    <row r="392" ht="12.75" customHeight="1">
      <c r="A392" s="71"/>
      <c r="B392" s="71"/>
      <c r="C392" s="71"/>
      <c r="D392" s="71"/>
      <c r="E392" s="71"/>
      <c r="F392" s="71"/>
      <c r="G392" s="71"/>
    </row>
    <row r="393" ht="12.75" customHeight="1">
      <c r="A393" s="71"/>
      <c r="B393" s="71"/>
      <c r="C393" s="71"/>
      <c r="D393" s="71"/>
      <c r="E393" s="71"/>
      <c r="F393" s="71"/>
      <c r="G393" s="71"/>
    </row>
    <row r="394" ht="12.75" customHeight="1">
      <c r="A394" s="71"/>
      <c r="B394" s="71"/>
      <c r="C394" s="71"/>
      <c r="D394" s="71"/>
      <c r="E394" s="71"/>
      <c r="F394" s="71"/>
      <c r="G394" s="71"/>
    </row>
    <row r="395" ht="12.75" customHeight="1">
      <c r="A395" s="71"/>
      <c r="B395" s="71"/>
      <c r="C395" s="71"/>
      <c r="D395" s="71"/>
      <c r="E395" s="71"/>
      <c r="F395" s="71"/>
      <c r="G395" s="71"/>
    </row>
    <row r="396" ht="12.75" customHeight="1">
      <c r="A396" s="71"/>
      <c r="B396" s="71"/>
      <c r="C396" s="71"/>
      <c r="D396" s="71"/>
      <c r="E396" s="71"/>
      <c r="F396" s="71"/>
      <c r="G396" s="71"/>
    </row>
    <row r="397" ht="12.75" customHeight="1">
      <c r="A397" s="71"/>
      <c r="B397" s="71"/>
      <c r="C397" s="71"/>
      <c r="D397" s="71"/>
      <c r="E397" s="71"/>
      <c r="F397" s="71"/>
      <c r="G397" s="71"/>
    </row>
    <row r="398" ht="12.75" customHeight="1">
      <c r="A398" s="71"/>
      <c r="B398" s="71"/>
      <c r="C398" s="71"/>
      <c r="D398" s="71"/>
      <c r="E398" s="71"/>
      <c r="F398" s="71"/>
      <c r="G398" s="71"/>
    </row>
    <row r="399" ht="12.75" customHeight="1">
      <c r="A399" s="71"/>
      <c r="B399" s="71"/>
      <c r="C399" s="71"/>
      <c r="D399" s="71"/>
      <c r="E399" s="71"/>
      <c r="F399" s="71"/>
      <c r="G399" s="71"/>
    </row>
    <row r="400" ht="12.75" customHeight="1">
      <c r="A400" s="71"/>
      <c r="B400" s="71"/>
      <c r="C400" s="71"/>
      <c r="D400" s="71"/>
      <c r="E400" s="71"/>
      <c r="F400" s="71"/>
      <c r="G400" s="71"/>
    </row>
    <row r="401" ht="12.75" customHeight="1">
      <c r="A401" s="71"/>
      <c r="B401" s="71"/>
      <c r="C401" s="71"/>
      <c r="D401" s="71"/>
      <c r="E401" s="71"/>
      <c r="F401" s="71"/>
      <c r="G401" s="71"/>
    </row>
    <row r="402" ht="12.75" customHeight="1">
      <c r="A402" s="71"/>
      <c r="B402" s="71"/>
      <c r="C402" s="71"/>
      <c r="D402" s="71"/>
      <c r="E402" s="71"/>
      <c r="F402" s="71"/>
      <c r="G402" s="71"/>
    </row>
    <row r="403" ht="12.75" customHeight="1">
      <c r="A403" s="71"/>
      <c r="B403" s="71"/>
      <c r="C403" s="71"/>
      <c r="D403" s="71"/>
      <c r="E403" s="71"/>
      <c r="F403" s="71"/>
      <c r="G403" s="71"/>
    </row>
    <row r="404" ht="12.75" customHeight="1">
      <c r="A404" s="71"/>
      <c r="B404" s="71"/>
      <c r="C404" s="71"/>
      <c r="D404" s="71"/>
      <c r="E404" s="71"/>
      <c r="F404" s="71"/>
      <c r="G404" s="71"/>
    </row>
    <row r="405" ht="12.75" customHeight="1">
      <c r="A405" s="71"/>
      <c r="B405" s="71"/>
      <c r="C405" s="71"/>
      <c r="D405" s="71"/>
      <c r="E405" s="71"/>
      <c r="F405" s="71"/>
      <c r="G405" s="71"/>
    </row>
    <row r="406" ht="12.75" customHeight="1">
      <c r="A406" s="71"/>
      <c r="B406" s="71"/>
      <c r="C406" s="71"/>
      <c r="D406" s="71"/>
      <c r="E406" s="71"/>
      <c r="F406" s="71"/>
      <c r="G406" s="71"/>
    </row>
    <row r="407" ht="12.75" customHeight="1">
      <c r="A407" s="71"/>
      <c r="B407" s="71"/>
      <c r="C407" s="71"/>
      <c r="D407" s="71"/>
      <c r="E407" s="71"/>
      <c r="F407" s="71"/>
      <c r="G407" s="71"/>
    </row>
    <row r="408" ht="12.75" customHeight="1">
      <c r="A408" s="71"/>
      <c r="B408" s="71"/>
      <c r="C408" s="71"/>
      <c r="D408" s="71"/>
      <c r="E408" s="71"/>
      <c r="F408" s="71"/>
      <c r="G408" s="71"/>
    </row>
    <row r="409" ht="12.75" customHeight="1">
      <c r="A409" s="71"/>
      <c r="B409" s="71"/>
      <c r="C409" s="71"/>
      <c r="D409" s="71"/>
      <c r="E409" s="71"/>
      <c r="F409" s="71"/>
      <c r="G409" s="71"/>
    </row>
    <row r="410" ht="12.75" customHeight="1">
      <c r="A410" s="71"/>
      <c r="B410" s="71"/>
      <c r="C410" s="71"/>
      <c r="D410" s="71"/>
      <c r="E410" s="71"/>
      <c r="F410" s="71"/>
      <c r="G410" s="71"/>
    </row>
    <row r="411" ht="12.75" customHeight="1">
      <c r="A411" s="71"/>
      <c r="B411" s="71"/>
      <c r="C411" s="71"/>
      <c r="D411" s="71"/>
      <c r="E411" s="71"/>
      <c r="F411" s="71"/>
      <c r="G411" s="71"/>
    </row>
    <row r="412" ht="12.75" customHeight="1">
      <c r="A412" s="71"/>
      <c r="B412" s="71"/>
      <c r="C412" s="71"/>
      <c r="D412" s="71"/>
      <c r="E412" s="71"/>
      <c r="F412" s="71"/>
      <c r="G412" s="71"/>
    </row>
    <row r="413" ht="12.75" customHeight="1">
      <c r="A413" s="71"/>
      <c r="B413" s="71"/>
      <c r="C413" s="71"/>
      <c r="D413" s="71"/>
      <c r="E413" s="71"/>
      <c r="F413" s="71"/>
      <c r="G413" s="71"/>
    </row>
    <row r="414" ht="12.75" customHeight="1">
      <c r="A414" s="71"/>
      <c r="B414" s="71"/>
      <c r="C414" s="71"/>
      <c r="D414" s="71"/>
      <c r="E414" s="71"/>
      <c r="F414" s="71"/>
      <c r="G414" s="71"/>
    </row>
    <row r="415" ht="12.75" customHeight="1">
      <c r="A415" s="71"/>
      <c r="B415" s="71"/>
      <c r="C415" s="71"/>
      <c r="D415" s="71"/>
      <c r="E415" s="71"/>
      <c r="F415" s="71"/>
      <c r="G415" s="71"/>
    </row>
    <row r="416" ht="12.75" customHeight="1">
      <c r="A416" s="71"/>
      <c r="B416" s="71"/>
      <c r="C416" s="71"/>
      <c r="D416" s="71"/>
      <c r="E416" s="71"/>
      <c r="F416" s="71"/>
      <c r="G416" s="71"/>
    </row>
    <row r="417" ht="12.75" customHeight="1">
      <c r="A417" s="71"/>
      <c r="B417" s="71"/>
      <c r="C417" s="71"/>
      <c r="D417" s="71"/>
      <c r="E417" s="71"/>
      <c r="F417" s="71"/>
      <c r="G417" s="71"/>
    </row>
    <row r="418" ht="12.75" customHeight="1">
      <c r="A418" s="71"/>
      <c r="B418" s="71"/>
      <c r="C418" s="71"/>
      <c r="D418" s="71"/>
      <c r="E418" s="71"/>
      <c r="F418" s="71"/>
      <c r="G418" s="71"/>
    </row>
    <row r="419" ht="12.75" customHeight="1">
      <c r="A419" s="71"/>
      <c r="B419" s="71"/>
      <c r="C419" s="71"/>
      <c r="D419" s="71"/>
      <c r="E419" s="71"/>
      <c r="F419" s="71"/>
      <c r="G419" s="71"/>
    </row>
    <row r="420" ht="12.75" customHeight="1">
      <c r="A420" s="71"/>
      <c r="B420" s="71"/>
      <c r="C420" s="71"/>
      <c r="D420" s="71"/>
      <c r="E420" s="71"/>
      <c r="F420" s="71"/>
      <c r="G420" s="71"/>
    </row>
    <row r="421" ht="12.75" customHeight="1">
      <c r="A421" s="71"/>
      <c r="B421" s="71"/>
      <c r="C421" s="71"/>
      <c r="D421" s="71"/>
      <c r="E421" s="71"/>
      <c r="F421" s="71"/>
      <c r="G421" s="71"/>
    </row>
    <row r="422" ht="12.75" customHeight="1">
      <c r="A422" s="71"/>
      <c r="B422" s="71"/>
      <c r="C422" s="71"/>
      <c r="D422" s="71"/>
      <c r="E422" s="71"/>
      <c r="F422" s="71"/>
      <c r="G422" s="71"/>
    </row>
    <row r="423" ht="12.75" customHeight="1">
      <c r="A423" s="71"/>
      <c r="B423" s="71"/>
      <c r="C423" s="71"/>
      <c r="D423" s="71"/>
      <c r="E423" s="71"/>
      <c r="F423" s="71"/>
      <c r="G423" s="71"/>
    </row>
    <row r="424" ht="12.75" customHeight="1">
      <c r="A424" s="71"/>
      <c r="B424" s="71"/>
      <c r="C424" s="71"/>
      <c r="D424" s="71"/>
      <c r="E424" s="71"/>
      <c r="F424" s="71"/>
      <c r="G424" s="71"/>
    </row>
    <row r="425" ht="12.75" customHeight="1">
      <c r="A425" s="71"/>
      <c r="B425" s="71"/>
      <c r="C425" s="71"/>
      <c r="D425" s="71"/>
      <c r="E425" s="71"/>
      <c r="F425" s="71"/>
      <c r="G425" s="71"/>
    </row>
    <row r="426" ht="12.75" customHeight="1">
      <c r="A426" s="71"/>
      <c r="B426" s="71"/>
      <c r="C426" s="71"/>
      <c r="D426" s="71"/>
      <c r="E426" s="71"/>
      <c r="F426" s="71"/>
      <c r="G426" s="71"/>
    </row>
    <row r="427" ht="12.75" customHeight="1">
      <c r="A427" s="71"/>
      <c r="B427" s="71"/>
      <c r="C427" s="71"/>
      <c r="D427" s="71"/>
      <c r="E427" s="71"/>
      <c r="F427" s="71"/>
      <c r="G427" s="71"/>
    </row>
    <row r="428" ht="12.75" customHeight="1">
      <c r="A428" s="71"/>
      <c r="B428" s="71"/>
      <c r="C428" s="71"/>
      <c r="D428" s="71"/>
      <c r="E428" s="71"/>
      <c r="F428" s="71"/>
      <c r="G428" s="71"/>
    </row>
    <row r="429" ht="12.75" customHeight="1">
      <c r="A429" s="71"/>
      <c r="B429" s="71"/>
      <c r="C429" s="71"/>
      <c r="D429" s="71"/>
      <c r="E429" s="71"/>
      <c r="F429" s="71"/>
      <c r="G429" s="71"/>
    </row>
    <row r="430" ht="12.75" customHeight="1">
      <c r="A430" s="71"/>
      <c r="B430" s="71"/>
      <c r="C430" s="71"/>
      <c r="D430" s="71"/>
      <c r="E430" s="71"/>
      <c r="F430" s="71"/>
      <c r="G430" s="71"/>
    </row>
    <row r="431" ht="12.75" customHeight="1">
      <c r="A431" s="71"/>
      <c r="B431" s="71"/>
      <c r="C431" s="71"/>
      <c r="D431" s="71"/>
      <c r="E431" s="71"/>
      <c r="F431" s="71"/>
      <c r="G431" s="71"/>
    </row>
    <row r="432" ht="12.75" customHeight="1">
      <c r="A432" s="71"/>
      <c r="B432" s="71"/>
      <c r="C432" s="71"/>
      <c r="D432" s="71"/>
      <c r="E432" s="71"/>
      <c r="F432" s="71"/>
      <c r="G432" s="71"/>
    </row>
    <row r="433" ht="12.75" customHeight="1">
      <c r="A433" s="71"/>
      <c r="B433" s="71"/>
      <c r="C433" s="71"/>
      <c r="D433" s="71"/>
      <c r="E433" s="71"/>
      <c r="F433" s="71"/>
      <c r="G433" s="71"/>
    </row>
    <row r="434" ht="12.75" customHeight="1">
      <c r="A434" s="71"/>
      <c r="B434" s="71"/>
      <c r="C434" s="71"/>
      <c r="D434" s="71"/>
      <c r="E434" s="71"/>
      <c r="F434" s="71"/>
      <c r="G434" s="71"/>
    </row>
    <row r="435" ht="12.75" customHeight="1">
      <c r="A435" s="71"/>
      <c r="B435" s="71"/>
      <c r="C435" s="71"/>
      <c r="D435" s="71"/>
      <c r="E435" s="71"/>
      <c r="F435" s="71"/>
      <c r="G435" s="71"/>
    </row>
    <row r="436" ht="12.75" customHeight="1">
      <c r="A436" s="71"/>
      <c r="B436" s="71"/>
      <c r="C436" s="71"/>
      <c r="D436" s="71"/>
      <c r="E436" s="71"/>
      <c r="F436" s="71"/>
      <c r="G436" s="71"/>
    </row>
    <row r="437" ht="12.75" customHeight="1">
      <c r="A437" s="71"/>
      <c r="B437" s="71"/>
      <c r="C437" s="71"/>
      <c r="D437" s="71"/>
      <c r="E437" s="71"/>
      <c r="F437" s="71"/>
      <c r="G437" s="71"/>
    </row>
    <row r="438" ht="12.75" customHeight="1">
      <c r="A438" s="71"/>
      <c r="B438" s="71"/>
      <c r="C438" s="71"/>
      <c r="D438" s="71"/>
      <c r="E438" s="71"/>
      <c r="F438" s="71"/>
      <c r="G438" s="71"/>
    </row>
    <row r="439" ht="12.75" customHeight="1">
      <c r="A439" s="71"/>
      <c r="B439" s="71"/>
      <c r="C439" s="71"/>
      <c r="D439" s="71"/>
      <c r="E439" s="71"/>
      <c r="F439" s="71"/>
      <c r="G439" s="71"/>
    </row>
    <row r="440" ht="12.75" customHeight="1">
      <c r="A440" s="71"/>
      <c r="B440" s="71"/>
      <c r="C440" s="71"/>
      <c r="D440" s="71"/>
      <c r="E440" s="71"/>
      <c r="F440" s="71"/>
      <c r="G440" s="71"/>
    </row>
    <row r="441" ht="12.75" customHeight="1">
      <c r="A441" s="71"/>
      <c r="B441" s="71"/>
      <c r="C441" s="71"/>
      <c r="D441" s="71"/>
      <c r="E441" s="71"/>
      <c r="F441" s="71"/>
      <c r="G441" s="71"/>
    </row>
    <row r="442" ht="12.75" customHeight="1">
      <c r="A442" s="71"/>
      <c r="B442" s="71"/>
      <c r="C442" s="71"/>
      <c r="D442" s="71"/>
      <c r="E442" s="71"/>
      <c r="F442" s="71"/>
      <c r="G442" s="71"/>
    </row>
    <row r="443" ht="12.75" customHeight="1">
      <c r="A443" s="71"/>
      <c r="B443" s="71"/>
      <c r="C443" s="71"/>
      <c r="D443" s="71"/>
      <c r="E443" s="71"/>
      <c r="F443" s="71"/>
      <c r="G443" s="71"/>
    </row>
    <row r="444" ht="12.75" customHeight="1">
      <c r="A444" s="71"/>
      <c r="B444" s="71"/>
      <c r="C444" s="71"/>
      <c r="D444" s="71"/>
      <c r="E444" s="71"/>
      <c r="F444" s="71"/>
      <c r="G444" s="71"/>
    </row>
    <row r="445" ht="12.75" customHeight="1">
      <c r="A445" s="71"/>
      <c r="B445" s="71"/>
      <c r="C445" s="71"/>
      <c r="D445" s="71"/>
      <c r="E445" s="71"/>
      <c r="F445" s="71"/>
      <c r="G445" s="71"/>
    </row>
    <row r="446" ht="12.75" customHeight="1">
      <c r="A446" s="71"/>
      <c r="B446" s="71"/>
      <c r="C446" s="71"/>
      <c r="D446" s="71"/>
      <c r="E446" s="71"/>
      <c r="F446" s="71"/>
      <c r="G446" s="71"/>
    </row>
    <row r="447" ht="12.75" customHeight="1">
      <c r="A447" s="71"/>
      <c r="B447" s="71"/>
      <c r="C447" s="71"/>
      <c r="D447" s="71"/>
      <c r="E447" s="71"/>
      <c r="F447" s="71"/>
      <c r="G447" s="71"/>
    </row>
    <row r="448" ht="12.75" customHeight="1">
      <c r="A448" s="71"/>
      <c r="B448" s="71"/>
      <c r="C448" s="71"/>
      <c r="D448" s="71"/>
      <c r="E448" s="71"/>
      <c r="F448" s="71"/>
      <c r="G448" s="71"/>
    </row>
    <row r="449" ht="12.75" customHeight="1">
      <c r="A449" s="71"/>
      <c r="B449" s="71"/>
      <c r="C449" s="71"/>
      <c r="D449" s="71"/>
      <c r="E449" s="71"/>
      <c r="F449" s="71"/>
      <c r="G449" s="71"/>
    </row>
    <row r="450" ht="12.75" customHeight="1">
      <c r="A450" s="71"/>
      <c r="B450" s="71"/>
      <c r="C450" s="71"/>
      <c r="D450" s="71"/>
      <c r="E450" s="71"/>
      <c r="F450" s="71"/>
      <c r="G450" s="71"/>
    </row>
    <row r="451" ht="12.75" customHeight="1">
      <c r="A451" s="71"/>
      <c r="B451" s="71"/>
      <c r="C451" s="71"/>
      <c r="D451" s="71"/>
      <c r="E451" s="71"/>
      <c r="F451" s="71"/>
      <c r="G451" s="71"/>
    </row>
    <row r="452" ht="12.75" customHeight="1">
      <c r="A452" s="71"/>
      <c r="B452" s="71"/>
      <c r="C452" s="71"/>
      <c r="D452" s="71"/>
      <c r="E452" s="71"/>
      <c r="F452" s="71"/>
      <c r="G452" s="71"/>
    </row>
    <row r="453" ht="12.75" customHeight="1">
      <c r="A453" s="71"/>
      <c r="B453" s="71"/>
      <c r="C453" s="71"/>
      <c r="D453" s="71"/>
      <c r="E453" s="71"/>
      <c r="F453" s="71"/>
      <c r="G453" s="71"/>
    </row>
    <row r="454" ht="12.75" customHeight="1">
      <c r="A454" s="71"/>
      <c r="B454" s="71"/>
      <c r="C454" s="71"/>
      <c r="D454" s="71"/>
      <c r="E454" s="71"/>
      <c r="F454" s="71"/>
      <c r="G454" s="71"/>
    </row>
    <row r="455" ht="12.75" customHeight="1">
      <c r="A455" s="71"/>
      <c r="B455" s="71"/>
      <c r="C455" s="71"/>
      <c r="D455" s="71"/>
      <c r="E455" s="71"/>
      <c r="F455" s="71"/>
      <c r="G455" s="71"/>
    </row>
    <row r="456" ht="12.75" customHeight="1">
      <c r="A456" s="71"/>
      <c r="B456" s="71"/>
      <c r="C456" s="71"/>
      <c r="D456" s="71"/>
      <c r="E456" s="71"/>
      <c r="F456" s="71"/>
      <c r="G456" s="71"/>
    </row>
    <row r="457" ht="12.75" customHeight="1">
      <c r="A457" s="71"/>
      <c r="B457" s="71"/>
      <c r="C457" s="71"/>
      <c r="D457" s="71"/>
      <c r="E457" s="71"/>
      <c r="F457" s="71"/>
      <c r="G457" s="71"/>
    </row>
    <row r="458" ht="12.75" customHeight="1">
      <c r="A458" s="71"/>
      <c r="B458" s="71"/>
      <c r="C458" s="71"/>
      <c r="D458" s="71"/>
      <c r="E458" s="71"/>
      <c r="F458" s="71"/>
      <c r="G458" s="71"/>
    </row>
    <row r="459" ht="12.75" customHeight="1">
      <c r="A459" s="71"/>
      <c r="B459" s="71"/>
      <c r="C459" s="71"/>
      <c r="D459" s="71"/>
      <c r="E459" s="71"/>
      <c r="F459" s="71"/>
      <c r="G459" s="71"/>
    </row>
    <row r="460" ht="12.75" customHeight="1">
      <c r="A460" s="71"/>
      <c r="B460" s="71"/>
      <c r="C460" s="71"/>
      <c r="D460" s="71"/>
      <c r="E460" s="71"/>
      <c r="F460" s="71"/>
      <c r="G460" s="71"/>
    </row>
    <row r="461" ht="12.75" customHeight="1">
      <c r="A461" s="71"/>
      <c r="B461" s="71"/>
      <c r="C461" s="71"/>
      <c r="D461" s="71"/>
      <c r="E461" s="71"/>
      <c r="F461" s="71"/>
      <c r="G461" s="71"/>
    </row>
    <row r="462" ht="12.75" customHeight="1">
      <c r="A462" s="71"/>
      <c r="B462" s="71"/>
      <c r="C462" s="71"/>
      <c r="D462" s="71"/>
      <c r="E462" s="71"/>
      <c r="F462" s="71"/>
      <c r="G462" s="71"/>
    </row>
    <row r="463" ht="12.75" customHeight="1">
      <c r="A463" s="71"/>
      <c r="B463" s="71"/>
      <c r="C463" s="71"/>
      <c r="D463" s="71"/>
      <c r="E463" s="71"/>
      <c r="F463" s="71"/>
      <c r="G463" s="71"/>
    </row>
    <row r="464" ht="12.75" customHeight="1">
      <c r="A464" s="71"/>
      <c r="B464" s="71"/>
      <c r="C464" s="71"/>
      <c r="D464" s="71"/>
      <c r="E464" s="71"/>
      <c r="F464" s="71"/>
      <c r="G464" s="71"/>
    </row>
    <row r="465" ht="12.75" customHeight="1">
      <c r="A465" s="71"/>
      <c r="B465" s="71"/>
      <c r="C465" s="71"/>
      <c r="D465" s="71"/>
      <c r="E465" s="71"/>
      <c r="F465" s="71"/>
      <c r="G465" s="71"/>
    </row>
    <row r="466" ht="12.75" customHeight="1">
      <c r="A466" s="71"/>
      <c r="B466" s="71"/>
      <c r="C466" s="71"/>
      <c r="D466" s="71"/>
      <c r="E466" s="71"/>
      <c r="F466" s="71"/>
      <c r="G466" s="71"/>
    </row>
    <row r="467" ht="12.75" customHeight="1">
      <c r="A467" s="71"/>
      <c r="B467" s="71"/>
      <c r="C467" s="71"/>
      <c r="D467" s="71"/>
      <c r="E467" s="71"/>
      <c r="F467" s="71"/>
      <c r="G467" s="71"/>
    </row>
    <row r="468" ht="12.75" customHeight="1">
      <c r="A468" s="71"/>
      <c r="B468" s="71"/>
      <c r="C468" s="71"/>
      <c r="D468" s="71"/>
      <c r="E468" s="71"/>
      <c r="F468" s="71"/>
      <c r="G468" s="71"/>
    </row>
    <row r="469" ht="12.75" customHeight="1">
      <c r="A469" s="71"/>
      <c r="B469" s="71"/>
      <c r="C469" s="71"/>
      <c r="D469" s="71"/>
      <c r="E469" s="71"/>
      <c r="F469" s="71"/>
      <c r="G469" s="71"/>
    </row>
    <row r="470" ht="12.75" customHeight="1">
      <c r="A470" s="71"/>
      <c r="B470" s="71"/>
      <c r="C470" s="71"/>
      <c r="D470" s="71"/>
      <c r="E470" s="71"/>
      <c r="F470" s="71"/>
      <c r="G470" s="71"/>
    </row>
    <row r="471" ht="12.75" customHeight="1">
      <c r="A471" s="71"/>
      <c r="B471" s="71"/>
      <c r="C471" s="71"/>
      <c r="D471" s="71"/>
      <c r="E471" s="71"/>
      <c r="F471" s="71"/>
      <c r="G471" s="71"/>
    </row>
    <row r="472" ht="12.75" customHeight="1">
      <c r="A472" s="71"/>
      <c r="B472" s="71"/>
      <c r="C472" s="71"/>
      <c r="D472" s="71"/>
      <c r="E472" s="71"/>
      <c r="F472" s="71"/>
      <c r="G472" s="71"/>
    </row>
    <row r="473" ht="12.75" customHeight="1">
      <c r="A473" s="71"/>
      <c r="B473" s="71"/>
      <c r="C473" s="71"/>
      <c r="D473" s="71"/>
      <c r="E473" s="71"/>
      <c r="F473" s="71"/>
      <c r="G473" s="71"/>
    </row>
    <row r="474" ht="12.75" customHeight="1">
      <c r="A474" s="71"/>
      <c r="B474" s="71"/>
      <c r="C474" s="71"/>
      <c r="D474" s="71"/>
      <c r="E474" s="71"/>
      <c r="F474" s="71"/>
      <c r="G474" s="71"/>
    </row>
    <row r="475" ht="12.75" customHeight="1">
      <c r="A475" s="71"/>
      <c r="B475" s="71"/>
      <c r="C475" s="71"/>
      <c r="D475" s="71"/>
      <c r="E475" s="71"/>
      <c r="F475" s="71"/>
      <c r="G475" s="71"/>
    </row>
    <row r="476" ht="12.75" customHeight="1">
      <c r="A476" s="71"/>
      <c r="B476" s="71"/>
      <c r="C476" s="71"/>
      <c r="D476" s="71"/>
      <c r="E476" s="71"/>
      <c r="F476" s="71"/>
      <c r="G476" s="71"/>
    </row>
    <row r="477" ht="12.75" customHeight="1">
      <c r="A477" s="71"/>
      <c r="B477" s="71"/>
      <c r="C477" s="71"/>
      <c r="D477" s="71"/>
      <c r="E477" s="71"/>
      <c r="F477" s="71"/>
      <c r="G477" s="71"/>
    </row>
    <row r="478" ht="12.75" customHeight="1">
      <c r="A478" s="71"/>
      <c r="B478" s="71"/>
      <c r="C478" s="71"/>
      <c r="D478" s="71"/>
      <c r="E478" s="71"/>
      <c r="F478" s="71"/>
      <c r="G478" s="71"/>
    </row>
    <row r="479" ht="12.75" customHeight="1">
      <c r="A479" s="71"/>
      <c r="B479" s="71"/>
      <c r="C479" s="71"/>
      <c r="D479" s="71"/>
      <c r="E479" s="71"/>
      <c r="F479" s="71"/>
      <c r="G479" s="71"/>
    </row>
    <row r="480" ht="12.75" customHeight="1">
      <c r="A480" s="71"/>
      <c r="B480" s="71"/>
      <c r="C480" s="71"/>
      <c r="D480" s="71"/>
      <c r="E480" s="71"/>
      <c r="F480" s="71"/>
      <c r="G480" s="71"/>
    </row>
    <row r="481" ht="12.75" customHeight="1">
      <c r="A481" s="71"/>
      <c r="B481" s="71"/>
      <c r="C481" s="71"/>
      <c r="D481" s="71"/>
      <c r="E481" s="71"/>
      <c r="F481" s="71"/>
      <c r="G481" s="71"/>
    </row>
    <row r="482" ht="12.75" customHeight="1">
      <c r="A482" s="71"/>
      <c r="B482" s="71"/>
      <c r="C482" s="71"/>
      <c r="D482" s="71"/>
      <c r="E482" s="71"/>
      <c r="F482" s="71"/>
      <c r="G482" s="71"/>
    </row>
    <row r="483" ht="12.75" customHeight="1">
      <c r="A483" s="71"/>
      <c r="B483" s="71"/>
      <c r="C483" s="71"/>
      <c r="D483" s="71"/>
      <c r="E483" s="71"/>
      <c r="F483" s="71"/>
      <c r="G483" s="71"/>
    </row>
    <row r="484" ht="12.75" customHeight="1">
      <c r="A484" s="71"/>
      <c r="B484" s="71"/>
      <c r="C484" s="71"/>
      <c r="D484" s="71"/>
      <c r="E484" s="71"/>
      <c r="F484" s="71"/>
      <c r="G484" s="71"/>
    </row>
    <row r="485" ht="12.75" customHeight="1">
      <c r="A485" s="71"/>
      <c r="B485" s="71"/>
      <c r="C485" s="71"/>
      <c r="D485" s="71"/>
      <c r="E485" s="71"/>
      <c r="F485" s="71"/>
      <c r="G485" s="71"/>
    </row>
    <row r="486" ht="12.75" customHeight="1">
      <c r="A486" s="71"/>
      <c r="B486" s="71"/>
      <c r="C486" s="71"/>
      <c r="D486" s="71"/>
      <c r="E486" s="71"/>
      <c r="F486" s="71"/>
      <c r="G486" s="71"/>
    </row>
    <row r="487" ht="12.75" customHeight="1">
      <c r="A487" s="71"/>
      <c r="B487" s="71"/>
      <c r="C487" s="71"/>
      <c r="D487" s="71"/>
      <c r="E487" s="71"/>
      <c r="F487" s="71"/>
      <c r="G487" s="71"/>
    </row>
    <row r="488" ht="12.75" customHeight="1">
      <c r="A488" s="71"/>
      <c r="B488" s="71"/>
      <c r="C488" s="71"/>
      <c r="D488" s="71"/>
      <c r="E488" s="71"/>
      <c r="F488" s="71"/>
      <c r="G488" s="71"/>
    </row>
    <row r="489" ht="12.75" customHeight="1">
      <c r="A489" s="71"/>
      <c r="B489" s="71"/>
      <c r="C489" s="71"/>
      <c r="D489" s="71"/>
      <c r="E489" s="71"/>
      <c r="F489" s="71"/>
      <c r="G489" s="71"/>
    </row>
    <row r="490" ht="12.75" customHeight="1">
      <c r="A490" s="71"/>
      <c r="B490" s="71"/>
      <c r="C490" s="71"/>
      <c r="D490" s="71"/>
      <c r="E490" s="71"/>
      <c r="F490" s="71"/>
      <c r="G490" s="71"/>
    </row>
    <row r="491" ht="12.75" customHeight="1">
      <c r="A491" s="71"/>
      <c r="B491" s="71"/>
      <c r="C491" s="71"/>
      <c r="D491" s="71"/>
      <c r="E491" s="71"/>
      <c r="F491" s="71"/>
      <c r="G491" s="71"/>
    </row>
    <row r="492" ht="12.75" customHeight="1">
      <c r="A492" s="71"/>
      <c r="B492" s="71"/>
      <c r="C492" s="71"/>
      <c r="D492" s="71"/>
      <c r="E492" s="71"/>
      <c r="F492" s="71"/>
      <c r="G492" s="71"/>
    </row>
    <row r="493" ht="12.75" customHeight="1">
      <c r="A493" s="71"/>
      <c r="B493" s="71"/>
      <c r="C493" s="71"/>
      <c r="D493" s="71"/>
      <c r="E493" s="71"/>
      <c r="F493" s="71"/>
      <c r="G493" s="71"/>
    </row>
    <row r="494" ht="12.75" customHeight="1">
      <c r="A494" s="71"/>
      <c r="B494" s="71"/>
      <c r="C494" s="71"/>
      <c r="D494" s="71"/>
      <c r="E494" s="71"/>
      <c r="F494" s="71"/>
      <c r="G494" s="71"/>
    </row>
    <row r="495" ht="12.75" customHeight="1">
      <c r="A495" s="71"/>
      <c r="B495" s="71"/>
      <c r="C495" s="71"/>
      <c r="D495" s="71"/>
      <c r="E495" s="71"/>
      <c r="F495" s="71"/>
      <c r="G495" s="71"/>
    </row>
    <row r="496" ht="12.75" customHeight="1">
      <c r="A496" s="71"/>
      <c r="B496" s="71"/>
      <c r="C496" s="71"/>
      <c r="D496" s="71"/>
      <c r="E496" s="71"/>
      <c r="F496" s="71"/>
      <c r="G496" s="71"/>
    </row>
    <row r="497" ht="12.75" customHeight="1">
      <c r="A497" s="71"/>
      <c r="B497" s="71"/>
      <c r="C497" s="71"/>
      <c r="D497" s="71"/>
      <c r="E497" s="71"/>
      <c r="F497" s="71"/>
      <c r="G497" s="71"/>
    </row>
    <row r="498" ht="12.75" customHeight="1">
      <c r="A498" s="71"/>
      <c r="B498" s="71"/>
      <c r="C498" s="71"/>
      <c r="D498" s="71"/>
      <c r="E498" s="71"/>
      <c r="F498" s="71"/>
      <c r="G498" s="71"/>
    </row>
    <row r="499" ht="12.75" customHeight="1">
      <c r="A499" s="71"/>
      <c r="B499" s="71"/>
      <c r="C499" s="71"/>
      <c r="D499" s="71"/>
      <c r="E499" s="71"/>
      <c r="F499" s="71"/>
      <c r="G499" s="71"/>
    </row>
    <row r="500" ht="12.75" customHeight="1">
      <c r="A500" s="71"/>
      <c r="B500" s="71"/>
      <c r="C500" s="71"/>
      <c r="D500" s="71"/>
      <c r="E500" s="71"/>
      <c r="F500" s="71"/>
      <c r="G500" s="71"/>
    </row>
    <row r="501" ht="12.75" customHeight="1">
      <c r="A501" s="71"/>
      <c r="B501" s="71"/>
      <c r="C501" s="71"/>
      <c r="D501" s="71"/>
      <c r="E501" s="71"/>
      <c r="F501" s="71"/>
      <c r="G501" s="71"/>
    </row>
    <row r="502" ht="12.75" customHeight="1">
      <c r="A502" s="71"/>
      <c r="B502" s="71"/>
      <c r="C502" s="71"/>
      <c r="D502" s="71"/>
      <c r="E502" s="71"/>
      <c r="F502" s="71"/>
      <c r="G502" s="71"/>
    </row>
    <row r="503" ht="12.75" customHeight="1">
      <c r="A503" s="71"/>
      <c r="B503" s="71"/>
      <c r="C503" s="71"/>
      <c r="D503" s="71"/>
      <c r="E503" s="71"/>
      <c r="F503" s="71"/>
      <c r="G503" s="71"/>
    </row>
    <row r="504" ht="12.75" customHeight="1">
      <c r="A504" s="71"/>
      <c r="B504" s="71"/>
      <c r="C504" s="71"/>
      <c r="D504" s="71"/>
      <c r="E504" s="71"/>
      <c r="F504" s="71"/>
      <c r="G504" s="71"/>
    </row>
    <row r="505" ht="12.75" customHeight="1">
      <c r="A505" s="71"/>
      <c r="B505" s="71"/>
      <c r="C505" s="71"/>
      <c r="D505" s="71"/>
      <c r="E505" s="71"/>
      <c r="F505" s="71"/>
      <c r="G505" s="71"/>
    </row>
    <row r="506" ht="12.75" customHeight="1">
      <c r="A506" s="71"/>
      <c r="B506" s="71"/>
      <c r="C506" s="71"/>
      <c r="D506" s="71"/>
      <c r="E506" s="71"/>
      <c r="F506" s="71"/>
      <c r="G506" s="71"/>
    </row>
    <row r="507" ht="12.75" customHeight="1">
      <c r="A507" s="71"/>
      <c r="B507" s="71"/>
      <c r="C507" s="71"/>
      <c r="D507" s="71"/>
      <c r="E507" s="71"/>
      <c r="F507" s="71"/>
      <c r="G507" s="71"/>
    </row>
    <row r="508" ht="12.75" customHeight="1">
      <c r="A508" s="71"/>
      <c r="B508" s="71"/>
      <c r="C508" s="71"/>
      <c r="D508" s="71"/>
      <c r="E508" s="71"/>
      <c r="F508" s="71"/>
      <c r="G508" s="71"/>
    </row>
    <row r="509" ht="12.75" customHeight="1">
      <c r="A509" s="71"/>
      <c r="B509" s="71"/>
      <c r="C509" s="71"/>
      <c r="D509" s="71"/>
      <c r="E509" s="71"/>
      <c r="F509" s="71"/>
      <c r="G509" s="71"/>
    </row>
    <row r="510" ht="12.75" customHeight="1">
      <c r="A510" s="71"/>
      <c r="B510" s="71"/>
      <c r="C510" s="71"/>
      <c r="D510" s="71"/>
      <c r="E510" s="71"/>
      <c r="F510" s="71"/>
      <c r="G510" s="71"/>
    </row>
    <row r="511" ht="12.75" customHeight="1">
      <c r="A511" s="71"/>
      <c r="B511" s="71"/>
      <c r="C511" s="71"/>
      <c r="D511" s="71"/>
      <c r="E511" s="71"/>
      <c r="F511" s="71"/>
      <c r="G511" s="71"/>
    </row>
    <row r="512" ht="12.75" customHeight="1">
      <c r="A512" s="71"/>
      <c r="B512" s="71"/>
      <c r="C512" s="71"/>
      <c r="D512" s="71"/>
      <c r="E512" s="71"/>
      <c r="F512" s="71"/>
      <c r="G512" s="71"/>
    </row>
    <row r="513" ht="12.75" customHeight="1">
      <c r="A513" s="71"/>
      <c r="B513" s="71"/>
      <c r="C513" s="71"/>
      <c r="D513" s="71"/>
      <c r="E513" s="71"/>
      <c r="F513" s="71"/>
      <c r="G513" s="71"/>
    </row>
    <row r="514" ht="12.75" customHeight="1">
      <c r="A514" s="71"/>
      <c r="B514" s="71"/>
      <c r="C514" s="71"/>
      <c r="D514" s="71"/>
      <c r="E514" s="71"/>
      <c r="F514" s="71"/>
      <c r="G514" s="71"/>
    </row>
    <row r="515" ht="12.75" customHeight="1">
      <c r="A515" s="71"/>
      <c r="B515" s="71"/>
      <c r="C515" s="71"/>
      <c r="D515" s="71"/>
      <c r="E515" s="71"/>
      <c r="F515" s="71"/>
      <c r="G515" s="71"/>
    </row>
    <row r="516" ht="12.75" customHeight="1">
      <c r="A516" s="71"/>
      <c r="B516" s="71"/>
      <c r="C516" s="71"/>
      <c r="D516" s="71"/>
      <c r="E516" s="71"/>
      <c r="F516" s="71"/>
      <c r="G516" s="71"/>
    </row>
    <row r="517" ht="12.75" customHeight="1">
      <c r="A517" s="71"/>
      <c r="B517" s="71"/>
      <c r="C517" s="71"/>
      <c r="D517" s="71"/>
      <c r="E517" s="71"/>
      <c r="F517" s="71"/>
      <c r="G517" s="71"/>
    </row>
    <row r="518" ht="12.75" customHeight="1">
      <c r="A518" s="71"/>
      <c r="B518" s="71"/>
      <c r="C518" s="71"/>
      <c r="D518" s="71"/>
      <c r="E518" s="71"/>
      <c r="F518" s="71"/>
      <c r="G518" s="71"/>
    </row>
    <row r="519" ht="12.75" customHeight="1">
      <c r="A519" s="71"/>
      <c r="B519" s="71"/>
      <c r="C519" s="71"/>
      <c r="D519" s="71"/>
      <c r="E519" s="71"/>
      <c r="F519" s="71"/>
      <c r="G519" s="71"/>
    </row>
    <row r="520" ht="12.75" customHeight="1">
      <c r="A520" s="71"/>
      <c r="B520" s="71"/>
      <c r="C520" s="71"/>
      <c r="D520" s="71"/>
      <c r="E520" s="71"/>
      <c r="F520" s="71"/>
      <c r="G520" s="71"/>
    </row>
    <row r="521" ht="12.75" customHeight="1">
      <c r="A521" s="71"/>
      <c r="B521" s="71"/>
      <c r="C521" s="71"/>
      <c r="D521" s="71"/>
      <c r="E521" s="71"/>
      <c r="F521" s="71"/>
      <c r="G521" s="71"/>
    </row>
    <row r="522" ht="12.75" customHeight="1">
      <c r="A522" s="71"/>
      <c r="B522" s="71"/>
      <c r="C522" s="71"/>
      <c r="D522" s="71"/>
      <c r="E522" s="71"/>
      <c r="F522" s="71"/>
      <c r="G522" s="71"/>
    </row>
    <row r="523" ht="12.75" customHeight="1">
      <c r="A523" s="71"/>
      <c r="B523" s="71"/>
      <c r="C523" s="71"/>
      <c r="D523" s="71"/>
      <c r="E523" s="71"/>
      <c r="F523" s="71"/>
      <c r="G523" s="71"/>
    </row>
    <row r="524" ht="12.75" customHeight="1">
      <c r="A524" s="71"/>
      <c r="B524" s="71"/>
      <c r="C524" s="71"/>
      <c r="D524" s="71"/>
      <c r="E524" s="71"/>
      <c r="F524" s="71"/>
      <c r="G524" s="71"/>
    </row>
    <row r="525" ht="12.75" customHeight="1">
      <c r="A525" s="71"/>
      <c r="B525" s="71"/>
      <c r="C525" s="71"/>
      <c r="D525" s="71"/>
      <c r="E525" s="71"/>
      <c r="F525" s="71"/>
      <c r="G525" s="71"/>
    </row>
    <row r="526" ht="12.75" customHeight="1">
      <c r="A526" s="71"/>
      <c r="B526" s="71"/>
      <c r="C526" s="71"/>
      <c r="D526" s="71"/>
      <c r="E526" s="71"/>
      <c r="F526" s="71"/>
      <c r="G526" s="71"/>
    </row>
    <row r="527" ht="12.75" customHeight="1">
      <c r="A527" s="71"/>
      <c r="B527" s="71"/>
      <c r="C527" s="71"/>
      <c r="D527" s="71"/>
      <c r="E527" s="71"/>
      <c r="F527" s="71"/>
      <c r="G527" s="71"/>
    </row>
    <row r="528" ht="12.75" customHeight="1">
      <c r="A528" s="71"/>
      <c r="B528" s="71"/>
      <c r="C528" s="71"/>
      <c r="D528" s="71"/>
      <c r="E528" s="71"/>
      <c r="F528" s="71"/>
      <c r="G528" s="71"/>
    </row>
    <row r="529" ht="12.75" customHeight="1">
      <c r="A529" s="71"/>
      <c r="B529" s="71"/>
      <c r="C529" s="71"/>
      <c r="D529" s="71"/>
      <c r="E529" s="71"/>
      <c r="F529" s="71"/>
      <c r="G529" s="71"/>
    </row>
    <row r="530" ht="12.75" customHeight="1">
      <c r="A530" s="71"/>
      <c r="B530" s="71"/>
      <c r="C530" s="71"/>
      <c r="D530" s="71"/>
      <c r="E530" s="71"/>
      <c r="F530" s="71"/>
      <c r="G530" s="71"/>
    </row>
    <row r="531" ht="12.75" customHeight="1">
      <c r="A531" s="71"/>
      <c r="B531" s="71"/>
      <c r="C531" s="71"/>
      <c r="D531" s="71"/>
      <c r="E531" s="71"/>
      <c r="F531" s="71"/>
      <c r="G531" s="71"/>
    </row>
    <row r="532" ht="12.75" customHeight="1">
      <c r="A532" s="71"/>
      <c r="B532" s="71"/>
      <c r="C532" s="71"/>
      <c r="D532" s="71"/>
      <c r="E532" s="71"/>
      <c r="F532" s="71"/>
      <c r="G532" s="71"/>
    </row>
    <row r="533" ht="12.75" customHeight="1">
      <c r="A533" s="71"/>
      <c r="B533" s="71"/>
      <c r="C533" s="71"/>
      <c r="D533" s="71"/>
      <c r="E533" s="71"/>
      <c r="F533" s="71"/>
      <c r="G533" s="71"/>
    </row>
    <row r="534" ht="12.75" customHeight="1">
      <c r="A534" s="71"/>
      <c r="B534" s="71"/>
      <c r="C534" s="71"/>
      <c r="D534" s="71"/>
      <c r="E534" s="71"/>
      <c r="F534" s="71"/>
      <c r="G534" s="71"/>
    </row>
    <row r="535" ht="12.75" customHeight="1">
      <c r="A535" s="71"/>
      <c r="B535" s="71"/>
      <c r="C535" s="71"/>
      <c r="D535" s="71"/>
      <c r="E535" s="71"/>
      <c r="F535" s="71"/>
      <c r="G535" s="71"/>
    </row>
    <row r="536" ht="12.75" customHeight="1">
      <c r="A536" s="71"/>
      <c r="B536" s="71"/>
      <c r="C536" s="71"/>
      <c r="D536" s="71"/>
      <c r="E536" s="71"/>
      <c r="F536" s="71"/>
      <c r="G536" s="71"/>
    </row>
    <row r="537" ht="12.75" customHeight="1">
      <c r="A537" s="71"/>
      <c r="B537" s="71"/>
      <c r="C537" s="71"/>
      <c r="D537" s="71"/>
      <c r="E537" s="71"/>
      <c r="F537" s="71"/>
      <c r="G537" s="71"/>
    </row>
    <row r="538" ht="12.75" customHeight="1">
      <c r="A538" s="71"/>
      <c r="B538" s="71"/>
      <c r="C538" s="71"/>
      <c r="D538" s="71"/>
      <c r="E538" s="71"/>
      <c r="F538" s="71"/>
      <c r="G538" s="71"/>
    </row>
    <row r="539" ht="12.75" customHeight="1">
      <c r="A539" s="71"/>
      <c r="B539" s="71"/>
      <c r="C539" s="71"/>
      <c r="D539" s="71"/>
      <c r="E539" s="71"/>
      <c r="F539" s="71"/>
      <c r="G539" s="71"/>
    </row>
    <row r="540" ht="12.75" customHeight="1">
      <c r="A540" s="71"/>
      <c r="B540" s="71"/>
      <c r="C540" s="71"/>
      <c r="D540" s="71"/>
      <c r="E540" s="71"/>
      <c r="F540" s="71"/>
      <c r="G540" s="71"/>
    </row>
    <row r="541" ht="12.75" customHeight="1">
      <c r="A541" s="71"/>
      <c r="B541" s="71"/>
      <c r="C541" s="71"/>
      <c r="D541" s="71"/>
      <c r="E541" s="71"/>
      <c r="F541" s="71"/>
      <c r="G541" s="71"/>
    </row>
    <row r="542" ht="12.75" customHeight="1">
      <c r="A542" s="71"/>
      <c r="B542" s="71"/>
      <c r="C542" s="71"/>
      <c r="D542" s="71"/>
      <c r="E542" s="71"/>
      <c r="F542" s="71"/>
      <c r="G542" s="71"/>
    </row>
    <row r="543" ht="12.75" customHeight="1">
      <c r="A543" s="71"/>
      <c r="B543" s="71"/>
      <c r="C543" s="71"/>
      <c r="D543" s="71"/>
      <c r="E543" s="71"/>
      <c r="F543" s="71"/>
      <c r="G543" s="71"/>
    </row>
    <row r="544" ht="12.75" customHeight="1">
      <c r="A544" s="71"/>
      <c r="B544" s="71"/>
      <c r="C544" s="71"/>
      <c r="D544" s="71"/>
      <c r="E544" s="71"/>
      <c r="F544" s="71"/>
      <c r="G544" s="71"/>
    </row>
    <row r="545" ht="12.75" customHeight="1">
      <c r="A545" s="71"/>
      <c r="B545" s="71"/>
      <c r="C545" s="71"/>
      <c r="D545" s="71"/>
      <c r="E545" s="71"/>
      <c r="F545" s="71"/>
      <c r="G545" s="71"/>
    </row>
    <row r="546" ht="12.75" customHeight="1">
      <c r="A546" s="71"/>
      <c r="B546" s="71"/>
      <c r="C546" s="71"/>
      <c r="D546" s="71"/>
      <c r="E546" s="71"/>
      <c r="F546" s="71"/>
      <c r="G546" s="71"/>
    </row>
    <row r="547" ht="12.75" customHeight="1">
      <c r="A547" s="71"/>
      <c r="B547" s="71"/>
      <c r="C547" s="71"/>
      <c r="D547" s="71"/>
      <c r="E547" s="71"/>
      <c r="F547" s="71"/>
      <c r="G547" s="71"/>
    </row>
    <row r="548" ht="12.75" customHeight="1">
      <c r="A548" s="71"/>
      <c r="B548" s="71"/>
      <c r="C548" s="71"/>
      <c r="D548" s="71"/>
      <c r="E548" s="71"/>
      <c r="F548" s="71"/>
      <c r="G548" s="71"/>
    </row>
    <row r="549" ht="12.75" customHeight="1">
      <c r="A549" s="71"/>
      <c r="B549" s="71"/>
      <c r="C549" s="71"/>
      <c r="D549" s="71"/>
      <c r="E549" s="71"/>
      <c r="F549" s="71"/>
      <c r="G549" s="71"/>
    </row>
    <row r="550" ht="12.75" customHeight="1">
      <c r="A550" s="71"/>
      <c r="B550" s="71"/>
      <c r="C550" s="71"/>
      <c r="D550" s="71"/>
      <c r="E550" s="71"/>
      <c r="F550" s="71"/>
      <c r="G550" s="71"/>
    </row>
    <row r="551" ht="12.75" customHeight="1">
      <c r="A551" s="71"/>
      <c r="B551" s="71"/>
      <c r="C551" s="71"/>
      <c r="D551" s="71"/>
      <c r="E551" s="71"/>
      <c r="F551" s="71"/>
      <c r="G551" s="71"/>
    </row>
    <row r="552" ht="12.75" customHeight="1">
      <c r="A552" s="71"/>
      <c r="B552" s="71"/>
      <c r="C552" s="71"/>
      <c r="D552" s="71"/>
      <c r="E552" s="71"/>
      <c r="F552" s="71"/>
      <c r="G552" s="71"/>
    </row>
    <row r="553" ht="12.75" customHeight="1">
      <c r="A553" s="71"/>
      <c r="B553" s="71"/>
      <c r="C553" s="71"/>
      <c r="D553" s="71"/>
      <c r="E553" s="71"/>
      <c r="F553" s="71"/>
      <c r="G553" s="71"/>
    </row>
    <row r="554" ht="12.75" customHeight="1">
      <c r="A554" s="71"/>
      <c r="B554" s="71"/>
      <c r="C554" s="71"/>
      <c r="D554" s="71"/>
      <c r="E554" s="71"/>
      <c r="F554" s="71"/>
      <c r="G554" s="71"/>
    </row>
    <row r="555" ht="12.75" customHeight="1">
      <c r="A555" s="71"/>
      <c r="B555" s="71"/>
      <c r="C555" s="71"/>
      <c r="D555" s="71"/>
      <c r="E555" s="71"/>
      <c r="F555" s="71"/>
      <c r="G555" s="71"/>
    </row>
    <row r="556" ht="12.75" customHeight="1">
      <c r="A556" s="71"/>
      <c r="B556" s="71"/>
      <c r="C556" s="71"/>
      <c r="D556" s="71"/>
      <c r="E556" s="71"/>
      <c r="F556" s="71"/>
      <c r="G556" s="71"/>
    </row>
    <row r="557" ht="12.75" customHeight="1">
      <c r="A557" s="71"/>
      <c r="B557" s="71"/>
      <c r="C557" s="71"/>
      <c r="D557" s="71"/>
      <c r="E557" s="71"/>
      <c r="F557" s="71"/>
      <c r="G557" s="71"/>
    </row>
    <row r="558" ht="12.75" customHeight="1">
      <c r="A558" s="71"/>
      <c r="B558" s="71"/>
      <c r="C558" s="71"/>
      <c r="D558" s="71"/>
      <c r="E558" s="71"/>
      <c r="F558" s="71"/>
      <c r="G558" s="71"/>
    </row>
    <row r="559" ht="12.75" customHeight="1">
      <c r="A559" s="71"/>
      <c r="B559" s="71"/>
      <c r="C559" s="71"/>
      <c r="D559" s="71"/>
      <c r="E559" s="71"/>
      <c r="F559" s="71"/>
      <c r="G559" s="71"/>
    </row>
    <row r="560" ht="12.75" customHeight="1">
      <c r="A560" s="71"/>
      <c r="B560" s="71"/>
      <c r="C560" s="71"/>
      <c r="D560" s="71"/>
      <c r="E560" s="71"/>
      <c r="F560" s="71"/>
      <c r="G560" s="71"/>
    </row>
    <row r="561" ht="12.75" customHeight="1">
      <c r="A561" s="71"/>
      <c r="B561" s="71"/>
      <c r="C561" s="71"/>
      <c r="D561" s="71"/>
      <c r="E561" s="71"/>
      <c r="F561" s="71"/>
      <c r="G561" s="71"/>
    </row>
    <row r="562" ht="12.75" customHeight="1">
      <c r="A562" s="71"/>
      <c r="B562" s="71"/>
      <c r="C562" s="71"/>
      <c r="D562" s="71"/>
      <c r="E562" s="71"/>
      <c r="F562" s="71"/>
      <c r="G562" s="71"/>
    </row>
    <row r="563" ht="12.75" customHeight="1">
      <c r="A563" s="71"/>
      <c r="B563" s="71"/>
      <c r="C563" s="71"/>
      <c r="D563" s="71"/>
      <c r="E563" s="71"/>
      <c r="F563" s="71"/>
      <c r="G563" s="71"/>
    </row>
    <row r="564" ht="12.75" customHeight="1">
      <c r="A564" s="71"/>
      <c r="B564" s="71"/>
      <c r="C564" s="71"/>
      <c r="D564" s="71"/>
      <c r="E564" s="71"/>
      <c r="F564" s="71"/>
      <c r="G564" s="71"/>
    </row>
    <row r="565" ht="12.75" customHeight="1">
      <c r="A565" s="71"/>
      <c r="B565" s="71"/>
      <c r="C565" s="71"/>
      <c r="D565" s="71"/>
      <c r="E565" s="71"/>
      <c r="F565" s="71"/>
      <c r="G565" s="71"/>
    </row>
    <row r="566" ht="12.75" customHeight="1">
      <c r="A566" s="71"/>
      <c r="B566" s="71"/>
      <c r="C566" s="71"/>
      <c r="D566" s="71"/>
      <c r="E566" s="71"/>
      <c r="F566" s="71"/>
      <c r="G566" s="71"/>
    </row>
    <row r="567" ht="12.75" customHeight="1">
      <c r="A567" s="71"/>
      <c r="B567" s="71"/>
      <c r="C567" s="71"/>
      <c r="D567" s="71"/>
      <c r="E567" s="71"/>
      <c r="F567" s="71"/>
      <c r="G567" s="71"/>
    </row>
    <row r="568" ht="12.75" customHeight="1">
      <c r="A568" s="71"/>
      <c r="B568" s="71"/>
      <c r="C568" s="71"/>
      <c r="D568" s="71"/>
      <c r="E568" s="71"/>
      <c r="F568" s="71"/>
      <c r="G568" s="71"/>
    </row>
    <row r="569" ht="12.75" customHeight="1">
      <c r="A569" s="71"/>
      <c r="B569" s="71"/>
      <c r="C569" s="71"/>
      <c r="D569" s="71"/>
      <c r="E569" s="71"/>
      <c r="F569" s="71"/>
      <c r="G569" s="71"/>
    </row>
    <row r="570" ht="12.75" customHeight="1">
      <c r="A570" s="71"/>
      <c r="B570" s="71"/>
      <c r="C570" s="71"/>
      <c r="D570" s="71"/>
      <c r="E570" s="71"/>
      <c r="F570" s="71"/>
      <c r="G570" s="71"/>
    </row>
    <row r="571" ht="12.75" customHeight="1">
      <c r="A571" s="71"/>
      <c r="B571" s="71"/>
      <c r="C571" s="71"/>
      <c r="D571" s="71"/>
      <c r="E571" s="71"/>
      <c r="F571" s="71"/>
      <c r="G571" s="71"/>
    </row>
    <row r="572" ht="12.75" customHeight="1">
      <c r="A572" s="71"/>
      <c r="B572" s="71"/>
      <c r="C572" s="71"/>
      <c r="D572" s="71"/>
      <c r="E572" s="71"/>
      <c r="F572" s="71"/>
      <c r="G572" s="71"/>
    </row>
    <row r="573" ht="12.75" customHeight="1">
      <c r="A573" s="71"/>
      <c r="B573" s="71"/>
      <c r="C573" s="71"/>
      <c r="D573" s="71"/>
      <c r="E573" s="71"/>
      <c r="F573" s="71"/>
      <c r="G573" s="71"/>
    </row>
    <row r="574" ht="12.75" customHeight="1">
      <c r="A574" s="71"/>
      <c r="B574" s="71"/>
      <c r="C574" s="71"/>
      <c r="D574" s="71"/>
      <c r="E574" s="71"/>
      <c r="F574" s="71"/>
      <c r="G574" s="71"/>
    </row>
    <row r="575" ht="12.75" customHeight="1">
      <c r="A575" s="71"/>
      <c r="B575" s="71"/>
      <c r="C575" s="71"/>
      <c r="D575" s="71"/>
      <c r="E575" s="71"/>
      <c r="F575" s="71"/>
      <c r="G575" s="71"/>
    </row>
    <row r="576" ht="12.75" customHeight="1">
      <c r="A576" s="71"/>
      <c r="B576" s="71"/>
      <c r="C576" s="71"/>
      <c r="D576" s="71"/>
      <c r="E576" s="71"/>
      <c r="F576" s="71"/>
      <c r="G576" s="71"/>
    </row>
    <row r="577" ht="12.75" customHeight="1">
      <c r="A577" s="71"/>
      <c r="B577" s="71"/>
      <c r="C577" s="71"/>
      <c r="D577" s="71"/>
      <c r="E577" s="71"/>
      <c r="F577" s="71"/>
      <c r="G577" s="71"/>
    </row>
    <row r="578" ht="12.75" customHeight="1">
      <c r="A578" s="71"/>
      <c r="B578" s="71"/>
      <c r="C578" s="71"/>
      <c r="D578" s="71"/>
      <c r="E578" s="71"/>
      <c r="F578" s="71"/>
      <c r="G578" s="71"/>
    </row>
    <row r="579" ht="12.75" customHeight="1">
      <c r="A579" s="71"/>
      <c r="B579" s="71"/>
      <c r="C579" s="71"/>
      <c r="D579" s="71"/>
      <c r="E579" s="71"/>
      <c r="F579" s="71"/>
      <c r="G579" s="71"/>
    </row>
    <row r="580" ht="12.75" customHeight="1">
      <c r="A580" s="71"/>
      <c r="B580" s="71"/>
      <c r="C580" s="71"/>
      <c r="D580" s="71"/>
      <c r="E580" s="71"/>
      <c r="F580" s="71"/>
      <c r="G580" s="71"/>
    </row>
    <row r="581" ht="12.75" customHeight="1">
      <c r="A581" s="71"/>
      <c r="B581" s="71"/>
      <c r="C581" s="71"/>
      <c r="D581" s="71"/>
      <c r="E581" s="71"/>
      <c r="F581" s="71"/>
      <c r="G581" s="71"/>
    </row>
    <row r="582" ht="12.75" customHeight="1">
      <c r="A582" s="71"/>
      <c r="B582" s="71"/>
      <c r="C582" s="71"/>
      <c r="D582" s="71"/>
      <c r="E582" s="71"/>
      <c r="F582" s="71"/>
      <c r="G582" s="71"/>
    </row>
    <row r="583" ht="12.75" customHeight="1">
      <c r="A583" s="71"/>
      <c r="B583" s="71"/>
      <c r="C583" s="71"/>
      <c r="D583" s="71"/>
      <c r="E583" s="71"/>
      <c r="F583" s="71"/>
      <c r="G583" s="71"/>
    </row>
    <row r="584" ht="12.75" customHeight="1">
      <c r="A584" s="71"/>
      <c r="B584" s="71"/>
      <c r="C584" s="71"/>
      <c r="D584" s="71"/>
      <c r="E584" s="71"/>
      <c r="F584" s="71"/>
      <c r="G584" s="71"/>
    </row>
    <row r="585" ht="12.75" customHeight="1">
      <c r="A585" s="71"/>
      <c r="B585" s="71"/>
      <c r="C585" s="71"/>
      <c r="D585" s="71"/>
      <c r="E585" s="71"/>
      <c r="F585" s="71"/>
      <c r="G585" s="71"/>
    </row>
    <row r="586" ht="12.75" customHeight="1">
      <c r="A586" s="71"/>
      <c r="B586" s="71"/>
      <c r="C586" s="71"/>
      <c r="D586" s="71"/>
      <c r="E586" s="71"/>
      <c r="F586" s="71"/>
      <c r="G586" s="71"/>
    </row>
    <row r="587" ht="12.75" customHeight="1">
      <c r="A587" s="71"/>
      <c r="B587" s="71"/>
      <c r="C587" s="71"/>
      <c r="D587" s="71"/>
      <c r="E587" s="71"/>
      <c r="F587" s="71"/>
      <c r="G587" s="71"/>
    </row>
    <row r="588" ht="12.75" customHeight="1">
      <c r="A588" s="71"/>
      <c r="B588" s="71"/>
      <c r="C588" s="71"/>
      <c r="D588" s="71"/>
      <c r="E588" s="71"/>
      <c r="F588" s="71"/>
      <c r="G588" s="71"/>
    </row>
    <row r="589" ht="12.75" customHeight="1">
      <c r="A589" s="71"/>
      <c r="B589" s="71"/>
      <c r="C589" s="71"/>
      <c r="D589" s="71"/>
      <c r="E589" s="71"/>
      <c r="F589" s="71"/>
      <c r="G589" s="71"/>
    </row>
    <row r="590" ht="12.75" customHeight="1">
      <c r="A590" s="71"/>
      <c r="B590" s="71"/>
      <c r="C590" s="71"/>
      <c r="D590" s="71"/>
      <c r="E590" s="71"/>
      <c r="F590" s="71"/>
      <c r="G590" s="71"/>
    </row>
    <row r="591" ht="12.75" customHeight="1">
      <c r="A591" s="71"/>
      <c r="B591" s="71"/>
      <c r="C591" s="71"/>
      <c r="D591" s="71"/>
      <c r="E591" s="71"/>
      <c r="F591" s="71"/>
      <c r="G591" s="71"/>
    </row>
    <row r="592" ht="12.75" customHeight="1">
      <c r="A592" s="71"/>
      <c r="B592" s="71"/>
      <c r="C592" s="71"/>
      <c r="D592" s="71"/>
      <c r="E592" s="71"/>
      <c r="F592" s="71"/>
      <c r="G592" s="71"/>
    </row>
    <row r="593" ht="12.75" customHeight="1">
      <c r="A593" s="71"/>
      <c r="B593" s="71"/>
      <c r="C593" s="71"/>
      <c r="D593" s="71"/>
      <c r="E593" s="71"/>
      <c r="F593" s="71"/>
      <c r="G593" s="71"/>
    </row>
    <row r="594" ht="12.75" customHeight="1">
      <c r="A594" s="71"/>
      <c r="B594" s="71"/>
      <c r="C594" s="71"/>
      <c r="D594" s="71"/>
      <c r="E594" s="71"/>
      <c r="F594" s="71"/>
      <c r="G594" s="71"/>
    </row>
    <row r="595" ht="12.75" customHeight="1">
      <c r="A595" s="71"/>
      <c r="B595" s="71"/>
      <c r="C595" s="71"/>
      <c r="D595" s="71"/>
      <c r="E595" s="71"/>
      <c r="F595" s="71"/>
      <c r="G595" s="71"/>
    </row>
    <row r="596" ht="12.75" customHeight="1">
      <c r="A596" s="71"/>
      <c r="B596" s="71"/>
      <c r="C596" s="71"/>
      <c r="D596" s="71"/>
      <c r="E596" s="71"/>
      <c r="F596" s="71"/>
      <c r="G596" s="71"/>
    </row>
    <row r="597" ht="12.75" customHeight="1">
      <c r="A597" s="71"/>
      <c r="B597" s="71"/>
      <c r="C597" s="71"/>
      <c r="D597" s="71"/>
      <c r="E597" s="71"/>
      <c r="F597" s="71"/>
      <c r="G597" s="71"/>
    </row>
    <row r="598" ht="12.75" customHeight="1">
      <c r="A598" s="71"/>
      <c r="B598" s="71"/>
      <c r="C598" s="71"/>
      <c r="D598" s="71"/>
      <c r="E598" s="71"/>
      <c r="F598" s="71"/>
      <c r="G598" s="71"/>
    </row>
    <row r="599" ht="12.75" customHeight="1">
      <c r="A599" s="71"/>
      <c r="B599" s="71"/>
      <c r="C599" s="71"/>
      <c r="D599" s="71"/>
      <c r="E599" s="71"/>
      <c r="F599" s="71"/>
      <c r="G599" s="71"/>
    </row>
    <row r="600" ht="12.75" customHeight="1">
      <c r="A600" s="71"/>
      <c r="B600" s="71"/>
      <c r="C600" s="71"/>
      <c r="D600" s="71"/>
      <c r="E600" s="71"/>
      <c r="F600" s="71"/>
      <c r="G600" s="71"/>
    </row>
    <row r="601" ht="12.75" customHeight="1">
      <c r="A601" s="71"/>
      <c r="B601" s="71"/>
      <c r="C601" s="71"/>
      <c r="D601" s="71"/>
      <c r="E601" s="71"/>
      <c r="F601" s="71"/>
      <c r="G601" s="71"/>
    </row>
    <row r="602" ht="12.75" customHeight="1">
      <c r="A602" s="71"/>
      <c r="B602" s="71"/>
      <c r="C602" s="71"/>
      <c r="D602" s="71"/>
      <c r="E602" s="71"/>
      <c r="F602" s="71"/>
      <c r="G602" s="71"/>
    </row>
    <row r="603" ht="12.75" customHeight="1">
      <c r="A603" s="71"/>
      <c r="B603" s="71"/>
      <c r="C603" s="71"/>
      <c r="D603" s="71"/>
      <c r="E603" s="71"/>
      <c r="F603" s="71"/>
      <c r="G603" s="71"/>
    </row>
    <row r="604" ht="12.75" customHeight="1">
      <c r="A604" s="71"/>
      <c r="B604" s="71"/>
      <c r="C604" s="71"/>
      <c r="D604" s="71"/>
      <c r="E604" s="71"/>
      <c r="F604" s="71"/>
      <c r="G604" s="71"/>
    </row>
    <row r="605" ht="12.75" customHeight="1">
      <c r="A605" s="71"/>
      <c r="B605" s="71"/>
      <c r="C605" s="71"/>
      <c r="D605" s="71"/>
      <c r="E605" s="71"/>
      <c r="F605" s="71"/>
      <c r="G605" s="71"/>
    </row>
    <row r="606" ht="12.75" customHeight="1">
      <c r="A606" s="71"/>
      <c r="B606" s="71"/>
      <c r="C606" s="71"/>
      <c r="D606" s="71"/>
      <c r="E606" s="71"/>
      <c r="F606" s="71"/>
      <c r="G606" s="71"/>
    </row>
    <row r="607" ht="12.75" customHeight="1">
      <c r="A607" s="71"/>
      <c r="B607" s="71"/>
      <c r="C607" s="71"/>
      <c r="D607" s="71"/>
      <c r="E607" s="71"/>
      <c r="F607" s="71"/>
      <c r="G607" s="71"/>
    </row>
    <row r="608" ht="12.75" customHeight="1">
      <c r="A608" s="71"/>
      <c r="B608" s="71"/>
      <c r="C608" s="71"/>
      <c r="D608" s="71"/>
      <c r="E608" s="71"/>
      <c r="F608" s="71"/>
      <c r="G608" s="71"/>
    </row>
    <row r="609" ht="12.75" customHeight="1">
      <c r="A609" s="71"/>
      <c r="B609" s="71"/>
      <c r="C609" s="71"/>
      <c r="D609" s="71"/>
      <c r="E609" s="71"/>
      <c r="F609" s="71"/>
      <c r="G609" s="71"/>
    </row>
    <row r="610" ht="12.75" customHeight="1">
      <c r="A610" s="71"/>
      <c r="B610" s="71"/>
      <c r="C610" s="71"/>
      <c r="D610" s="71"/>
      <c r="E610" s="71"/>
      <c r="F610" s="71"/>
      <c r="G610" s="71"/>
    </row>
    <row r="611" ht="12.75" customHeight="1">
      <c r="A611" s="71"/>
      <c r="B611" s="71"/>
      <c r="C611" s="71"/>
      <c r="D611" s="71"/>
      <c r="E611" s="71"/>
      <c r="F611" s="71"/>
      <c r="G611" s="71"/>
    </row>
    <row r="612" ht="12.75" customHeight="1">
      <c r="A612" s="71"/>
      <c r="B612" s="71"/>
      <c r="C612" s="71"/>
      <c r="D612" s="71"/>
      <c r="E612" s="71"/>
      <c r="F612" s="71"/>
      <c r="G612" s="71"/>
    </row>
    <row r="613" ht="12.75" customHeight="1">
      <c r="A613" s="71"/>
      <c r="B613" s="71"/>
      <c r="C613" s="71"/>
      <c r="D613" s="71"/>
      <c r="E613" s="71"/>
      <c r="F613" s="71"/>
      <c r="G613" s="71"/>
    </row>
    <row r="614" ht="12.75" customHeight="1">
      <c r="A614" s="71"/>
      <c r="B614" s="71"/>
      <c r="C614" s="71"/>
      <c r="D614" s="71"/>
      <c r="E614" s="71"/>
      <c r="F614" s="71"/>
      <c r="G614" s="71"/>
    </row>
    <row r="615" ht="12.75" customHeight="1">
      <c r="A615" s="71"/>
      <c r="B615" s="71"/>
      <c r="C615" s="71"/>
      <c r="D615" s="71"/>
      <c r="E615" s="71"/>
      <c r="F615" s="71"/>
      <c r="G615" s="71"/>
    </row>
    <row r="616" ht="12.75" customHeight="1">
      <c r="A616" s="71"/>
      <c r="B616" s="71"/>
      <c r="C616" s="71"/>
      <c r="D616" s="71"/>
      <c r="E616" s="71"/>
      <c r="F616" s="71"/>
      <c r="G616" s="71"/>
    </row>
    <row r="617" ht="12.75" customHeight="1">
      <c r="A617" s="71"/>
      <c r="B617" s="71"/>
      <c r="C617" s="71"/>
      <c r="D617" s="71"/>
      <c r="E617" s="71"/>
      <c r="F617" s="71"/>
      <c r="G617" s="71"/>
    </row>
    <row r="618" ht="12.75" customHeight="1">
      <c r="A618" s="71"/>
      <c r="B618" s="71"/>
      <c r="C618" s="71"/>
      <c r="D618" s="71"/>
      <c r="E618" s="71"/>
      <c r="F618" s="71"/>
      <c r="G618" s="71"/>
    </row>
    <row r="619" ht="12.75" customHeight="1">
      <c r="A619" s="71"/>
      <c r="B619" s="71"/>
      <c r="C619" s="71"/>
      <c r="D619" s="71"/>
      <c r="E619" s="71"/>
      <c r="F619" s="71"/>
      <c r="G619" s="71"/>
    </row>
    <row r="620" ht="12.75" customHeight="1">
      <c r="A620" s="71"/>
      <c r="B620" s="71"/>
      <c r="C620" s="71"/>
      <c r="D620" s="71"/>
      <c r="E620" s="71"/>
      <c r="F620" s="71"/>
      <c r="G620" s="71"/>
    </row>
    <row r="621" ht="12.75" customHeight="1">
      <c r="A621" s="71"/>
      <c r="B621" s="71"/>
      <c r="C621" s="71"/>
      <c r="D621" s="71"/>
      <c r="E621" s="71"/>
      <c r="F621" s="71"/>
      <c r="G621" s="71"/>
    </row>
    <row r="622" ht="12.75" customHeight="1">
      <c r="A622" s="71"/>
      <c r="B622" s="71"/>
      <c r="C622" s="71"/>
      <c r="D622" s="71"/>
      <c r="E622" s="71"/>
      <c r="F622" s="71"/>
      <c r="G622" s="71"/>
    </row>
    <row r="623" ht="12.75" customHeight="1">
      <c r="A623" s="71"/>
      <c r="B623" s="71"/>
      <c r="C623" s="71"/>
      <c r="D623" s="71"/>
      <c r="E623" s="71"/>
      <c r="F623" s="71"/>
      <c r="G623" s="71"/>
    </row>
    <row r="624" ht="12.75" customHeight="1">
      <c r="A624" s="71"/>
      <c r="B624" s="71"/>
      <c r="C624" s="71"/>
      <c r="D624" s="71"/>
      <c r="E624" s="71"/>
      <c r="F624" s="71"/>
      <c r="G624" s="71"/>
    </row>
    <row r="625" ht="12.75" customHeight="1">
      <c r="A625" s="71"/>
      <c r="B625" s="71"/>
      <c r="C625" s="71"/>
      <c r="D625" s="71"/>
      <c r="E625" s="71"/>
      <c r="F625" s="71"/>
      <c r="G625" s="71"/>
    </row>
    <row r="626" ht="12.75" customHeight="1">
      <c r="A626" s="71"/>
      <c r="B626" s="71"/>
      <c r="C626" s="71"/>
      <c r="D626" s="71"/>
      <c r="E626" s="71"/>
      <c r="F626" s="71"/>
      <c r="G626" s="71"/>
    </row>
    <row r="627" ht="12.75" customHeight="1">
      <c r="A627" s="71"/>
      <c r="B627" s="71"/>
      <c r="C627" s="71"/>
      <c r="D627" s="71"/>
      <c r="E627" s="71"/>
      <c r="F627" s="71"/>
      <c r="G627" s="71"/>
    </row>
    <row r="628" ht="12.75" customHeight="1">
      <c r="A628" s="71"/>
      <c r="B628" s="71"/>
      <c r="C628" s="71"/>
      <c r="D628" s="71"/>
      <c r="E628" s="71"/>
      <c r="F628" s="71"/>
      <c r="G628" s="71"/>
    </row>
    <row r="629" ht="12.75" customHeight="1">
      <c r="A629" s="71"/>
      <c r="B629" s="71"/>
      <c r="C629" s="71"/>
      <c r="D629" s="71"/>
      <c r="E629" s="71"/>
      <c r="F629" s="71"/>
      <c r="G629" s="71"/>
    </row>
    <row r="630" ht="12.75" customHeight="1">
      <c r="A630" s="71"/>
      <c r="B630" s="71"/>
      <c r="C630" s="71"/>
      <c r="D630" s="71"/>
      <c r="E630" s="71"/>
      <c r="F630" s="71"/>
      <c r="G630" s="71"/>
    </row>
    <row r="631" ht="12.75" customHeight="1">
      <c r="A631" s="71"/>
      <c r="B631" s="71"/>
      <c r="C631" s="71"/>
      <c r="D631" s="71"/>
      <c r="E631" s="71"/>
      <c r="F631" s="71"/>
      <c r="G631" s="71"/>
    </row>
    <row r="632" ht="12.75" customHeight="1">
      <c r="A632" s="71"/>
      <c r="B632" s="71"/>
      <c r="C632" s="71"/>
      <c r="D632" s="71"/>
      <c r="E632" s="71"/>
      <c r="F632" s="71"/>
      <c r="G632" s="71"/>
    </row>
    <row r="633" ht="12.75" customHeight="1">
      <c r="A633" s="71"/>
      <c r="B633" s="71"/>
      <c r="C633" s="71"/>
      <c r="D633" s="71"/>
      <c r="E633" s="71"/>
      <c r="F633" s="71"/>
      <c r="G633" s="71"/>
    </row>
    <row r="634" ht="12.75" customHeight="1">
      <c r="A634" s="71"/>
      <c r="B634" s="71"/>
      <c r="C634" s="71"/>
      <c r="D634" s="71"/>
      <c r="E634" s="71"/>
      <c r="F634" s="71"/>
      <c r="G634" s="71"/>
    </row>
    <row r="635" ht="12.75" customHeight="1">
      <c r="A635" s="71"/>
      <c r="B635" s="71"/>
      <c r="C635" s="71"/>
      <c r="D635" s="71"/>
      <c r="E635" s="71"/>
      <c r="F635" s="71"/>
      <c r="G635" s="71"/>
    </row>
    <row r="636" ht="12.75" customHeight="1">
      <c r="A636" s="71"/>
      <c r="B636" s="71"/>
      <c r="C636" s="71"/>
      <c r="D636" s="71"/>
      <c r="E636" s="71"/>
      <c r="F636" s="71"/>
      <c r="G636" s="71"/>
    </row>
    <row r="637" ht="12.75" customHeight="1">
      <c r="A637" s="71"/>
      <c r="B637" s="71"/>
      <c r="C637" s="71"/>
      <c r="D637" s="71"/>
      <c r="E637" s="71"/>
      <c r="F637" s="71"/>
      <c r="G637" s="71"/>
    </row>
    <row r="638" ht="12.75" customHeight="1">
      <c r="A638" s="71"/>
      <c r="B638" s="71"/>
      <c r="C638" s="71"/>
      <c r="D638" s="71"/>
      <c r="E638" s="71"/>
      <c r="F638" s="71"/>
      <c r="G638" s="71"/>
    </row>
    <row r="639" ht="12.75" customHeight="1">
      <c r="A639" s="71"/>
      <c r="B639" s="71"/>
      <c r="C639" s="71"/>
      <c r="D639" s="71"/>
      <c r="E639" s="71"/>
      <c r="F639" s="71"/>
      <c r="G639" s="71"/>
    </row>
    <row r="640" ht="12.75" customHeight="1">
      <c r="A640" s="71"/>
      <c r="B640" s="71"/>
      <c r="C640" s="71"/>
      <c r="D640" s="71"/>
      <c r="E640" s="71"/>
      <c r="F640" s="71"/>
      <c r="G640" s="71"/>
    </row>
    <row r="641" ht="12.75" customHeight="1">
      <c r="A641" s="71"/>
      <c r="B641" s="71"/>
      <c r="C641" s="71"/>
      <c r="D641" s="71"/>
      <c r="E641" s="71"/>
      <c r="F641" s="71"/>
      <c r="G641" s="71"/>
    </row>
    <row r="642" ht="12.75" customHeight="1">
      <c r="A642" s="71"/>
      <c r="B642" s="71"/>
      <c r="C642" s="71"/>
      <c r="D642" s="71"/>
      <c r="E642" s="71"/>
      <c r="F642" s="71"/>
      <c r="G642" s="71"/>
    </row>
    <row r="643" ht="12.75" customHeight="1">
      <c r="A643" s="71"/>
      <c r="B643" s="71"/>
      <c r="C643" s="71"/>
      <c r="D643" s="71"/>
      <c r="E643" s="71"/>
      <c r="F643" s="71"/>
      <c r="G643" s="71"/>
    </row>
    <row r="644" ht="12.75" customHeight="1">
      <c r="A644" s="71"/>
      <c r="B644" s="71"/>
      <c r="C644" s="71"/>
      <c r="D644" s="71"/>
      <c r="E644" s="71"/>
      <c r="F644" s="71"/>
      <c r="G644" s="71"/>
    </row>
    <row r="645" ht="12.75" customHeight="1">
      <c r="A645" s="71"/>
      <c r="B645" s="71"/>
      <c r="C645" s="71"/>
      <c r="D645" s="71"/>
      <c r="E645" s="71"/>
      <c r="F645" s="71"/>
      <c r="G645" s="71"/>
    </row>
    <row r="646" ht="12.75" customHeight="1">
      <c r="A646" s="71"/>
      <c r="B646" s="71"/>
      <c r="C646" s="71"/>
      <c r="D646" s="71"/>
      <c r="E646" s="71"/>
      <c r="F646" s="71"/>
      <c r="G646" s="71"/>
    </row>
    <row r="647" ht="12.75" customHeight="1">
      <c r="A647" s="71"/>
      <c r="B647" s="71"/>
      <c r="C647" s="71"/>
      <c r="D647" s="71"/>
      <c r="E647" s="71"/>
      <c r="F647" s="71"/>
      <c r="G647" s="71"/>
    </row>
    <row r="648" ht="12.75" customHeight="1">
      <c r="A648" s="71"/>
      <c r="B648" s="71"/>
      <c r="C648" s="71"/>
      <c r="D648" s="71"/>
      <c r="E648" s="71"/>
      <c r="F648" s="71"/>
      <c r="G648" s="71"/>
    </row>
    <row r="649" ht="12.75" customHeight="1">
      <c r="A649" s="71"/>
      <c r="B649" s="71"/>
      <c r="C649" s="71"/>
      <c r="D649" s="71"/>
      <c r="E649" s="71"/>
      <c r="F649" s="71"/>
      <c r="G649" s="71"/>
    </row>
    <row r="650" ht="12.75" customHeight="1">
      <c r="A650" s="71"/>
      <c r="B650" s="71"/>
      <c r="C650" s="71"/>
      <c r="D650" s="71"/>
      <c r="E650" s="71"/>
      <c r="F650" s="71"/>
      <c r="G650" s="71"/>
    </row>
    <row r="651" ht="12.75" customHeight="1">
      <c r="A651" s="71"/>
      <c r="B651" s="71"/>
      <c r="C651" s="71"/>
      <c r="D651" s="71"/>
      <c r="E651" s="71"/>
      <c r="F651" s="71"/>
      <c r="G651" s="71"/>
    </row>
    <row r="652" ht="12.75" customHeight="1">
      <c r="A652" s="71"/>
      <c r="B652" s="71"/>
      <c r="C652" s="71"/>
      <c r="D652" s="71"/>
      <c r="E652" s="71"/>
      <c r="F652" s="71"/>
      <c r="G652" s="71"/>
    </row>
    <row r="653" ht="12.75" customHeight="1">
      <c r="A653" s="71"/>
      <c r="B653" s="71"/>
      <c r="C653" s="71"/>
      <c r="D653" s="71"/>
      <c r="E653" s="71"/>
      <c r="F653" s="71"/>
      <c r="G653" s="71"/>
    </row>
    <row r="654" ht="12.75" customHeight="1">
      <c r="A654" s="71"/>
      <c r="B654" s="71"/>
      <c r="C654" s="71"/>
      <c r="D654" s="71"/>
      <c r="E654" s="71"/>
      <c r="F654" s="71"/>
      <c r="G654" s="71"/>
    </row>
    <row r="655" ht="12.75" customHeight="1">
      <c r="A655" s="71"/>
      <c r="B655" s="71"/>
      <c r="C655" s="71"/>
      <c r="D655" s="71"/>
      <c r="E655" s="71"/>
      <c r="F655" s="71"/>
      <c r="G655" s="71"/>
    </row>
    <row r="656" ht="12.75" customHeight="1">
      <c r="A656" s="71"/>
      <c r="B656" s="71"/>
      <c r="C656" s="71"/>
      <c r="D656" s="71"/>
      <c r="E656" s="71"/>
      <c r="F656" s="71"/>
      <c r="G656" s="71"/>
    </row>
    <row r="657" ht="12.75" customHeight="1">
      <c r="A657" s="71"/>
      <c r="B657" s="71"/>
      <c r="C657" s="71"/>
      <c r="D657" s="71"/>
      <c r="E657" s="71"/>
      <c r="F657" s="71"/>
      <c r="G657" s="71"/>
    </row>
    <row r="658" ht="12.75" customHeight="1">
      <c r="A658" s="71"/>
      <c r="B658" s="71"/>
      <c r="C658" s="71"/>
      <c r="D658" s="71"/>
      <c r="E658" s="71"/>
      <c r="F658" s="71"/>
      <c r="G658" s="71"/>
    </row>
    <row r="659" ht="12.75" customHeight="1">
      <c r="A659" s="71"/>
      <c r="B659" s="71"/>
      <c r="C659" s="71"/>
      <c r="D659" s="71"/>
      <c r="E659" s="71"/>
      <c r="F659" s="71"/>
      <c r="G659" s="71"/>
    </row>
    <row r="660" ht="12.75" customHeight="1">
      <c r="A660" s="71"/>
      <c r="B660" s="71"/>
      <c r="C660" s="71"/>
      <c r="D660" s="71"/>
      <c r="E660" s="71"/>
      <c r="F660" s="71"/>
      <c r="G660" s="71"/>
    </row>
    <row r="661" ht="12.75" customHeight="1">
      <c r="A661" s="71"/>
      <c r="B661" s="71"/>
      <c r="C661" s="71"/>
      <c r="D661" s="71"/>
      <c r="E661" s="71"/>
      <c r="F661" s="71"/>
      <c r="G661" s="71"/>
    </row>
    <row r="662" ht="12.75" customHeight="1">
      <c r="A662" s="71"/>
      <c r="B662" s="71"/>
      <c r="C662" s="71"/>
      <c r="D662" s="71"/>
      <c r="E662" s="71"/>
      <c r="F662" s="71"/>
      <c r="G662" s="71"/>
    </row>
    <row r="663" ht="12.75" customHeight="1">
      <c r="A663" s="71"/>
      <c r="B663" s="71"/>
      <c r="C663" s="71"/>
      <c r="D663" s="71"/>
      <c r="E663" s="71"/>
      <c r="F663" s="71"/>
      <c r="G663" s="71"/>
    </row>
    <row r="664" ht="12.75" customHeight="1">
      <c r="A664" s="71"/>
      <c r="B664" s="71"/>
      <c r="C664" s="71"/>
      <c r="D664" s="71"/>
      <c r="E664" s="71"/>
      <c r="F664" s="71"/>
      <c r="G664" s="71"/>
    </row>
    <row r="665" ht="12.75" customHeight="1">
      <c r="A665" s="71"/>
      <c r="B665" s="71"/>
      <c r="C665" s="71"/>
      <c r="D665" s="71"/>
      <c r="E665" s="71"/>
      <c r="F665" s="71"/>
      <c r="G665" s="71"/>
    </row>
    <row r="666" ht="12.75" customHeight="1">
      <c r="A666" s="71"/>
      <c r="B666" s="71"/>
      <c r="C666" s="71"/>
      <c r="D666" s="71"/>
      <c r="E666" s="71"/>
      <c r="F666" s="71"/>
      <c r="G666" s="71"/>
    </row>
    <row r="667" ht="12.75" customHeight="1">
      <c r="A667" s="71"/>
      <c r="B667" s="71"/>
      <c r="C667" s="71"/>
      <c r="D667" s="71"/>
      <c r="E667" s="71"/>
      <c r="F667" s="71"/>
      <c r="G667" s="71"/>
    </row>
    <row r="668" ht="12.75" customHeight="1">
      <c r="A668" s="71"/>
      <c r="B668" s="71"/>
      <c r="C668" s="71"/>
      <c r="D668" s="71"/>
      <c r="E668" s="71"/>
      <c r="F668" s="71"/>
      <c r="G668" s="71"/>
    </row>
    <row r="669" ht="12.75" customHeight="1">
      <c r="A669" s="71"/>
      <c r="B669" s="71"/>
      <c r="C669" s="71"/>
      <c r="D669" s="71"/>
      <c r="E669" s="71"/>
      <c r="F669" s="71"/>
      <c r="G669" s="71"/>
    </row>
    <row r="670" ht="12.75" customHeight="1">
      <c r="A670" s="71"/>
      <c r="B670" s="71"/>
      <c r="C670" s="71"/>
      <c r="D670" s="71"/>
      <c r="E670" s="71"/>
      <c r="F670" s="71"/>
      <c r="G670" s="71"/>
    </row>
    <row r="671" ht="12.75" customHeight="1">
      <c r="A671" s="71"/>
      <c r="B671" s="71"/>
      <c r="C671" s="71"/>
      <c r="D671" s="71"/>
      <c r="E671" s="71"/>
      <c r="F671" s="71"/>
      <c r="G671" s="71"/>
    </row>
    <row r="672" ht="12.75" customHeight="1">
      <c r="A672" s="71"/>
      <c r="B672" s="71"/>
      <c r="C672" s="71"/>
      <c r="D672" s="71"/>
      <c r="E672" s="71"/>
      <c r="F672" s="71"/>
      <c r="G672" s="71"/>
    </row>
    <row r="673" ht="12.75" customHeight="1">
      <c r="A673" s="71"/>
      <c r="B673" s="71"/>
      <c r="C673" s="71"/>
      <c r="D673" s="71"/>
      <c r="E673" s="71"/>
      <c r="F673" s="71"/>
      <c r="G673" s="71"/>
    </row>
    <row r="674" ht="12.75" customHeight="1">
      <c r="A674" s="71"/>
      <c r="B674" s="71"/>
      <c r="C674" s="71"/>
      <c r="D674" s="71"/>
      <c r="E674" s="71"/>
      <c r="F674" s="71"/>
      <c r="G674" s="71"/>
    </row>
    <row r="675" ht="12.75" customHeight="1">
      <c r="A675" s="71"/>
      <c r="B675" s="71"/>
      <c r="C675" s="71"/>
      <c r="D675" s="71"/>
      <c r="E675" s="71"/>
      <c r="F675" s="71"/>
      <c r="G675" s="71"/>
    </row>
    <row r="676" ht="12.75" customHeight="1">
      <c r="A676" s="71"/>
      <c r="B676" s="71"/>
      <c r="C676" s="71"/>
      <c r="D676" s="71"/>
      <c r="E676" s="71"/>
      <c r="F676" s="71"/>
      <c r="G676" s="71"/>
    </row>
    <row r="677" ht="12.75" customHeight="1">
      <c r="A677" s="71"/>
      <c r="B677" s="71"/>
      <c r="C677" s="71"/>
      <c r="D677" s="71"/>
      <c r="E677" s="71"/>
      <c r="F677" s="71"/>
      <c r="G677" s="71"/>
    </row>
    <row r="678" ht="12.75" customHeight="1">
      <c r="A678" s="71"/>
      <c r="B678" s="71"/>
      <c r="C678" s="71"/>
      <c r="D678" s="71"/>
      <c r="E678" s="71"/>
      <c r="F678" s="71"/>
      <c r="G678" s="71"/>
    </row>
    <row r="679" ht="12.75" customHeight="1">
      <c r="A679" s="71"/>
      <c r="B679" s="71"/>
      <c r="C679" s="71"/>
      <c r="D679" s="71"/>
      <c r="E679" s="71"/>
      <c r="F679" s="71"/>
      <c r="G679" s="71"/>
    </row>
    <row r="680" ht="12.75" customHeight="1">
      <c r="A680" s="71"/>
      <c r="B680" s="71"/>
      <c r="C680" s="71"/>
      <c r="D680" s="71"/>
      <c r="E680" s="71"/>
      <c r="F680" s="71"/>
      <c r="G680" s="71"/>
    </row>
    <row r="681" ht="12.75" customHeight="1">
      <c r="A681" s="71"/>
      <c r="B681" s="71"/>
      <c r="C681" s="71"/>
      <c r="D681" s="71"/>
      <c r="E681" s="71"/>
      <c r="F681" s="71"/>
      <c r="G681" s="71"/>
    </row>
    <row r="682" ht="12.75" customHeight="1">
      <c r="A682" s="71"/>
      <c r="B682" s="71"/>
      <c r="C682" s="71"/>
      <c r="D682" s="71"/>
      <c r="E682" s="71"/>
      <c r="F682" s="71"/>
      <c r="G682" s="71"/>
    </row>
    <row r="683" ht="12.75" customHeight="1">
      <c r="A683" s="71"/>
      <c r="B683" s="71"/>
      <c r="C683" s="71"/>
      <c r="D683" s="71"/>
      <c r="E683" s="71"/>
      <c r="F683" s="71"/>
      <c r="G683" s="71"/>
    </row>
    <row r="684" ht="12.75" customHeight="1">
      <c r="A684" s="71"/>
      <c r="B684" s="71"/>
      <c r="C684" s="71"/>
      <c r="D684" s="71"/>
      <c r="E684" s="71"/>
      <c r="F684" s="71"/>
      <c r="G684" s="71"/>
    </row>
    <row r="685" ht="12.75" customHeight="1">
      <c r="A685" s="71"/>
      <c r="B685" s="71"/>
      <c r="C685" s="71"/>
      <c r="D685" s="71"/>
      <c r="E685" s="71"/>
      <c r="F685" s="71"/>
      <c r="G685" s="71"/>
    </row>
    <row r="686" ht="12.75" customHeight="1">
      <c r="A686" s="71"/>
      <c r="B686" s="71"/>
      <c r="C686" s="71"/>
      <c r="D686" s="71"/>
      <c r="E686" s="71"/>
      <c r="F686" s="71"/>
      <c r="G686" s="71"/>
    </row>
    <row r="687" ht="12.75" customHeight="1">
      <c r="A687" s="71"/>
      <c r="B687" s="71"/>
      <c r="C687" s="71"/>
      <c r="D687" s="71"/>
      <c r="E687" s="71"/>
      <c r="F687" s="71"/>
      <c r="G687" s="71"/>
    </row>
    <row r="688" ht="12.75" customHeight="1">
      <c r="A688" s="71"/>
      <c r="B688" s="71"/>
      <c r="C688" s="71"/>
      <c r="D688" s="71"/>
      <c r="E688" s="71"/>
      <c r="F688" s="71"/>
      <c r="G688" s="71"/>
    </row>
    <row r="689" ht="12.75" customHeight="1">
      <c r="A689" s="71"/>
      <c r="B689" s="71"/>
      <c r="C689" s="71"/>
      <c r="D689" s="71"/>
      <c r="E689" s="71"/>
      <c r="F689" s="71"/>
      <c r="G689" s="71"/>
    </row>
    <row r="690" ht="12.75" customHeight="1">
      <c r="A690" s="71"/>
      <c r="B690" s="71"/>
      <c r="C690" s="71"/>
      <c r="D690" s="71"/>
      <c r="E690" s="71"/>
      <c r="F690" s="71"/>
      <c r="G690" s="71"/>
    </row>
    <row r="691" ht="12.75" customHeight="1">
      <c r="A691" s="71"/>
      <c r="B691" s="71"/>
      <c r="C691" s="71"/>
      <c r="D691" s="71"/>
      <c r="E691" s="71"/>
      <c r="F691" s="71"/>
      <c r="G691" s="71"/>
    </row>
    <row r="692" ht="12.75" customHeight="1">
      <c r="A692" s="71"/>
      <c r="B692" s="71"/>
      <c r="C692" s="71"/>
      <c r="D692" s="71"/>
      <c r="E692" s="71"/>
      <c r="F692" s="71"/>
      <c r="G692" s="71"/>
    </row>
    <row r="693" ht="12.75" customHeight="1">
      <c r="A693" s="71"/>
      <c r="B693" s="71"/>
      <c r="C693" s="71"/>
      <c r="D693" s="71"/>
      <c r="E693" s="71"/>
      <c r="F693" s="71"/>
      <c r="G693" s="71"/>
    </row>
    <row r="694" ht="12.75" customHeight="1">
      <c r="A694" s="71"/>
      <c r="B694" s="71"/>
      <c r="C694" s="71"/>
      <c r="D694" s="71"/>
      <c r="E694" s="71"/>
      <c r="F694" s="71"/>
      <c r="G694" s="71"/>
    </row>
    <row r="695" ht="12.75" customHeight="1">
      <c r="A695" s="71"/>
      <c r="B695" s="71"/>
      <c r="C695" s="71"/>
      <c r="D695" s="71"/>
      <c r="E695" s="71"/>
      <c r="F695" s="71"/>
      <c r="G695" s="71"/>
    </row>
    <row r="696" ht="12.75" customHeight="1">
      <c r="A696" s="71"/>
      <c r="B696" s="71"/>
      <c r="C696" s="71"/>
      <c r="D696" s="71"/>
      <c r="E696" s="71"/>
      <c r="F696" s="71"/>
      <c r="G696" s="71"/>
    </row>
    <row r="697" ht="12.75" customHeight="1">
      <c r="A697" s="71"/>
      <c r="B697" s="71"/>
      <c r="C697" s="71"/>
      <c r="D697" s="71"/>
      <c r="E697" s="71"/>
      <c r="F697" s="71"/>
      <c r="G697" s="71"/>
    </row>
    <row r="698" ht="12.75" customHeight="1">
      <c r="A698" s="71"/>
      <c r="B698" s="71"/>
      <c r="C698" s="71"/>
      <c r="D698" s="71"/>
      <c r="E698" s="71"/>
      <c r="F698" s="71"/>
      <c r="G698" s="71"/>
    </row>
    <row r="699" ht="12.75" customHeight="1">
      <c r="A699" s="71"/>
      <c r="B699" s="71"/>
      <c r="C699" s="71"/>
      <c r="D699" s="71"/>
      <c r="E699" s="71"/>
      <c r="F699" s="71"/>
      <c r="G699" s="71"/>
    </row>
    <row r="700" ht="12.75" customHeight="1">
      <c r="A700" s="71"/>
      <c r="B700" s="71"/>
      <c r="C700" s="71"/>
      <c r="D700" s="71"/>
      <c r="E700" s="71"/>
      <c r="F700" s="71"/>
      <c r="G700" s="71"/>
    </row>
    <row r="701" ht="12.75" customHeight="1">
      <c r="A701" s="71"/>
      <c r="B701" s="71"/>
      <c r="C701" s="71"/>
      <c r="D701" s="71"/>
      <c r="E701" s="71"/>
      <c r="F701" s="71"/>
      <c r="G701" s="71"/>
    </row>
    <row r="702" ht="12.75" customHeight="1">
      <c r="A702" s="71"/>
      <c r="B702" s="71"/>
      <c r="C702" s="71"/>
      <c r="D702" s="71"/>
      <c r="E702" s="71"/>
      <c r="F702" s="71"/>
      <c r="G702" s="71"/>
    </row>
    <row r="703" ht="12.75" customHeight="1">
      <c r="A703" s="71"/>
      <c r="B703" s="71"/>
      <c r="C703" s="71"/>
      <c r="D703" s="71"/>
      <c r="E703" s="71"/>
      <c r="F703" s="71"/>
      <c r="G703" s="71"/>
    </row>
    <row r="704" ht="12.75" customHeight="1">
      <c r="A704" s="71"/>
      <c r="B704" s="71"/>
      <c r="C704" s="71"/>
      <c r="D704" s="71"/>
      <c r="E704" s="71"/>
      <c r="F704" s="71"/>
      <c r="G704" s="71"/>
    </row>
    <row r="705" ht="12.75" customHeight="1">
      <c r="A705" s="71"/>
      <c r="B705" s="71"/>
      <c r="C705" s="71"/>
      <c r="D705" s="71"/>
      <c r="E705" s="71"/>
      <c r="F705" s="71"/>
      <c r="G705" s="71"/>
    </row>
    <row r="706" ht="12.75" customHeight="1">
      <c r="A706" s="71"/>
      <c r="B706" s="71"/>
      <c r="C706" s="71"/>
      <c r="D706" s="71"/>
      <c r="E706" s="71"/>
      <c r="F706" s="71"/>
      <c r="G706" s="71"/>
    </row>
    <row r="707" ht="12.75" customHeight="1">
      <c r="A707" s="71"/>
      <c r="B707" s="71"/>
      <c r="C707" s="71"/>
      <c r="D707" s="71"/>
      <c r="E707" s="71"/>
      <c r="F707" s="71"/>
      <c r="G707" s="71"/>
    </row>
    <row r="708" ht="12.75" customHeight="1">
      <c r="A708" s="71"/>
      <c r="B708" s="71"/>
      <c r="C708" s="71"/>
      <c r="D708" s="71"/>
      <c r="E708" s="71"/>
      <c r="F708" s="71"/>
      <c r="G708" s="71"/>
    </row>
    <row r="709" ht="12.75" customHeight="1">
      <c r="A709" s="71"/>
      <c r="B709" s="71"/>
      <c r="C709" s="71"/>
      <c r="D709" s="71"/>
      <c r="E709" s="71"/>
      <c r="F709" s="71"/>
      <c r="G709" s="71"/>
    </row>
    <row r="710" ht="12.75" customHeight="1">
      <c r="A710" s="71"/>
      <c r="B710" s="71"/>
      <c r="C710" s="71"/>
      <c r="D710" s="71"/>
      <c r="E710" s="71"/>
      <c r="F710" s="71"/>
      <c r="G710" s="71"/>
    </row>
    <row r="711" ht="12.75" customHeight="1">
      <c r="A711" s="71"/>
      <c r="B711" s="71"/>
      <c r="C711" s="71"/>
      <c r="D711" s="71"/>
      <c r="E711" s="71"/>
      <c r="F711" s="71"/>
      <c r="G711" s="71"/>
    </row>
    <row r="712" ht="12.75" customHeight="1">
      <c r="A712" s="71"/>
      <c r="B712" s="71"/>
      <c r="C712" s="71"/>
      <c r="D712" s="71"/>
      <c r="E712" s="71"/>
      <c r="F712" s="71"/>
      <c r="G712" s="71"/>
    </row>
    <row r="713" ht="12.75" customHeight="1">
      <c r="A713" s="71"/>
      <c r="B713" s="71"/>
      <c r="C713" s="71"/>
      <c r="D713" s="71"/>
      <c r="E713" s="71"/>
      <c r="F713" s="71"/>
      <c r="G713" s="71"/>
    </row>
    <row r="714" ht="12.75" customHeight="1">
      <c r="A714" s="71"/>
      <c r="B714" s="71"/>
      <c r="C714" s="71"/>
      <c r="D714" s="71"/>
      <c r="E714" s="71"/>
      <c r="F714" s="71"/>
      <c r="G714" s="71"/>
    </row>
    <row r="715" ht="12.75" customHeight="1">
      <c r="A715" s="71"/>
      <c r="B715" s="71"/>
      <c r="C715" s="71"/>
      <c r="D715" s="71"/>
      <c r="E715" s="71"/>
      <c r="F715" s="71"/>
      <c r="G715" s="71"/>
    </row>
    <row r="716" ht="12.75" customHeight="1">
      <c r="A716" s="71"/>
      <c r="B716" s="71"/>
      <c r="C716" s="71"/>
      <c r="D716" s="71"/>
      <c r="E716" s="71"/>
      <c r="F716" s="71"/>
      <c r="G716" s="71"/>
    </row>
    <row r="717" ht="12.75" customHeight="1">
      <c r="A717" s="71"/>
      <c r="B717" s="71"/>
      <c r="C717" s="71"/>
      <c r="D717" s="71"/>
      <c r="E717" s="71"/>
      <c r="F717" s="71"/>
      <c r="G717" s="71"/>
    </row>
    <row r="718" ht="12.75" customHeight="1">
      <c r="A718" s="71"/>
      <c r="B718" s="71"/>
      <c r="C718" s="71"/>
      <c r="D718" s="71"/>
      <c r="E718" s="71"/>
      <c r="F718" s="71"/>
      <c r="G718" s="71"/>
    </row>
    <row r="719" ht="12.75" customHeight="1">
      <c r="A719" s="71"/>
      <c r="B719" s="71"/>
      <c r="C719" s="71"/>
      <c r="D719" s="71"/>
      <c r="E719" s="71"/>
      <c r="F719" s="71"/>
      <c r="G719" s="71"/>
    </row>
    <row r="720" ht="12.75" customHeight="1">
      <c r="A720" s="71"/>
      <c r="B720" s="71"/>
      <c r="C720" s="71"/>
      <c r="D720" s="71"/>
      <c r="E720" s="71"/>
      <c r="F720" s="71"/>
      <c r="G720" s="71"/>
    </row>
    <row r="721" ht="12.75" customHeight="1">
      <c r="A721" s="71"/>
      <c r="B721" s="71"/>
      <c r="C721" s="71"/>
      <c r="D721" s="71"/>
      <c r="E721" s="71"/>
      <c r="F721" s="71"/>
      <c r="G721" s="71"/>
    </row>
    <row r="722" ht="12.75" customHeight="1">
      <c r="A722" s="71"/>
      <c r="B722" s="71"/>
      <c r="C722" s="71"/>
      <c r="D722" s="71"/>
      <c r="E722" s="71"/>
      <c r="F722" s="71"/>
      <c r="G722" s="71"/>
    </row>
    <row r="723" ht="12.75" customHeight="1">
      <c r="A723" s="71"/>
      <c r="B723" s="71"/>
      <c r="C723" s="71"/>
      <c r="D723" s="71"/>
      <c r="E723" s="71"/>
      <c r="F723" s="71"/>
      <c r="G723" s="71"/>
    </row>
    <row r="724" ht="12.75" customHeight="1">
      <c r="A724" s="71"/>
      <c r="B724" s="71"/>
      <c r="C724" s="71"/>
      <c r="D724" s="71"/>
      <c r="E724" s="71"/>
      <c r="F724" s="71"/>
      <c r="G724" s="71"/>
    </row>
    <row r="725" ht="12.75" customHeight="1">
      <c r="A725" s="71"/>
      <c r="B725" s="71"/>
      <c r="C725" s="71"/>
      <c r="D725" s="71"/>
      <c r="E725" s="71"/>
      <c r="F725" s="71"/>
      <c r="G725" s="71"/>
    </row>
    <row r="726" ht="12.75" customHeight="1">
      <c r="A726" s="71"/>
      <c r="B726" s="71"/>
      <c r="C726" s="71"/>
      <c r="D726" s="71"/>
      <c r="E726" s="71"/>
      <c r="F726" s="71"/>
      <c r="G726" s="71"/>
    </row>
    <row r="727" ht="12.75" customHeight="1">
      <c r="A727" s="71"/>
      <c r="B727" s="71"/>
      <c r="C727" s="71"/>
      <c r="D727" s="71"/>
      <c r="E727" s="71"/>
      <c r="F727" s="71"/>
      <c r="G727" s="71"/>
    </row>
    <row r="728" ht="12.75" customHeight="1">
      <c r="A728" s="71"/>
      <c r="B728" s="71"/>
      <c r="C728" s="71"/>
      <c r="D728" s="71"/>
      <c r="E728" s="71"/>
      <c r="F728" s="71"/>
      <c r="G728" s="71"/>
    </row>
    <row r="729" ht="12.75" customHeight="1">
      <c r="A729" s="71"/>
      <c r="B729" s="71"/>
      <c r="C729" s="71"/>
      <c r="D729" s="71"/>
      <c r="E729" s="71"/>
      <c r="F729" s="71"/>
      <c r="G729" s="71"/>
    </row>
    <row r="730" ht="12.75" customHeight="1">
      <c r="A730" s="71"/>
      <c r="B730" s="71"/>
      <c r="C730" s="71"/>
      <c r="D730" s="71"/>
      <c r="E730" s="71"/>
      <c r="F730" s="71"/>
      <c r="G730" s="71"/>
    </row>
    <row r="731" ht="12.75" customHeight="1">
      <c r="A731" s="71"/>
      <c r="B731" s="71"/>
      <c r="C731" s="71"/>
      <c r="D731" s="71"/>
      <c r="E731" s="71"/>
      <c r="F731" s="71"/>
      <c r="G731" s="71"/>
    </row>
    <row r="732" ht="12.75" customHeight="1">
      <c r="A732" s="71"/>
      <c r="B732" s="71"/>
      <c r="C732" s="71"/>
      <c r="D732" s="71"/>
      <c r="E732" s="71"/>
      <c r="F732" s="71"/>
      <c r="G732" s="71"/>
    </row>
    <row r="733" ht="12.75" customHeight="1">
      <c r="A733" s="71"/>
      <c r="B733" s="71"/>
      <c r="C733" s="71"/>
      <c r="D733" s="71"/>
      <c r="E733" s="71"/>
      <c r="F733" s="71"/>
      <c r="G733" s="71"/>
    </row>
    <row r="734" ht="12.75" customHeight="1">
      <c r="A734" s="71"/>
      <c r="B734" s="71"/>
      <c r="C734" s="71"/>
      <c r="D734" s="71"/>
      <c r="E734" s="71"/>
      <c r="F734" s="71"/>
      <c r="G734" s="71"/>
    </row>
    <row r="735" ht="12.75" customHeight="1">
      <c r="A735" s="71"/>
      <c r="B735" s="71"/>
      <c r="C735" s="71"/>
      <c r="D735" s="71"/>
      <c r="E735" s="71"/>
      <c r="F735" s="71"/>
      <c r="G735" s="71"/>
    </row>
    <row r="736" ht="12.75" customHeight="1">
      <c r="A736" s="71"/>
      <c r="B736" s="71"/>
      <c r="C736" s="71"/>
      <c r="D736" s="71"/>
      <c r="E736" s="71"/>
      <c r="F736" s="71"/>
      <c r="G736" s="71"/>
    </row>
    <row r="737" ht="12.75" customHeight="1">
      <c r="A737" s="71"/>
      <c r="B737" s="71"/>
      <c r="C737" s="71"/>
      <c r="D737" s="71"/>
      <c r="E737" s="71"/>
      <c r="F737" s="71"/>
      <c r="G737" s="71"/>
    </row>
    <row r="738" ht="12.75" customHeight="1">
      <c r="A738" s="71"/>
      <c r="B738" s="71"/>
      <c r="C738" s="71"/>
      <c r="D738" s="71"/>
      <c r="E738" s="71"/>
      <c r="F738" s="71"/>
      <c r="G738" s="71"/>
    </row>
    <row r="739" ht="12.75" customHeight="1">
      <c r="A739" s="71"/>
      <c r="B739" s="71"/>
      <c r="C739" s="71"/>
      <c r="D739" s="71"/>
      <c r="E739" s="71"/>
      <c r="F739" s="71"/>
      <c r="G739" s="71"/>
    </row>
    <row r="740" ht="12.75" customHeight="1">
      <c r="A740" s="71"/>
      <c r="B740" s="71"/>
      <c r="C740" s="71"/>
      <c r="D740" s="71"/>
      <c r="E740" s="71"/>
      <c r="F740" s="71"/>
      <c r="G740" s="71"/>
    </row>
    <row r="741" ht="12.75" customHeight="1">
      <c r="A741" s="71"/>
      <c r="B741" s="71"/>
      <c r="C741" s="71"/>
      <c r="D741" s="71"/>
      <c r="E741" s="71"/>
      <c r="F741" s="71"/>
      <c r="G741" s="71"/>
    </row>
    <row r="742" ht="12.75" customHeight="1">
      <c r="A742" s="71"/>
      <c r="B742" s="71"/>
      <c r="C742" s="71"/>
      <c r="D742" s="71"/>
      <c r="E742" s="71"/>
      <c r="F742" s="71"/>
      <c r="G742" s="71"/>
    </row>
    <row r="743" ht="12.75" customHeight="1">
      <c r="A743" s="71"/>
      <c r="B743" s="71"/>
      <c r="C743" s="71"/>
      <c r="D743" s="71"/>
      <c r="E743" s="71"/>
      <c r="F743" s="71"/>
      <c r="G743" s="71"/>
    </row>
    <row r="744" ht="12.75" customHeight="1">
      <c r="A744" s="71"/>
      <c r="B744" s="71"/>
      <c r="C744" s="71"/>
      <c r="D744" s="71"/>
      <c r="E744" s="71"/>
      <c r="F744" s="71"/>
      <c r="G744" s="71"/>
    </row>
    <row r="745" ht="12.75" customHeight="1">
      <c r="A745" s="71"/>
      <c r="B745" s="71"/>
      <c r="C745" s="71"/>
      <c r="D745" s="71"/>
      <c r="E745" s="71"/>
      <c r="F745" s="71"/>
      <c r="G745" s="71"/>
    </row>
    <row r="746" ht="12.75" customHeight="1">
      <c r="A746" s="71"/>
      <c r="B746" s="71"/>
      <c r="C746" s="71"/>
      <c r="D746" s="71"/>
      <c r="E746" s="71"/>
      <c r="F746" s="71"/>
      <c r="G746" s="71"/>
    </row>
    <row r="747" ht="12.75" customHeight="1">
      <c r="A747" s="71"/>
      <c r="B747" s="71"/>
      <c r="C747" s="71"/>
      <c r="D747" s="71"/>
      <c r="E747" s="71"/>
      <c r="F747" s="71"/>
      <c r="G747" s="71"/>
    </row>
    <row r="748" ht="12.75" customHeight="1">
      <c r="A748" s="71"/>
      <c r="B748" s="71"/>
      <c r="C748" s="71"/>
      <c r="D748" s="71"/>
      <c r="E748" s="71"/>
      <c r="F748" s="71"/>
      <c r="G748" s="71"/>
    </row>
    <row r="749" ht="12.75" customHeight="1">
      <c r="A749" s="71"/>
      <c r="B749" s="71"/>
      <c r="C749" s="71"/>
      <c r="D749" s="71"/>
      <c r="E749" s="71"/>
      <c r="F749" s="71"/>
      <c r="G749" s="71"/>
    </row>
    <row r="750" ht="12.75" customHeight="1">
      <c r="A750" s="71"/>
      <c r="B750" s="71"/>
      <c r="C750" s="71"/>
      <c r="D750" s="71"/>
      <c r="E750" s="71"/>
      <c r="F750" s="71"/>
      <c r="G750" s="71"/>
    </row>
    <row r="751" ht="12.75" customHeight="1">
      <c r="A751" s="71"/>
      <c r="B751" s="71"/>
      <c r="C751" s="71"/>
      <c r="D751" s="71"/>
      <c r="E751" s="71"/>
      <c r="F751" s="71"/>
      <c r="G751" s="71"/>
    </row>
    <row r="752" ht="12.75" customHeight="1">
      <c r="A752" s="71"/>
      <c r="B752" s="71"/>
      <c r="C752" s="71"/>
      <c r="D752" s="71"/>
      <c r="E752" s="71"/>
      <c r="F752" s="71"/>
      <c r="G752" s="71"/>
    </row>
    <row r="753" ht="12.75" customHeight="1">
      <c r="A753" s="71"/>
      <c r="B753" s="71"/>
      <c r="C753" s="71"/>
      <c r="D753" s="71"/>
      <c r="E753" s="71"/>
      <c r="F753" s="71"/>
      <c r="G753" s="71"/>
    </row>
    <row r="754" ht="12.75" customHeight="1">
      <c r="A754" s="71"/>
      <c r="B754" s="71"/>
      <c r="C754" s="71"/>
      <c r="D754" s="71"/>
      <c r="E754" s="71"/>
      <c r="F754" s="71"/>
      <c r="G754" s="71"/>
    </row>
    <row r="755" ht="12.75" customHeight="1">
      <c r="A755" s="71"/>
      <c r="B755" s="71"/>
      <c r="C755" s="71"/>
      <c r="D755" s="71"/>
      <c r="E755" s="71"/>
      <c r="F755" s="71"/>
      <c r="G755" s="71"/>
    </row>
    <row r="756" ht="12.75" customHeight="1">
      <c r="A756" s="71"/>
      <c r="B756" s="71"/>
      <c r="C756" s="71"/>
      <c r="D756" s="71"/>
      <c r="E756" s="71"/>
      <c r="F756" s="71"/>
      <c r="G756" s="71"/>
    </row>
    <row r="757" ht="12.75" customHeight="1">
      <c r="A757" s="71"/>
      <c r="B757" s="71"/>
      <c r="C757" s="71"/>
      <c r="D757" s="71"/>
      <c r="E757" s="71"/>
      <c r="F757" s="71"/>
      <c r="G757" s="71"/>
    </row>
    <row r="758" ht="12.75" customHeight="1">
      <c r="A758" s="71"/>
      <c r="B758" s="71"/>
      <c r="C758" s="71"/>
      <c r="D758" s="71"/>
      <c r="E758" s="71"/>
      <c r="F758" s="71"/>
      <c r="G758" s="71"/>
    </row>
    <row r="759" ht="12.75" customHeight="1">
      <c r="A759" s="71"/>
      <c r="B759" s="71"/>
      <c r="C759" s="71"/>
      <c r="D759" s="71"/>
      <c r="E759" s="71"/>
      <c r="F759" s="71"/>
      <c r="G759" s="71"/>
    </row>
    <row r="760" ht="12.75" customHeight="1">
      <c r="A760" s="71"/>
      <c r="B760" s="71"/>
      <c r="C760" s="71"/>
      <c r="D760" s="71"/>
      <c r="E760" s="71"/>
      <c r="F760" s="71"/>
      <c r="G760" s="71"/>
    </row>
    <row r="761" ht="12.75" customHeight="1">
      <c r="A761" s="71"/>
      <c r="B761" s="71"/>
      <c r="C761" s="71"/>
      <c r="D761" s="71"/>
      <c r="E761" s="71"/>
      <c r="F761" s="71"/>
      <c r="G761" s="71"/>
    </row>
    <row r="762" ht="12.75" customHeight="1">
      <c r="A762" s="71"/>
      <c r="B762" s="71"/>
      <c r="C762" s="71"/>
      <c r="D762" s="71"/>
      <c r="E762" s="71"/>
      <c r="F762" s="71"/>
      <c r="G762" s="71"/>
    </row>
    <row r="763" ht="12.75" customHeight="1">
      <c r="A763" s="71"/>
      <c r="B763" s="71"/>
      <c r="C763" s="71"/>
      <c r="D763" s="71"/>
      <c r="E763" s="71"/>
      <c r="F763" s="71"/>
      <c r="G763" s="71"/>
    </row>
    <row r="764" ht="12.75" customHeight="1">
      <c r="A764" s="71"/>
      <c r="B764" s="71"/>
      <c r="C764" s="71"/>
      <c r="D764" s="71"/>
      <c r="E764" s="71"/>
      <c r="F764" s="71"/>
      <c r="G764" s="71"/>
    </row>
    <row r="765" ht="12.75" customHeight="1">
      <c r="A765" s="71"/>
      <c r="B765" s="71"/>
      <c r="C765" s="71"/>
      <c r="D765" s="71"/>
      <c r="E765" s="71"/>
      <c r="F765" s="71"/>
      <c r="G765" s="71"/>
    </row>
    <row r="766" ht="12.75" customHeight="1">
      <c r="A766" s="71"/>
      <c r="B766" s="71"/>
      <c r="C766" s="71"/>
      <c r="D766" s="71"/>
      <c r="E766" s="71"/>
      <c r="F766" s="71"/>
      <c r="G766" s="71"/>
    </row>
    <row r="767" ht="12.75" customHeight="1">
      <c r="A767" s="71"/>
      <c r="B767" s="71"/>
      <c r="C767" s="71"/>
      <c r="D767" s="71"/>
      <c r="E767" s="71"/>
      <c r="F767" s="71"/>
      <c r="G767" s="71"/>
    </row>
    <row r="768" ht="12.75" customHeight="1">
      <c r="A768" s="71"/>
      <c r="B768" s="71"/>
      <c r="C768" s="71"/>
      <c r="D768" s="71"/>
      <c r="E768" s="71"/>
      <c r="F768" s="71"/>
      <c r="G768" s="71"/>
    </row>
    <row r="769" ht="12.75" customHeight="1">
      <c r="A769" s="71"/>
      <c r="B769" s="71"/>
      <c r="C769" s="71"/>
      <c r="D769" s="71"/>
      <c r="E769" s="71"/>
      <c r="F769" s="71"/>
      <c r="G769" s="71"/>
    </row>
    <row r="770" ht="12.75" customHeight="1">
      <c r="A770" s="71"/>
      <c r="B770" s="71"/>
      <c r="C770" s="71"/>
      <c r="D770" s="71"/>
      <c r="E770" s="71"/>
      <c r="F770" s="71"/>
      <c r="G770" s="71"/>
    </row>
    <row r="771" ht="12.75" customHeight="1">
      <c r="A771" s="71"/>
      <c r="B771" s="71"/>
      <c r="C771" s="71"/>
      <c r="D771" s="71"/>
      <c r="E771" s="71"/>
      <c r="F771" s="71"/>
      <c r="G771" s="71"/>
    </row>
    <row r="772" ht="12.75" customHeight="1">
      <c r="A772" s="71"/>
      <c r="B772" s="71"/>
      <c r="C772" s="71"/>
      <c r="D772" s="71"/>
      <c r="E772" s="71"/>
      <c r="F772" s="71"/>
      <c r="G772" s="71"/>
    </row>
    <row r="773" ht="12.75" customHeight="1">
      <c r="A773" s="71"/>
      <c r="B773" s="71"/>
      <c r="C773" s="71"/>
      <c r="D773" s="71"/>
      <c r="E773" s="71"/>
      <c r="F773" s="71"/>
      <c r="G773" s="71"/>
    </row>
    <row r="774" ht="12.75" customHeight="1">
      <c r="A774" s="71"/>
      <c r="B774" s="71"/>
      <c r="C774" s="71"/>
      <c r="D774" s="71"/>
      <c r="E774" s="71"/>
      <c r="F774" s="71"/>
      <c r="G774" s="71"/>
    </row>
    <row r="775" ht="12.75" customHeight="1">
      <c r="A775" s="71"/>
      <c r="B775" s="71"/>
      <c r="C775" s="71"/>
      <c r="D775" s="71"/>
      <c r="E775" s="71"/>
      <c r="F775" s="71"/>
      <c r="G775" s="71"/>
    </row>
    <row r="776" ht="12.75" customHeight="1">
      <c r="A776" s="71"/>
      <c r="B776" s="71"/>
      <c r="C776" s="71"/>
      <c r="D776" s="71"/>
      <c r="E776" s="71"/>
      <c r="F776" s="71"/>
      <c r="G776" s="71"/>
    </row>
    <row r="777" ht="12.75" customHeight="1">
      <c r="A777" s="71"/>
      <c r="B777" s="71"/>
      <c r="C777" s="71"/>
      <c r="D777" s="71"/>
      <c r="E777" s="71"/>
      <c r="F777" s="71"/>
      <c r="G777" s="71"/>
    </row>
    <row r="778" ht="12.75" customHeight="1">
      <c r="A778" s="71"/>
      <c r="B778" s="71"/>
      <c r="C778" s="71"/>
      <c r="D778" s="71"/>
      <c r="E778" s="71"/>
      <c r="F778" s="71"/>
      <c r="G778" s="71"/>
    </row>
    <row r="779" ht="12.75" customHeight="1">
      <c r="A779" s="71"/>
      <c r="B779" s="71"/>
      <c r="C779" s="71"/>
      <c r="D779" s="71"/>
      <c r="E779" s="71"/>
      <c r="F779" s="71"/>
      <c r="G779" s="71"/>
    </row>
    <row r="780" ht="12.75" customHeight="1">
      <c r="A780" s="71"/>
      <c r="B780" s="71"/>
      <c r="C780" s="71"/>
      <c r="D780" s="71"/>
      <c r="E780" s="71"/>
      <c r="F780" s="71"/>
      <c r="G780" s="71"/>
    </row>
    <row r="781" ht="12.75" customHeight="1">
      <c r="A781" s="71"/>
      <c r="B781" s="71"/>
      <c r="C781" s="71"/>
      <c r="D781" s="71"/>
      <c r="E781" s="71"/>
      <c r="F781" s="71"/>
      <c r="G781" s="71"/>
    </row>
    <row r="782" ht="12.75" customHeight="1">
      <c r="A782" s="71"/>
      <c r="B782" s="71"/>
      <c r="C782" s="71"/>
      <c r="D782" s="71"/>
      <c r="E782" s="71"/>
      <c r="F782" s="71"/>
      <c r="G782" s="71"/>
    </row>
    <row r="783" ht="12.75" customHeight="1">
      <c r="A783" s="71"/>
      <c r="B783" s="71"/>
      <c r="C783" s="71"/>
      <c r="D783" s="71"/>
      <c r="E783" s="71"/>
      <c r="F783" s="71"/>
      <c r="G783" s="71"/>
    </row>
    <row r="784" ht="12.75" customHeight="1">
      <c r="A784" s="71"/>
      <c r="B784" s="71"/>
      <c r="C784" s="71"/>
      <c r="D784" s="71"/>
      <c r="E784" s="71"/>
      <c r="F784" s="71"/>
      <c r="G784" s="71"/>
    </row>
    <row r="785" ht="12.75" customHeight="1">
      <c r="A785" s="71"/>
      <c r="B785" s="71"/>
      <c r="C785" s="71"/>
      <c r="D785" s="71"/>
      <c r="E785" s="71"/>
      <c r="F785" s="71"/>
      <c r="G785" s="71"/>
    </row>
    <row r="786" ht="12.75" customHeight="1">
      <c r="A786" s="71"/>
      <c r="B786" s="71"/>
      <c r="C786" s="71"/>
      <c r="D786" s="71"/>
      <c r="E786" s="71"/>
      <c r="F786" s="71"/>
      <c r="G786" s="71"/>
    </row>
    <row r="787" ht="12.75" customHeight="1">
      <c r="A787" s="71"/>
      <c r="B787" s="71"/>
      <c r="C787" s="71"/>
      <c r="D787" s="71"/>
      <c r="E787" s="71"/>
      <c r="F787" s="71"/>
      <c r="G787" s="71"/>
    </row>
    <row r="788" ht="12.75" customHeight="1">
      <c r="A788" s="71"/>
      <c r="B788" s="71"/>
      <c r="C788" s="71"/>
      <c r="D788" s="71"/>
      <c r="E788" s="71"/>
      <c r="F788" s="71"/>
      <c r="G788" s="71"/>
    </row>
    <row r="789" ht="12.75" customHeight="1">
      <c r="A789" s="71"/>
      <c r="B789" s="71"/>
      <c r="C789" s="71"/>
      <c r="D789" s="71"/>
      <c r="E789" s="71"/>
      <c r="F789" s="71"/>
      <c r="G789" s="71"/>
    </row>
    <row r="790" ht="12.75" customHeight="1">
      <c r="A790" s="71"/>
      <c r="B790" s="71"/>
      <c r="C790" s="71"/>
      <c r="D790" s="71"/>
      <c r="E790" s="71"/>
      <c r="F790" s="71"/>
      <c r="G790" s="71"/>
    </row>
    <row r="791" ht="12.75" customHeight="1">
      <c r="A791" s="71"/>
      <c r="B791" s="71"/>
      <c r="C791" s="71"/>
      <c r="D791" s="71"/>
      <c r="E791" s="71"/>
      <c r="F791" s="71"/>
      <c r="G791" s="71"/>
    </row>
    <row r="792" ht="12.75" customHeight="1">
      <c r="A792" s="71"/>
      <c r="B792" s="71"/>
      <c r="C792" s="71"/>
      <c r="D792" s="71"/>
      <c r="E792" s="71"/>
      <c r="F792" s="71"/>
      <c r="G792" s="71"/>
    </row>
    <row r="793" ht="12.75" customHeight="1">
      <c r="A793" s="71"/>
      <c r="B793" s="71"/>
      <c r="C793" s="71"/>
      <c r="D793" s="71"/>
      <c r="E793" s="71"/>
      <c r="F793" s="71"/>
      <c r="G793" s="71"/>
    </row>
    <row r="794" ht="12.75" customHeight="1">
      <c r="A794" s="71"/>
      <c r="B794" s="71"/>
      <c r="C794" s="71"/>
      <c r="D794" s="71"/>
      <c r="E794" s="71"/>
      <c r="F794" s="71"/>
      <c r="G794" s="71"/>
    </row>
    <row r="795" ht="12.75" customHeight="1">
      <c r="A795" s="71"/>
      <c r="B795" s="71"/>
      <c r="C795" s="71"/>
      <c r="D795" s="71"/>
      <c r="E795" s="71"/>
      <c r="F795" s="71"/>
      <c r="G795" s="71"/>
    </row>
    <row r="796" ht="12.75" customHeight="1">
      <c r="A796" s="71"/>
      <c r="B796" s="71"/>
      <c r="C796" s="71"/>
      <c r="D796" s="71"/>
      <c r="E796" s="71"/>
      <c r="F796" s="71"/>
      <c r="G796" s="71"/>
    </row>
    <row r="797" ht="12.75" customHeight="1">
      <c r="A797" s="71"/>
      <c r="B797" s="71"/>
      <c r="C797" s="71"/>
      <c r="D797" s="71"/>
      <c r="E797" s="71"/>
      <c r="F797" s="71"/>
      <c r="G797" s="71"/>
    </row>
    <row r="798" ht="12.75" customHeight="1">
      <c r="A798" s="71"/>
      <c r="B798" s="71"/>
      <c r="C798" s="71"/>
      <c r="D798" s="71"/>
      <c r="E798" s="71"/>
      <c r="F798" s="71"/>
      <c r="G798" s="71"/>
    </row>
    <row r="799" ht="12.75" customHeight="1">
      <c r="A799" s="71"/>
      <c r="B799" s="71"/>
      <c r="C799" s="71"/>
      <c r="D799" s="71"/>
      <c r="E799" s="71"/>
      <c r="F799" s="71"/>
      <c r="G799" s="71"/>
    </row>
    <row r="800" ht="12.75" customHeight="1">
      <c r="A800" s="71"/>
      <c r="B800" s="71"/>
      <c r="C800" s="71"/>
      <c r="D800" s="71"/>
      <c r="E800" s="71"/>
      <c r="F800" s="71"/>
      <c r="G800" s="71"/>
    </row>
    <row r="801" ht="12.75" customHeight="1">
      <c r="A801" s="71"/>
      <c r="B801" s="71"/>
      <c r="C801" s="71"/>
      <c r="D801" s="71"/>
      <c r="E801" s="71"/>
      <c r="F801" s="71"/>
      <c r="G801" s="71"/>
    </row>
    <row r="802" ht="12.75" customHeight="1">
      <c r="A802" s="71"/>
      <c r="B802" s="71"/>
      <c r="C802" s="71"/>
      <c r="D802" s="71"/>
      <c r="E802" s="71"/>
      <c r="F802" s="71"/>
      <c r="G802" s="71"/>
    </row>
    <row r="803" ht="12.75" customHeight="1">
      <c r="A803" s="71"/>
      <c r="B803" s="71"/>
      <c r="C803" s="71"/>
      <c r="D803" s="71"/>
      <c r="E803" s="71"/>
      <c r="F803" s="71"/>
      <c r="G803" s="71"/>
    </row>
    <row r="804" ht="12.75" customHeight="1">
      <c r="A804" s="71"/>
      <c r="B804" s="71"/>
      <c r="C804" s="71"/>
      <c r="D804" s="71"/>
      <c r="E804" s="71"/>
      <c r="F804" s="71"/>
      <c r="G804" s="71"/>
    </row>
    <row r="805" ht="12.75" customHeight="1">
      <c r="A805" s="71"/>
      <c r="B805" s="71"/>
      <c r="C805" s="71"/>
      <c r="D805" s="71"/>
      <c r="E805" s="71"/>
      <c r="F805" s="71"/>
      <c r="G805" s="71"/>
    </row>
    <row r="806" ht="12.75" customHeight="1">
      <c r="A806" s="71"/>
      <c r="B806" s="71"/>
      <c r="C806" s="71"/>
      <c r="D806" s="71"/>
      <c r="E806" s="71"/>
      <c r="F806" s="71"/>
      <c r="G806" s="71"/>
    </row>
    <row r="807" ht="12.75" customHeight="1">
      <c r="A807" s="71"/>
      <c r="B807" s="71"/>
      <c r="C807" s="71"/>
      <c r="D807" s="71"/>
      <c r="E807" s="71"/>
      <c r="F807" s="71"/>
      <c r="G807" s="71"/>
    </row>
    <row r="808" ht="12.75" customHeight="1">
      <c r="A808" s="71"/>
      <c r="B808" s="71"/>
      <c r="C808" s="71"/>
      <c r="D808" s="71"/>
      <c r="E808" s="71"/>
      <c r="F808" s="71"/>
      <c r="G808" s="71"/>
    </row>
    <row r="809" ht="12.75" customHeight="1">
      <c r="A809" s="71"/>
      <c r="B809" s="71"/>
      <c r="C809" s="71"/>
      <c r="D809" s="71"/>
      <c r="E809" s="71"/>
      <c r="F809" s="71"/>
      <c r="G809" s="71"/>
    </row>
    <row r="810" ht="12.75" customHeight="1">
      <c r="A810" s="71"/>
      <c r="B810" s="71"/>
      <c r="C810" s="71"/>
      <c r="D810" s="71"/>
      <c r="E810" s="71"/>
      <c r="F810" s="71"/>
      <c r="G810" s="71"/>
    </row>
    <row r="811" ht="12.75" customHeight="1">
      <c r="A811" s="71"/>
      <c r="B811" s="71"/>
      <c r="C811" s="71"/>
      <c r="D811" s="71"/>
      <c r="E811" s="71"/>
      <c r="F811" s="71"/>
      <c r="G811" s="71"/>
    </row>
    <row r="812" ht="12.75" customHeight="1">
      <c r="A812" s="71"/>
      <c r="B812" s="71"/>
      <c r="C812" s="71"/>
      <c r="D812" s="71"/>
      <c r="E812" s="71"/>
      <c r="F812" s="71"/>
      <c r="G812" s="71"/>
    </row>
    <row r="813" ht="12.75" customHeight="1">
      <c r="A813" s="71"/>
      <c r="B813" s="71"/>
      <c r="C813" s="71"/>
      <c r="D813" s="71"/>
      <c r="E813" s="71"/>
      <c r="F813" s="71"/>
      <c r="G813" s="71"/>
    </row>
    <row r="814" ht="12.75" customHeight="1">
      <c r="A814" s="71"/>
      <c r="B814" s="71"/>
      <c r="C814" s="71"/>
      <c r="D814" s="71"/>
      <c r="E814" s="71"/>
      <c r="F814" s="71"/>
      <c r="G814" s="71"/>
    </row>
    <row r="815" ht="12.75" customHeight="1">
      <c r="A815" s="71"/>
      <c r="B815" s="71"/>
      <c r="C815" s="71"/>
      <c r="D815" s="71"/>
      <c r="E815" s="71"/>
      <c r="F815" s="71"/>
      <c r="G815" s="71"/>
    </row>
    <row r="816" ht="12.75" customHeight="1">
      <c r="A816" s="71"/>
      <c r="B816" s="71"/>
      <c r="C816" s="71"/>
      <c r="D816" s="71"/>
      <c r="E816" s="71"/>
      <c r="F816" s="71"/>
      <c r="G816" s="71"/>
    </row>
    <row r="817" ht="12.75" customHeight="1">
      <c r="A817" s="71"/>
      <c r="B817" s="71"/>
      <c r="C817" s="71"/>
      <c r="D817" s="71"/>
      <c r="E817" s="71"/>
      <c r="F817" s="71"/>
      <c r="G817" s="71"/>
    </row>
    <row r="818" ht="12.75" customHeight="1">
      <c r="A818" s="71"/>
      <c r="B818" s="71"/>
      <c r="C818" s="71"/>
      <c r="D818" s="71"/>
      <c r="E818" s="71"/>
      <c r="F818" s="71"/>
      <c r="G818" s="71"/>
    </row>
    <row r="819" ht="12.75" customHeight="1">
      <c r="A819" s="71"/>
      <c r="B819" s="71"/>
      <c r="C819" s="71"/>
      <c r="D819" s="71"/>
      <c r="E819" s="71"/>
      <c r="F819" s="71"/>
      <c r="G819" s="71"/>
    </row>
    <row r="820" ht="12.75" customHeight="1">
      <c r="A820" s="71"/>
      <c r="B820" s="71"/>
      <c r="C820" s="71"/>
      <c r="D820" s="71"/>
      <c r="E820" s="71"/>
      <c r="F820" s="71"/>
      <c r="G820" s="71"/>
    </row>
    <row r="821" ht="12.75" customHeight="1">
      <c r="A821" s="71"/>
      <c r="B821" s="71"/>
      <c r="C821" s="71"/>
      <c r="D821" s="71"/>
      <c r="E821" s="71"/>
      <c r="F821" s="71"/>
      <c r="G821" s="71"/>
    </row>
    <row r="822" ht="12.75" customHeight="1">
      <c r="A822" s="71"/>
      <c r="B822" s="71"/>
      <c r="C822" s="71"/>
      <c r="D822" s="71"/>
      <c r="E822" s="71"/>
      <c r="F822" s="71"/>
      <c r="G822" s="71"/>
    </row>
    <row r="823" ht="12.75" customHeight="1">
      <c r="A823" s="71"/>
      <c r="B823" s="71"/>
      <c r="C823" s="71"/>
      <c r="D823" s="71"/>
      <c r="E823" s="71"/>
      <c r="F823" s="71"/>
      <c r="G823" s="71"/>
    </row>
    <row r="824" ht="12.75" customHeight="1">
      <c r="A824" s="71"/>
      <c r="B824" s="71"/>
      <c r="C824" s="71"/>
      <c r="D824" s="71"/>
      <c r="E824" s="71"/>
      <c r="F824" s="71"/>
      <c r="G824" s="71"/>
    </row>
    <row r="825" ht="12.75" customHeight="1">
      <c r="A825" s="71"/>
      <c r="B825" s="71"/>
      <c r="C825" s="71"/>
      <c r="D825" s="71"/>
      <c r="E825" s="71"/>
      <c r="F825" s="71"/>
      <c r="G825" s="71"/>
    </row>
    <row r="826" ht="12.75" customHeight="1">
      <c r="A826" s="71"/>
      <c r="B826" s="71"/>
      <c r="C826" s="71"/>
      <c r="D826" s="71"/>
      <c r="E826" s="71"/>
      <c r="F826" s="71"/>
      <c r="G826" s="71"/>
    </row>
    <row r="827" ht="12.75" customHeight="1">
      <c r="A827" s="71"/>
      <c r="B827" s="71"/>
      <c r="C827" s="71"/>
      <c r="D827" s="71"/>
      <c r="E827" s="71"/>
      <c r="F827" s="71"/>
      <c r="G827" s="71"/>
    </row>
    <row r="828" ht="12.75" customHeight="1">
      <c r="A828" s="71"/>
      <c r="B828" s="71"/>
      <c r="C828" s="71"/>
      <c r="D828" s="71"/>
      <c r="E828" s="71"/>
      <c r="F828" s="71"/>
      <c r="G828" s="71"/>
    </row>
    <row r="829" ht="12.75" customHeight="1">
      <c r="A829" s="71"/>
      <c r="B829" s="71"/>
      <c r="C829" s="71"/>
      <c r="D829" s="71"/>
      <c r="E829" s="71"/>
      <c r="F829" s="71"/>
      <c r="G829" s="71"/>
    </row>
    <row r="830" ht="12.75" customHeight="1">
      <c r="A830" s="71"/>
      <c r="B830" s="71"/>
      <c r="C830" s="71"/>
      <c r="D830" s="71"/>
      <c r="E830" s="71"/>
      <c r="F830" s="71"/>
      <c r="G830" s="71"/>
    </row>
    <row r="831" ht="12.75" customHeight="1">
      <c r="A831" s="71"/>
      <c r="B831" s="71"/>
      <c r="C831" s="71"/>
      <c r="D831" s="71"/>
      <c r="E831" s="71"/>
      <c r="F831" s="71"/>
      <c r="G831" s="71"/>
    </row>
    <row r="832" ht="12.75" customHeight="1">
      <c r="A832" s="71"/>
      <c r="B832" s="71"/>
      <c r="C832" s="71"/>
      <c r="D832" s="71"/>
      <c r="E832" s="71"/>
      <c r="F832" s="71"/>
      <c r="G832" s="71"/>
    </row>
    <row r="833" ht="12.75" customHeight="1">
      <c r="A833" s="71"/>
      <c r="B833" s="71"/>
      <c r="C833" s="71"/>
      <c r="D833" s="71"/>
      <c r="E833" s="71"/>
      <c r="F833" s="71"/>
      <c r="G833" s="71"/>
    </row>
    <row r="834" ht="12.75" customHeight="1">
      <c r="A834" s="71"/>
      <c r="B834" s="71"/>
      <c r="C834" s="71"/>
      <c r="D834" s="71"/>
      <c r="E834" s="71"/>
      <c r="F834" s="71"/>
      <c r="G834" s="71"/>
    </row>
    <row r="835" ht="12.75" customHeight="1">
      <c r="A835" s="71"/>
      <c r="B835" s="71"/>
      <c r="C835" s="71"/>
      <c r="D835" s="71"/>
      <c r="E835" s="71"/>
      <c r="F835" s="71"/>
      <c r="G835" s="71"/>
    </row>
    <row r="836" ht="12.75" customHeight="1">
      <c r="A836" s="71"/>
      <c r="B836" s="71"/>
      <c r="C836" s="71"/>
      <c r="D836" s="71"/>
      <c r="E836" s="71"/>
      <c r="F836" s="71"/>
      <c r="G836" s="71"/>
    </row>
    <row r="837" ht="12.75" customHeight="1">
      <c r="A837" s="71"/>
      <c r="B837" s="71"/>
      <c r="C837" s="71"/>
      <c r="D837" s="71"/>
      <c r="E837" s="71"/>
      <c r="F837" s="71"/>
      <c r="G837" s="71"/>
    </row>
    <row r="838" ht="12.75" customHeight="1">
      <c r="A838" s="71"/>
      <c r="B838" s="71"/>
      <c r="C838" s="71"/>
      <c r="D838" s="71"/>
      <c r="E838" s="71"/>
      <c r="F838" s="71"/>
      <c r="G838" s="71"/>
    </row>
    <row r="839" ht="12.75" customHeight="1">
      <c r="A839" s="71"/>
      <c r="B839" s="71"/>
      <c r="C839" s="71"/>
      <c r="D839" s="71"/>
      <c r="E839" s="71"/>
      <c r="F839" s="71"/>
      <c r="G839" s="71"/>
    </row>
    <row r="840" ht="12.75" customHeight="1">
      <c r="A840" s="71"/>
      <c r="B840" s="71"/>
      <c r="C840" s="71"/>
      <c r="D840" s="71"/>
      <c r="E840" s="71"/>
      <c r="F840" s="71"/>
      <c r="G840" s="71"/>
    </row>
    <row r="841" ht="12.75" customHeight="1">
      <c r="A841" s="71"/>
      <c r="B841" s="71"/>
      <c r="C841" s="71"/>
      <c r="D841" s="71"/>
      <c r="E841" s="71"/>
      <c r="F841" s="71"/>
      <c r="G841" s="71"/>
    </row>
    <row r="842" ht="12.75" customHeight="1">
      <c r="A842" s="71"/>
      <c r="B842" s="71"/>
      <c r="C842" s="71"/>
      <c r="D842" s="71"/>
      <c r="E842" s="71"/>
      <c r="F842" s="71"/>
      <c r="G842" s="71"/>
    </row>
    <row r="843" ht="12.75" customHeight="1">
      <c r="A843" s="71"/>
      <c r="B843" s="71"/>
      <c r="C843" s="71"/>
      <c r="D843" s="71"/>
      <c r="E843" s="71"/>
      <c r="F843" s="71"/>
      <c r="G843" s="71"/>
    </row>
    <row r="844" ht="12.75" customHeight="1">
      <c r="A844" s="71"/>
      <c r="B844" s="71"/>
      <c r="C844" s="71"/>
      <c r="D844" s="71"/>
      <c r="E844" s="71"/>
      <c r="F844" s="71"/>
      <c r="G844" s="71"/>
    </row>
    <row r="845" ht="12.75" customHeight="1">
      <c r="A845" s="71"/>
      <c r="B845" s="71"/>
      <c r="C845" s="71"/>
      <c r="D845" s="71"/>
      <c r="E845" s="71"/>
      <c r="F845" s="71"/>
      <c r="G845" s="71"/>
    </row>
    <row r="846" ht="12.75" customHeight="1">
      <c r="A846" s="71"/>
      <c r="B846" s="71"/>
      <c r="C846" s="71"/>
      <c r="D846" s="71"/>
      <c r="E846" s="71"/>
      <c r="F846" s="71"/>
      <c r="G846" s="71"/>
    </row>
    <row r="847" ht="12.75" customHeight="1">
      <c r="A847" s="71"/>
      <c r="B847" s="71"/>
      <c r="C847" s="71"/>
      <c r="D847" s="71"/>
      <c r="E847" s="71"/>
      <c r="F847" s="71"/>
      <c r="G847" s="71"/>
    </row>
    <row r="848" ht="12.75" customHeight="1">
      <c r="A848" s="71"/>
      <c r="B848" s="71"/>
      <c r="C848" s="71"/>
      <c r="D848" s="71"/>
      <c r="E848" s="71"/>
      <c r="F848" s="71"/>
      <c r="G848" s="71"/>
    </row>
    <row r="849" ht="12.75" customHeight="1">
      <c r="A849" s="71"/>
      <c r="B849" s="71"/>
      <c r="C849" s="71"/>
      <c r="D849" s="71"/>
      <c r="E849" s="71"/>
      <c r="F849" s="71"/>
      <c r="G849" s="71"/>
    </row>
    <row r="850" ht="12.75" customHeight="1">
      <c r="A850" s="71"/>
      <c r="B850" s="71"/>
      <c r="C850" s="71"/>
      <c r="D850" s="71"/>
      <c r="E850" s="71"/>
      <c r="F850" s="71"/>
      <c r="G850" s="71"/>
    </row>
    <row r="851" ht="12.75" customHeight="1">
      <c r="A851" s="71"/>
      <c r="B851" s="71"/>
      <c r="C851" s="71"/>
      <c r="D851" s="71"/>
      <c r="E851" s="71"/>
      <c r="F851" s="71"/>
      <c r="G851" s="71"/>
    </row>
    <row r="852" ht="12.75" customHeight="1">
      <c r="A852" s="71"/>
      <c r="B852" s="71"/>
      <c r="C852" s="71"/>
      <c r="D852" s="71"/>
      <c r="E852" s="71"/>
      <c r="F852" s="71"/>
      <c r="G852" s="71"/>
    </row>
    <row r="853" ht="12.75" customHeight="1">
      <c r="A853" s="71"/>
      <c r="B853" s="71"/>
      <c r="C853" s="71"/>
      <c r="D853" s="71"/>
      <c r="E853" s="71"/>
      <c r="F853" s="71"/>
      <c r="G853" s="71"/>
    </row>
    <row r="854" ht="12.75" customHeight="1">
      <c r="A854" s="71"/>
      <c r="B854" s="71"/>
      <c r="C854" s="71"/>
      <c r="D854" s="71"/>
      <c r="E854" s="71"/>
      <c r="F854" s="71"/>
      <c r="G854" s="71"/>
    </row>
    <row r="855" ht="12.75" customHeight="1">
      <c r="A855" s="71"/>
      <c r="B855" s="71"/>
      <c r="C855" s="71"/>
      <c r="D855" s="71"/>
      <c r="E855" s="71"/>
      <c r="F855" s="71"/>
      <c r="G855" s="71"/>
    </row>
    <row r="856" ht="12.75" customHeight="1">
      <c r="A856" s="71"/>
      <c r="B856" s="71"/>
      <c r="C856" s="71"/>
      <c r="D856" s="71"/>
      <c r="E856" s="71"/>
      <c r="F856" s="71"/>
      <c r="G856" s="71"/>
    </row>
    <row r="857" ht="12.75" customHeight="1">
      <c r="A857" s="71"/>
      <c r="B857" s="71"/>
      <c r="C857" s="71"/>
      <c r="D857" s="71"/>
      <c r="E857" s="71"/>
      <c r="F857" s="71"/>
      <c r="G857" s="71"/>
    </row>
    <row r="858" ht="12.75" customHeight="1">
      <c r="A858" s="71"/>
      <c r="B858" s="71"/>
      <c r="C858" s="71"/>
      <c r="D858" s="71"/>
      <c r="E858" s="71"/>
      <c r="F858" s="71"/>
      <c r="G858" s="71"/>
    </row>
    <row r="859" ht="12.75" customHeight="1">
      <c r="A859" s="71"/>
      <c r="B859" s="71"/>
      <c r="C859" s="71"/>
      <c r="D859" s="71"/>
      <c r="E859" s="71"/>
      <c r="F859" s="71"/>
      <c r="G859" s="71"/>
    </row>
    <row r="860" ht="12.75" customHeight="1">
      <c r="A860" s="71"/>
      <c r="B860" s="71"/>
      <c r="C860" s="71"/>
      <c r="D860" s="71"/>
      <c r="E860" s="71"/>
      <c r="F860" s="71"/>
      <c r="G860" s="71"/>
    </row>
    <row r="861" ht="12.75" customHeight="1">
      <c r="A861" s="71"/>
      <c r="B861" s="71"/>
      <c r="C861" s="71"/>
      <c r="D861" s="71"/>
      <c r="E861" s="71"/>
      <c r="F861" s="71"/>
      <c r="G861" s="71"/>
    </row>
    <row r="862" ht="12.75" customHeight="1">
      <c r="A862" s="71"/>
      <c r="B862" s="71"/>
      <c r="C862" s="71"/>
      <c r="D862" s="71"/>
      <c r="E862" s="71"/>
      <c r="F862" s="71"/>
      <c r="G862" s="71"/>
    </row>
    <row r="863" ht="12.75" customHeight="1">
      <c r="A863" s="71"/>
      <c r="B863" s="71"/>
      <c r="C863" s="71"/>
      <c r="D863" s="71"/>
      <c r="E863" s="71"/>
      <c r="F863" s="71"/>
      <c r="G863" s="71"/>
    </row>
    <row r="864" ht="12.75" customHeight="1">
      <c r="A864" s="71"/>
      <c r="B864" s="71"/>
      <c r="C864" s="71"/>
      <c r="D864" s="71"/>
      <c r="E864" s="71"/>
      <c r="F864" s="71"/>
      <c r="G864" s="71"/>
    </row>
    <row r="865" ht="12.75" customHeight="1">
      <c r="A865" s="71"/>
      <c r="B865" s="71"/>
      <c r="C865" s="71"/>
      <c r="D865" s="71"/>
      <c r="E865" s="71"/>
      <c r="F865" s="71"/>
      <c r="G865" s="71"/>
    </row>
    <row r="866" ht="12.75" customHeight="1">
      <c r="A866" s="71"/>
      <c r="B866" s="71"/>
      <c r="C866" s="71"/>
      <c r="D866" s="71"/>
      <c r="E866" s="71"/>
      <c r="F866" s="71"/>
      <c r="G866" s="71"/>
    </row>
    <row r="867" ht="12.75" customHeight="1">
      <c r="A867" s="71"/>
      <c r="B867" s="71"/>
      <c r="C867" s="71"/>
      <c r="D867" s="71"/>
      <c r="E867" s="71"/>
      <c r="F867" s="71"/>
      <c r="G867" s="71"/>
    </row>
    <row r="868" ht="12.75" customHeight="1">
      <c r="A868" s="71"/>
      <c r="B868" s="71"/>
      <c r="C868" s="71"/>
      <c r="D868" s="71"/>
      <c r="E868" s="71"/>
      <c r="F868" s="71"/>
      <c r="G868" s="71"/>
    </row>
    <row r="869" ht="12.75" customHeight="1">
      <c r="A869" s="71"/>
      <c r="B869" s="71"/>
      <c r="C869" s="71"/>
      <c r="D869" s="71"/>
      <c r="E869" s="71"/>
      <c r="F869" s="71"/>
      <c r="G869" s="71"/>
    </row>
    <row r="870" ht="12.75" customHeight="1">
      <c r="A870" s="71"/>
      <c r="B870" s="71"/>
      <c r="C870" s="71"/>
      <c r="D870" s="71"/>
      <c r="E870" s="71"/>
      <c r="F870" s="71"/>
      <c r="G870" s="71"/>
    </row>
    <row r="871" ht="12.75" customHeight="1">
      <c r="A871" s="71"/>
      <c r="B871" s="71"/>
      <c r="C871" s="71"/>
      <c r="D871" s="71"/>
      <c r="E871" s="71"/>
      <c r="F871" s="71"/>
      <c r="G871" s="71"/>
    </row>
    <row r="872" ht="12.75" customHeight="1">
      <c r="A872" s="71"/>
      <c r="B872" s="71"/>
      <c r="C872" s="71"/>
      <c r="D872" s="71"/>
      <c r="E872" s="71"/>
      <c r="F872" s="71"/>
      <c r="G872" s="71"/>
    </row>
    <row r="873" ht="12.75" customHeight="1">
      <c r="A873" s="71"/>
      <c r="B873" s="71"/>
      <c r="C873" s="71"/>
      <c r="D873" s="71"/>
      <c r="E873" s="71"/>
      <c r="F873" s="71"/>
      <c r="G873" s="71"/>
    </row>
    <row r="874" ht="12.75" customHeight="1">
      <c r="A874" s="71"/>
      <c r="B874" s="71"/>
      <c r="C874" s="71"/>
      <c r="D874" s="71"/>
      <c r="E874" s="71"/>
      <c r="F874" s="71"/>
      <c r="G874" s="71"/>
    </row>
    <row r="875" ht="12.75" customHeight="1">
      <c r="A875" s="71"/>
      <c r="B875" s="71"/>
      <c r="C875" s="71"/>
      <c r="D875" s="71"/>
      <c r="E875" s="71"/>
      <c r="F875" s="71"/>
      <c r="G875" s="71"/>
    </row>
    <row r="876" ht="12.75" customHeight="1">
      <c r="A876" s="71"/>
      <c r="B876" s="71"/>
      <c r="C876" s="71"/>
      <c r="D876" s="71"/>
      <c r="E876" s="71"/>
      <c r="F876" s="71"/>
      <c r="G876" s="71"/>
    </row>
    <row r="877" ht="12.75" customHeight="1">
      <c r="A877" s="71"/>
      <c r="B877" s="71"/>
      <c r="C877" s="71"/>
      <c r="D877" s="71"/>
      <c r="E877" s="71"/>
      <c r="F877" s="71"/>
      <c r="G877" s="71"/>
    </row>
    <row r="878" ht="12.75" customHeight="1">
      <c r="A878" s="71"/>
      <c r="B878" s="71"/>
      <c r="C878" s="71"/>
      <c r="D878" s="71"/>
      <c r="E878" s="71"/>
      <c r="F878" s="71"/>
      <c r="G878" s="71"/>
    </row>
    <row r="879" ht="12.75" customHeight="1">
      <c r="A879" s="71"/>
      <c r="B879" s="71"/>
      <c r="C879" s="71"/>
      <c r="D879" s="71"/>
      <c r="E879" s="71"/>
      <c r="F879" s="71"/>
      <c r="G879" s="71"/>
    </row>
    <row r="880" ht="12.75" customHeight="1">
      <c r="A880" s="71"/>
      <c r="B880" s="71"/>
      <c r="C880" s="71"/>
      <c r="D880" s="71"/>
      <c r="E880" s="71"/>
      <c r="F880" s="71"/>
      <c r="G880" s="71"/>
    </row>
    <row r="881" ht="12.75" customHeight="1">
      <c r="A881" s="71"/>
      <c r="B881" s="71"/>
      <c r="C881" s="71"/>
      <c r="D881" s="71"/>
      <c r="E881" s="71"/>
      <c r="F881" s="71"/>
      <c r="G881" s="71"/>
    </row>
    <row r="882" ht="12.75" customHeight="1">
      <c r="A882" s="71"/>
      <c r="B882" s="71"/>
      <c r="C882" s="71"/>
      <c r="D882" s="71"/>
      <c r="E882" s="71"/>
      <c r="F882" s="71"/>
      <c r="G882" s="71"/>
    </row>
    <row r="883" ht="12.75" customHeight="1">
      <c r="A883" s="71"/>
      <c r="B883" s="71"/>
      <c r="C883" s="71"/>
      <c r="D883" s="71"/>
      <c r="E883" s="71"/>
      <c r="F883" s="71"/>
      <c r="G883" s="71"/>
    </row>
    <row r="884" ht="12.75" customHeight="1">
      <c r="A884" s="71"/>
      <c r="B884" s="71"/>
      <c r="C884" s="71"/>
      <c r="D884" s="71"/>
      <c r="E884" s="71"/>
      <c r="F884" s="71"/>
      <c r="G884" s="71"/>
    </row>
    <row r="885" ht="12.75" customHeight="1">
      <c r="A885" s="71"/>
      <c r="B885" s="71"/>
      <c r="C885" s="71"/>
      <c r="D885" s="71"/>
      <c r="E885" s="71"/>
      <c r="F885" s="71"/>
      <c r="G885" s="71"/>
    </row>
    <row r="886" ht="12.75" customHeight="1">
      <c r="A886" s="71"/>
      <c r="B886" s="71"/>
      <c r="C886" s="71"/>
      <c r="D886" s="71"/>
      <c r="E886" s="71"/>
      <c r="F886" s="71"/>
      <c r="G886" s="71"/>
    </row>
    <row r="887" ht="12.75" customHeight="1">
      <c r="A887" s="71"/>
      <c r="B887" s="71"/>
      <c r="C887" s="71"/>
      <c r="D887" s="71"/>
      <c r="E887" s="71"/>
      <c r="F887" s="71"/>
      <c r="G887" s="71"/>
    </row>
    <row r="888" ht="12.75" customHeight="1">
      <c r="A888" s="71"/>
      <c r="B888" s="71"/>
      <c r="C888" s="71"/>
      <c r="D888" s="71"/>
      <c r="E888" s="71"/>
      <c r="F888" s="71"/>
      <c r="G888" s="71"/>
    </row>
    <row r="889" ht="12.75" customHeight="1">
      <c r="A889" s="71"/>
      <c r="B889" s="71"/>
      <c r="C889" s="71"/>
      <c r="D889" s="71"/>
      <c r="E889" s="71"/>
      <c r="F889" s="71"/>
      <c r="G889" s="71"/>
    </row>
    <row r="890" ht="12.75" customHeight="1">
      <c r="A890" s="71"/>
      <c r="B890" s="71"/>
      <c r="C890" s="71"/>
      <c r="D890" s="71"/>
      <c r="E890" s="71"/>
      <c r="F890" s="71"/>
      <c r="G890" s="71"/>
    </row>
    <row r="891" ht="12.75" customHeight="1">
      <c r="A891" s="71"/>
      <c r="B891" s="71"/>
      <c r="C891" s="71"/>
      <c r="D891" s="71"/>
      <c r="E891" s="71"/>
      <c r="F891" s="71"/>
      <c r="G891" s="71"/>
    </row>
    <row r="892" ht="12.75" customHeight="1">
      <c r="A892" s="71"/>
      <c r="B892" s="71"/>
      <c r="C892" s="71"/>
      <c r="D892" s="71"/>
      <c r="E892" s="71"/>
      <c r="F892" s="71"/>
      <c r="G892" s="71"/>
    </row>
    <row r="893" ht="12.75" customHeight="1">
      <c r="A893" s="71"/>
      <c r="B893" s="71"/>
      <c r="C893" s="71"/>
      <c r="D893" s="71"/>
      <c r="E893" s="71"/>
      <c r="F893" s="71"/>
      <c r="G893" s="71"/>
    </row>
    <row r="894" ht="12.75" customHeight="1">
      <c r="A894" s="71"/>
      <c r="B894" s="71"/>
      <c r="C894" s="71"/>
      <c r="D894" s="71"/>
      <c r="E894" s="71"/>
      <c r="F894" s="71"/>
      <c r="G894" s="71"/>
    </row>
    <row r="895" ht="12.75" customHeight="1">
      <c r="A895" s="71"/>
      <c r="B895" s="71"/>
      <c r="C895" s="71"/>
      <c r="D895" s="71"/>
      <c r="E895" s="71"/>
      <c r="F895" s="71"/>
      <c r="G895" s="71"/>
    </row>
    <row r="896" ht="12.75" customHeight="1">
      <c r="A896" s="71"/>
      <c r="B896" s="71"/>
      <c r="C896" s="71"/>
      <c r="D896" s="71"/>
      <c r="E896" s="71"/>
      <c r="F896" s="71"/>
      <c r="G896" s="71"/>
    </row>
    <row r="897" ht="12.75" customHeight="1">
      <c r="A897" s="71"/>
      <c r="B897" s="71"/>
      <c r="C897" s="71"/>
      <c r="D897" s="71"/>
      <c r="E897" s="71"/>
      <c r="F897" s="71"/>
      <c r="G897" s="71"/>
    </row>
    <row r="898" ht="12.75" customHeight="1">
      <c r="A898" s="71"/>
      <c r="B898" s="71"/>
      <c r="C898" s="71"/>
      <c r="D898" s="71"/>
      <c r="E898" s="71"/>
      <c r="F898" s="71"/>
      <c r="G898" s="71"/>
    </row>
    <row r="899" ht="12.75" customHeight="1">
      <c r="A899" s="71"/>
      <c r="B899" s="71"/>
      <c r="C899" s="71"/>
      <c r="D899" s="71"/>
      <c r="E899" s="71"/>
      <c r="F899" s="71"/>
      <c r="G899" s="71"/>
    </row>
    <row r="900" ht="12.75" customHeight="1">
      <c r="A900" s="71"/>
      <c r="B900" s="71"/>
      <c r="C900" s="71"/>
      <c r="D900" s="71"/>
      <c r="E900" s="71"/>
      <c r="F900" s="71"/>
      <c r="G900" s="71"/>
    </row>
    <row r="901" ht="12.75" customHeight="1">
      <c r="A901" s="71"/>
      <c r="B901" s="71"/>
      <c r="C901" s="71"/>
      <c r="D901" s="71"/>
      <c r="E901" s="71"/>
      <c r="F901" s="71"/>
      <c r="G901" s="71"/>
    </row>
    <row r="902" ht="12.75" customHeight="1">
      <c r="A902" s="71"/>
      <c r="B902" s="71"/>
      <c r="C902" s="71"/>
      <c r="D902" s="71"/>
      <c r="E902" s="71"/>
      <c r="F902" s="71"/>
      <c r="G902" s="71"/>
    </row>
    <row r="903" ht="12.75" customHeight="1">
      <c r="A903" s="71"/>
      <c r="B903" s="71"/>
      <c r="C903" s="71"/>
      <c r="D903" s="71"/>
      <c r="E903" s="71"/>
      <c r="F903" s="71"/>
      <c r="G903" s="71"/>
    </row>
    <row r="904" ht="12.75" customHeight="1">
      <c r="A904" s="71"/>
      <c r="B904" s="71"/>
      <c r="C904" s="71"/>
      <c r="D904" s="71"/>
      <c r="E904" s="71"/>
      <c r="F904" s="71"/>
      <c r="G904" s="71"/>
    </row>
    <row r="905" ht="12.75" customHeight="1">
      <c r="A905" s="71"/>
      <c r="B905" s="71"/>
      <c r="C905" s="71"/>
      <c r="D905" s="71"/>
      <c r="E905" s="71"/>
      <c r="F905" s="71"/>
      <c r="G905" s="71"/>
    </row>
    <row r="906" ht="12.75" customHeight="1">
      <c r="A906" s="71"/>
      <c r="B906" s="71"/>
      <c r="C906" s="71"/>
      <c r="D906" s="71"/>
      <c r="E906" s="71"/>
      <c r="F906" s="71"/>
      <c r="G906" s="71"/>
    </row>
    <row r="907" ht="12.75" customHeight="1">
      <c r="A907" s="71"/>
      <c r="B907" s="71"/>
      <c r="C907" s="71"/>
      <c r="D907" s="71"/>
      <c r="E907" s="71"/>
      <c r="F907" s="71"/>
      <c r="G907" s="71"/>
    </row>
    <row r="908" ht="12.75" customHeight="1">
      <c r="A908" s="71"/>
      <c r="B908" s="71"/>
      <c r="C908" s="71"/>
      <c r="D908" s="71"/>
      <c r="E908" s="71"/>
      <c r="F908" s="71"/>
      <c r="G908" s="71"/>
    </row>
    <row r="909" ht="12.75" customHeight="1">
      <c r="A909" s="71"/>
      <c r="B909" s="71"/>
      <c r="C909" s="71"/>
      <c r="D909" s="71"/>
      <c r="E909" s="71"/>
      <c r="F909" s="71"/>
      <c r="G909" s="71"/>
    </row>
    <row r="910" ht="12.75" customHeight="1">
      <c r="A910" s="71"/>
      <c r="B910" s="71"/>
      <c r="C910" s="71"/>
      <c r="D910" s="71"/>
      <c r="E910" s="71"/>
      <c r="F910" s="71"/>
      <c r="G910" s="71"/>
    </row>
    <row r="911" ht="12.75" customHeight="1">
      <c r="A911" s="71"/>
      <c r="B911" s="71"/>
      <c r="C911" s="71"/>
      <c r="D911" s="71"/>
      <c r="E911" s="71"/>
      <c r="F911" s="71"/>
      <c r="G911" s="71"/>
    </row>
    <row r="912" ht="12.75" customHeight="1">
      <c r="A912" s="71"/>
      <c r="B912" s="71"/>
      <c r="C912" s="71"/>
      <c r="D912" s="71"/>
      <c r="E912" s="71"/>
      <c r="F912" s="71"/>
      <c r="G912" s="71"/>
    </row>
    <row r="913" ht="12.75" customHeight="1">
      <c r="A913" s="71"/>
      <c r="B913" s="71"/>
      <c r="C913" s="71"/>
      <c r="D913" s="71"/>
      <c r="E913" s="71"/>
      <c r="F913" s="71"/>
      <c r="G913" s="71"/>
    </row>
    <row r="914" ht="12.75" customHeight="1">
      <c r="A914" s="71"/>
      <c r="B914" s="71"/>
      <c r="C914" s="71"/>
      <c r="D914" s="71"/>
      <c r="E914" s="71"/>
      <c r="F914" s="71"/>
      <c r="G914" s="71"/>
    </row>
    <row r="915" ht="12.75" customHeight="1">
      <c r="A915" s="71"/>
      <c r="B915" s="71"/>
      <c r="C915" s="71"/>
      <c r="D915" s="71"/>
      <c r="E915" s="71"/>
      <c r="F915" s="71"/>
      <c r="G915" s="71"/>
    </row>
    <row r="916" ht="12.75" customHeight="1">
      <c r="A916" s="71"/>
      <c r="B916" s="71"/>
      <c r="C916" s="71"/>
      <c r="D916" s="71"/>
      <c r="E916" s="71"/>
      <c r="F916" s="71"/>
      <c r="G916" s="71"/>
    </row>
    <row r="917" ht="12.75" customHeight="1">
      <c r="A917" s="71"/>
      <c r="B917" s="71"/>
      <c r="C917" s="71"/>
      <c r="D917" s="71"/>
      <c r="E917" s="71"/>
      <c r="F917" s="71"/>
      <c r="G917" s="71"/>
    </row>
    <row r="918" ht="12.75" customHeight="1">
      <c r="A918" s="71"/>
      <c r="B918" s="71"/>
      <c r="C918" s="71"/>
      <c r="D918" s="71"/>
      <c r="E918" s="71"/>
      <c r="F918" s="71"/>
      <c r="G918" s="71"/>
    </row>
    <row r="919" ht="12.75" customHeight="1">
      <c r="A919" s="71"/>
      <c r="B919" s="71"/>
      <c r="C919" s="71"/>
      <c r="D919" s="71"/>
      <c r="E919" s="71"/>
      <c r="F919" s="71"/>
      <c r="G919" s="71"/>
    </row>
    <row r="920" ht="12.75" customHeight="1">
      <c r="A920" s="71"/>
      <c r="B920" s="71"/>
      <c r="C920" s="71"/>
      <c r="D920" s="71"/>
      <c r="E920" s="71"/>
      <c r="F920" s="71"/>
      <c r="G920" s="71"/>
    </row>
    <row r="921" ht="12.75" customHeight="1">
      <c r="A921" s="71"/>
      <c r="B921" s="71"/>
      <c r="C921" s="71"/>
      <c r="D921" s="71"/>
      <c r="E921" s="71"/>
      <c r="F921" s="71"/>
      <c r="G921" s="71"/>
    </row>
    <row r="922" ht="12.75" customHeight="1">
      <c r="A922" s="71"/>
      <c r="B922" s="71"/>
      <c r="C922" s="71"/>
      <c r="D922" s="71"/>
      <c r="E922" s="71"/>
      <c r="F922" s="71"/>
      <c r="G922" s="71"/>
    </row>
    <row r="923" ht="12.75" customHeight="1">
      <c r="A923" s="71"/>
      <c r="B923" s="71"/>
      <c r="C923" s="71"/>
      <c r="D923" s="71"/>
      <c r="E923" s="71"/>
      <c r="F923" s="71"/>
      <c r="G923" s="71"/>
    </row>
    <row r="924" ht="12.75" customHeight="1">
      <c r="A924" s="71"/>
      <c r="B924" s="71"/>
      <c r="C924" s="71"/>
      <c r="D924" s="71"/>
      <c r="E924" s="71"/>
      <c r="F924" s="71"/>
      <c r="G924" s="71"/>
    </row>
    <row r="925" ht="12.75" customHeight="1">
      <c r="A925" s="71"/>
      <c r="B925" s="71"/>
      <c r="C925" s="71"/>
      <c r="D925" s="71"/>
      <c r="E925" s="71"/>
      <c r="F925" s="71"/>
      <c r="G925" s="71"/>
    </row>
    <row r="926" ht="12.75" customHeight="1">
      <c r="A926" s="71"/>
      <c r="B926" s="71"/>
      <c r="C926" s="71"/>
      <c r="D926" s="71"/>
      <c r="E926" s="71"/>
      <c r="F926" s="71"/>
      <c r="G926" s="71"/>
    </row>
    <row r="927" ht="12.75" customHeight="1">
      <c r="A927" s="71"/>
      <c r="B927" s="71"/>
      <c r="C927" s="71"/>
      <c r="D927" s="71"/>
      <c r="E927" s="71"/>
      <c r="F927" s="71"/>
      <c r="G927" s="71"/>
    </row>
    <row r="928" ht="12.75" customHeight="1">
      <c r="A928" s="71"/>
      <c r="B928" s="71"/>
      <c r="C928" s="71"/>
      <c r="D928" s="71"/>
      <c r="E928" s="71"/>
      <c r="F928" s="71"/>
      <c r="G928" s="71"/>
    </row>
    <row r="929" ht="12.75" customHeight="1">
      <c r="A929" s="71"/>
      <c r="B929" s="71"/>
      <c r="C929" s="71"/>
      <c r="D929" s="71"/>
      <c r="E929" s="71"/>
      <c r="F929" s="71"/>
      <c r="G929" s="71"/>
    </row>
    <row r="930" ht="12.75" customHeight="1">
      <c r="A930" s="71"/>
      <c r="B930" s="71"/>
      <c r="C930" s="71"/>
      <c r="D930" s="71"/>
      <c r="E930" s="71"/>
      <c r="F930" s="71"/>
      <c r="G930" s="71"/>
    </row>
    <row r="931" ht="12.75" customHeight="1">
      <c r="A931" s="71"/>
      <c r="B931" s="71"/>
      <c r="C931" s="71"/>
      <c r="D931" s="71"/>
      <c r="E931" s="71"/>
      <c r="F931" s="71"/>
      <c r="G931" s="71"/>
    </row>
    <row r="932" ht="12.75" customHeight="1">
      <c r="A932" s="71"/>
      <c r="B932" s="71"/>
      <c r="C932" s="71"/>
      <c r="D932" s="71"/>
      <c r="E932" s="71"/>
      <c r="F932" s="71"/>
      <c r="G932" s="71"/>
    </row>
    <row r="933" ht="12.75" customHeight="1">
      <c r="A933" s="71"/>
      <c r="B933" s="71"/>
      <c r="C933" s="71"/>
      <c r="D933" s="71"/>
      <c r="E933" s="71"/>
      <c r="F933" s="71"/>
      <c r="G933" s="71"/>
    </row>
    <row r="934" ht="12.75" customHeight="1">
      <c r="A934" s="71"/>
      <c r="B934" s="71"/>
      <c r="C934" s="71"/>
      <c r="D934" s="71"/>
      <c r="E934" s="71"/>
      <c r="F934" s="71"/>
      <c r="G934" s="71"/>
    </row>
    <row r="935" ht="12.75" customHeight="1">
      <c r="A935" s="71"/>
      <c r="B935" s="71"/>
      <c r="C935" s="71"/>
      <c r="D935" s="71"/>
      <c r="E935" s="71"/>
      <c r="F935" s="71"/>
      <c r="G935" s="71"/>
    </row>
    <row r="936" ht="12.75" customHeight="1">
      <c r="A936" s="71"/>
      <c r="B936" s="71"/>
      <c r="C936" s="71"/>
      <c r="D936" s="71"/>
      <c r="E936" s="71"/>
      <c r="F936" s="71"/>
      <c r="G936" s="71"/>
    </row>
    <row r="937" ht="12.75" customHeight="1">
      <c r="A937" s="71"/>
      <c r="B937" s="71"/>
      <c r="C937" s="71"/>
      <c r="D937" s="71"/>
      <c r="E937" s="71"/>
      <c r="F937" s="71"/>
      <c r="G937" s="71"/>
    </row>
    <row r="938" ht="12.75" customHeight="1">
      <c r="A938" s="71"/>
      <c r="B938" s="71"/>
      <c r="C938" s="71"/>
      <c r="D938" s="71"/>
      <c r="E938" s="71"/>
      <c r="F938" s="71"/>
      <c r="G938" s="71"/>
    </row>
    <row r="939" ht="12.75" customHeight="1">
      <c r="A939" s="71"/>
      <c r="B939" s="71"/>
      <c r="C939" s="71"/>
      <c r="D939" s="71"/>
      <c r="E939" s="71"/>
      <c r="F939" s="71"/>
      <c r="G939" s="71"/>
    </row>
    <row r="940" ht="12.75" customHeight="1">
      <c r="A940" s="71"/>
      <c r="B940" s="71"/>
      <c r="C940" s="71"/>
      <c r="D940" s="71"/>
      <c r="E940" s="71"/>
      <c r="F940" s="71"/>
      <c r="G940" s="71"/>
    </row>
    <row r="941" ht="12.75" customHeight="1">
      <c r="A941" s="71"/>
      <c r="B941" s="71"/>
      <c r="C941" s="71"/>
      <c r="D941" s="71"/>
      <c r="E941" s="71"/>
      <c r="F941" s="71"/>
      <c r="G941" s="71"/>
    </row>
    <row r="942" ht="12.75" customHeight="1">
      <c r="A942" s="71"/>
      <c r="B942" s="71"/>
      <c r="C942" s="71"/>
      <c r="D942" s="71"/>
      <c r="E942" s="71"/>
      <c r="F942" s="71"/>
      <c r="G942" s="71"/>
    </row>
    <row r="943" ht="12.75" customHeight="1">
      <c r="A943" s="71"/>
      <c r="B943" s="71"/>
      <c r="C943" s="71"/>
      <c r="D943" s="71"/>
      <c r="E943" s="71"/>
      <c r="F943" s="71"/>
      <c r="G943" s="71"/>
    </row>
    <row r="944" ht="12.75" customHeight="1">
      <c r="A944" s="71"/>
      <c r="B944" s="71"/>
      <c r="C944" s="71"/>
      <c r="D944" s="71"/>
      <c r="E944" s="71"/>
      <c r="F944" s="71"/>
      <c r="G944" s="71"/>
    </row>
    <row r="945" ht="12.75" customHeight="1">
      <c r="A945" s="71"/>
      <c r="B945" s="71"/>
      <c r="C945" s="71"/>
      <c r="D945" s="71"/>
      <c r="E945" s="71"/>
      <c r="F945" s="71"/>
      <c r="G945" s="71"/>
    </row>
    <row r="946" ht="12.75" customHeight="1">
      <c r="A946" s="71"/>
      <c r="B946" s="71"/>
      <c r="C946" s="71"/>
      <c r="D946" s="71"/>
      <c r="E946" s="71"/>
      <c r="F946" s="71"/>
      <c r="G946" s="71"/>
    </row>
    <row r="947" ht="12.75" customHeight="1">
      <c r="A947" s="71"/>
      <c r="B947" s="71"/>
      <c r="C947" s="71"/>
      <c r="D947" s="71"/>
      <c r="E947" s="71"/>
      <c r="F947" s="71"/>
      <c r="G947" s="71"/>
    </row>
    <row r="948" ht="12.75" customHeight="1">
      <c r="A948" s="71"/>
      <c r="B948" s="71"/>
      <c r="C948" s="71"/>
      <c r="D948" s="71"/>
      <c r="E948" s="71"/>
      <c r="F948" s="71"/>
      <c r="G948" s="71"/>
    </row>
    <row r="949" ht="12.75" customHeight="1">
      <c r="A949" s="71"/>
      <c r="B949" s="71"/>
      <c r="C949" s="71"/>
      <c r="D949" s="71"/>
      <c r="E949" s="71"/>
      <c r="F949" s="71"/>
      <c r="G949" s="71"/>
    </row>
    <row r="950" ht="12.75" customHeight="1">
      <c r="A950" s="71"/>
      <c r="B950" s="71"/>
      <c r="C950" s="71"/>
      <c r="D950" s="71"/>
      <c r="E950" s="71"/>
      <c r="F950" s="71"/>
      <c r="G950" s="71"/>
    </row>
    <row r="951" ht="12.75" customHeight="1">
      <c r="A951" s="71"/>
      <c r="B951" s="71"/>
      <c r="C951" s="71"/>
      <c r="D951" s="71"/>
      <c r="E951" s="71"/>
      <c r="F951" s="71"/>
      <c r="G951" s="71"/>
    </row>
    <row r="952" ht="12.75" customHeight="1">
      <c r="A952" s="71"/>
      <c r="B952" s="71"/>
      <c r="C952" s="71"/>
      <c r="D952" s="71"/>
      <c r="E952" s="71"/>
      <c r="F952" s="71"/>
      <c r="G952" s="71"/>
    </row>
    <row r="953" ht="12.75" customHeight="1">
      <c r="A953" s="71"/>
      <c r="B953" s="71"/>
      <c r="C953" s="71"/>
      <c r="D953" s="71"/>
      <c r="E953" s="71"/>
      <c r="F953" s="71"/>
      <c r="G953" s="71"/>
    </row>
    <row r="954" ht="12.75" customHeight="1">
      <c r="A954" s="71"/>
      <c r="B954" s="71"/>
      <c r="C954" s="71"/>
      <c r="D954" s="71"/>
      <c r="E954" s="71"/>
      <c r="F954" s="71"/>
      <c r="G954" s="71"/>
    </row>
    <row r="955" ht="12.75" customHeight="1">
      <c r="A955" s="71"/>
      <c r="B955" s="71"/>
      <c r="C955" s="71"/>
      <c r="D955" s="71"/>
      <c r="E955" s="71"/>
      <c r="F955" s="71"/>
      <c r="G955" s="71"/>
    </row>
    <row r="956" ht="12.75" customHeight="1">
      <c r="A956" s="71"/>
      <c r="B956" s="71"/>
      <c r="C956" s="71"/>
      <c r="D956" s="71"/>
      <c r="E956" s="71"/>
      <c r="F956" s="71"/>
      <c r="G956" s="71"/>
    </row>
    <row r="957" ht="12.75" customHeight="1">
      <c r="A957" s="71"/>
      <c r="B957" s="71"/>
      <c r="C957" s="71"/>
      <c r="D957" s="71"/>
      <c r="E957" s="71"/>
      <c r="F957" s="71"/>
      <c r="G957" s="71"/>
    </row>
    <row r="958" ht="12.75" customHeight="1">
      <c r="A958" s="71"/>
      <c r="B958" s="71"/>
      <c r="C958" s="71"/>
      <c r="D958" s="71"/>
      <c r="E958" s="71"/>
      <c r="F958" s="71"/>
      <c r="G958" s="71"/>
    </row>
    <row r="959" ht="12.75" customHeight="1">
      <c r="A959" s="71"/>
      <c r="B959" s="71"/>
      <c r="C959" s="71"/>
      <c r="D959" s="71"/>
      <c r="E959" s="71"/>
      <c r="F959" s="71"/>
      <c r="G959" s="71"/>
    </row>
    <row r="960" ht="12.75" customHeight="1">
      <c r="A960" s="71"/>
      <c r="B960" s="71"/>
      <c r="C960" s="71"/>
      <c r="D960" s="71"/>
      <c r="E960" s="71"/>
      <c r="F960" s="71"/>
      <c r="G960" s="71"/>
    </row>
    <row r="961" ht="12.75" customHeight="1">
      <c r="A961" s="71"/>
      <c r="B961" s="71"/>
      <c r="C961" s="71"/>
      <c r="D961" s="71"/>
      <c r="E961" s="71"/>
      <c r="F961" s="71"/>
      <c r="G961" s="71"/>
    </row>
    <row r="962" ht="12.75" customHeight="1">
      <c r="A962" s="71"/>
      <c r="B962" s="71"/>
      <c r="C962" s="71"/>
      <c r="D962" s="71"/>
      <c r="E962" s="71"/>
      <c r="F962" s="71"/>
      <c r="G962" s="71"/>
    </row>
    <row r="963" ht="12.75" customHeight="1">
      <c r="A963" s="71"/>
      <c r="B963" s="71"/>
      <c r="C963" s="71"/>
      <c r="D963" s="71"/>
      <c r="E963" s="71"/>
      <c r="F963" s="71"/>
      <c r="G963" s="71"/>
    </row>
    <row r="964" ht="12.75" customHeight="1">
      <c r="A964" s="71"/>
      <c r="B964" s="71"/>
      <c r="C964" s="71"/>
      <c r="D964" s="71"/>
      <c r="E964" s="71"/>
      <c r="F964" s="71"/>
      <c r="G964" s="71"/>
    </row>
    <row r="965" ht="12.75" customHeight="1">
      <c r="A965" s="71"/>
      <c r="B965" s="71"/>
      <c r="C965" s="71"/>
      <c r="D965" s="71"/>
      <c r="E965" s="71"/>
      <c r="F965" s="71"/>
      <c r="G965" s="71"/>
    </row>
    <row r="966" ht="12.75" customHeight="1">
      <c r="A966" s="71"/>
      <c r="B966" s="71"/>
      <c r="C966" s="71"/>
      <c r="D966" s="71"/>
      <c r="E966" s="71"/>
      <c r="F966" s="71"/>
      <c r="G966" s="71"/>
    </row>
    <row r="967" ht="12.75" customHeight="1">
      <c r="A967" s="71"/>
      <c r="B967" s="71"/>
      <c r="C967" s="71"/>
      <c r="D967" s="71"/>
      <c r="E967" s="71"/>
      <c r="F967" s="71"/>
      <c r="G967" s="71"/>
    </row>
    <row r="968" ht="12.75" customHeight="1">
      <c r="A968" s="71"/>
      <c r="B968" s="71"/>
      <c r="C968" s="71"/>
      <c r="D968" s="71"/>
      <c r="E968" s="71"/>
      <c r="F968" s="71"/>
      <c r="G968" s="71"/>
    </row>
    <row r="969" ht="12.75" customHeight="1">
      <c r="A969" s="71"/>
      <c r="B969" s="71"/>
      <c r="C969" s="71"/>
      <c r="D969" s="71"/>
      <c r="E969" s="71"/>
      <c r="F969" s="71"/>
      <c r="G969" s="71"/>
    </row>
    <row r="970" ht="12.75" customHeight="1">
      <c r="A970" s="71"/>
      <c r="B970" s="71"/>
      <c r="C970" s="71"/>
      <c r="D970" s="71"/>
      <c r="E970" s="71"/>
      <c r="F970" s="71"/>
      <c r="G970" s="71"/>
    </row>
    <row r="971" ht="12.75" customHeight="1">
      <c r="A971" s="71"/>
      <c r="B971" s="71"/>
      <c r="C971" s="71"/>
      <c r="D971" s="71"/>
      <c r="E971" s="71"/>
      <c r="F971" s="71"/>
      <c r="G971" s="71"/>
    </row>
    <row r="972" ht="12.75" customHeight="1">
      <c r="A972" s="71"/>
      <c r="B972" s="71"/>
      <c r="C972" s="71"/>
      <c r="D972" s="71"/>
      <c r="E972" s="71"/>
      <c r="F972" s="71"/>
      <c r="G972" s="71"/>
    </row>
    <row r="973" ht="12.75" customHeight="1">
      <c r="A973" s="71"/>
      <c r="B973" s="71"/>
      <c r="C973" s="71"/>
      <c r="D973" s="71"/>
      <c r="E973" s="71"/>
      <c r="F973" s="71"/>
      <c r="G973" s="71"/>
    </row>
    <row r="974" ht="12.75" customHeight="1">
      <c r="A974" s="71"/>
      <c r="B974" s="71"/>
      <c r="C974" s="71"/>
      <c r="D974" s="71"/>
      <c r="E974" s="71"/>
      <c r="F974" s="71"/>
      <c r="G974" s="71"/>
    </row>
    <row r="975" ht="12.75" customHeight="1">
      <c r="A975" s="71"/>
      <c r="B975" s="71"/>
      <c r="C975" s="71"/>
      <c r="D975" s="71"/>
      <c r="E975" s="71"/>
      <c r="F975" s="71"/>
      <c r="G975" s="71"/>
    </row>
    <row r="976" ht="12.75" customHeight="1">
      <c r="A976" s="71"/>
      <c r="B976" s="71"/>
      <c r="C976" s="71"/>
      <c r="D976" s="71"/>
      <c r="E976" s="71"/>
      <c r="F976" s="71"/>
      <c r="G976" s="71"/>
    </row>
    <row r="977" ht="12.75" customHeight="1">
      <c r="A977" s="71"/>
      <c r="B977" s="71"/>
      <c r="C977" s="71"/>
      <c r="D977" s="71"/>
      <c r="E977" s="71"/>
      <c r="F977" s="71"/>
      <c r="G977" s="71"/>
    </row>
    <row r="978" ht="12.75" customHeight="1">
      <c r="A978" s="71"/>
      <c r="B978" s="71"/>
      <c r="C978" s="71"/>
      <c r="D978" s="71"/>
      <c r="E978" s="71"/>
      <c r="F978" s="71"/>
      <c r="G978" s="71"/>
    </row>
    <row r="979" ht="12.75" customHeight="1">
      <c r="A979" s="71"/>
      <c r="B979" s="71"/>
      <c r="C979" s="71"/>
      <c r="D979" s="71"/>
      <c r="E979" s="71"/>
      <c r="F979" s="71"/>
      <c r="G979" s="71"/>
    </row>
    <row r="980" ht="12.75" customHeight="1">
      <c r="A980" s="71"/>
      <c r="B980" s="71"/>
      <c r="C980" s="71"/>
      <c r="D980" s="71"/>
      <c r="E980" s="71"/>
      <c r="F980" s="71"/>
      <c r="G980" s="71"/>
    </row>
    <row r="981" ht="12.75" customHeight="1">
      <c r="A981" s="71"/>
      <c r="B981" s="71"/>
      <c r="C981" s="71"/>
      <c r="D981" s="71"/>
      <c r="E981" s="71"/>
      <c r="F981" s="71"/>
      <c r="G981" s="71"/>
    </row>
    <row r="982" ht="12.75" customHeight="1">
      <c r="A982" s="71"/>
      <c r="B982" s="71"/>
      <c r="C982" s="71"/>
      <c r="D982" s="71"/>
      <c r="E982" s="71"/>
      <c r="F982" s="71"/>
      <c r="G982" s="71"/>
    </row>
    <row r="983" ht="12.75" customHeight="1">
      <c r="A983" s="71"/>
      <c r="B983" s="71"/>
      <c r="C983" s="71"/>
      <c r="D983" s="71"/>
      <c r="E983" s="71"/>
      <c r="F983" s="71"/>
      <c r="G983" s="71"/>
    </row>
    <row r="984" ht="12.75" customHeight="1">
      <c r="A984" s="71"/>
      <c r="B984" s="71"/>
      <c r="C984" s="71"/>
      <c r="D984" s="71"/>
      <c r="E984" s="71"/>
      <c r="F984" s="71"/>
      <c r="G984" s="71"/>
    </row>
    <row r="985" ht="12.75" customHeight="1">
      <c r="A985" s="71"/>
      <c r="B985" s="71"/>
      <c r="C985" s="71"/>
      <c r="D985" s="71"/>
      <c r="E985" s="71"/>
      <c r="F985" s="71"/>
      <c r="G985" s="71"/>
    </row>
    <row r="986" ht="12.75" customHeight="1">
      <c r="A986" s="71"/>
      <c r="B986" s="71"/>
      <c r="C986" s="71"/>
      <c r="D986" s="71"/>
      <c r="E986" s="71"/>
      <c r="F986" s="71"/>
      <c r="G986" s="71"/>
    </row>
    <row r="987" ht="12.75" customHeight="1">
      <c r="A987" s="71"/>
      <c r="B987" s="71"/>
      <c r="C987" s="71"/>
      <c r="D987" s="71"/>
      <c r="E987" s="71"/>
      <c r="F987" s="71"/>
      <c r="G987" s="71"/>
    </row>
    <row r="988" ht="12.75" customHeight="1">
      <c r="A988" s="71"/>
      <c r="B988" s="71"/>
      <c r="C988" s="71"/>
      <c r="D988" s="71"/>
      <c r="E988" s="71"/>
      <c r="F988" s="71"/>
      <c r="G988" s="71"/>
    </row>
    <row r="989" ht="12.75" customHeight="1">
      <c r="A989" s="71"/>
      <c r="B989" s="71"/>
      <c r="C989" s="71"/>
      <c r="D989" s="71"/>
      <c r="E989" s="71"/>
      <c r="F989" s="71"/>
      <c r="G989" s="71"/>
    </row>
    <row r="990" ht="12.75" customHeight="1">
      <c r="A990" s="71"/>
      <c r="B990" s="71"/>
      <c r="C990" s="71"/>
      <c r="D990" s="71"/>
      <c r="E990" s="71"/>
      <c r="F990" s="71"/>
      <c r="G990" s="71"/>
    </row>
    <row r="991" ht="12.75" customHeight="1">
      <c r="A991" s="71"/>
      <c r="B991" s="71"/>
      <c r="C991" s="71"/>
      <c r="D991" s="71"/>
      <c r="E991" s="71"/>
      <c r="F991" s="71"/>
      <c r="G991" s="71"/>
    </row>
    <row r="992" ht="12.75" customHeight="1">
      <c r="A992" s="71"/>
      <c r="B992" s="71"/>
      <c r="C992" s="71"/>
      <c r="D992" s="71"/>
      <c r="E992" s="71"/>
      <c r="F992" s="71"/>
      <c r="G992" s="71"/>
    </row>
    <row r="993" ht="12.75" customHeight="1">
      <c r="A993" s="71"/>
      <c r="B993" s="71"/>
      <c r="C993" s="71"/>
      <c r="D993" s="71"/>
      <c r="E993" s="71"/>
      <c r="F993" s="71"/>
      <c r="G993" s="71"/>
    </row>
    <row r="994" ht="12.75" customHeight="1">
      <c r="A994" s="71"/>
      <c r="B994" s="71"/>
      <c r="C994" s="71"/>
      <c r="D994" s="71"/>
      <c r="E994" s="71"/>
      <c r="F994" s="71"/>
      <c r="G994" s="71"/>
    </row>
    <row r="995" ht="12.75" customHeight="1">
      <c r="A995" s="71"/>
      <c r="B995" s="71"/>
      <c r="C995" s="71"/>
      <c r="D995" s="71"/>
      <c r="E995" s="71"/>
      <c r="F995" s="71"/>
      <c r="G995" s="71"/>
    </row>
    <row r="996" ht="12.75" customHeight="1">
      <c r="A996" s="71"/>
      <c r="B996" s="71"/>
      <c r="C996" s="71"/>
      <c r="D996" s="71"/>
      <c r="E996" s="71"/>
      <c r="F996" s="71"/>
      <c r="G996" s="71"/>
    </row>
    <row r="997" ht="12.75" customHeight="1">
      <c r="A997" s="71"/>
      <c r="B997" s="71"/>
      <c r="C997" s="71"/>
      <c r="D997" s="71"/>
      <c r="E997" s="71"/>
      <c r="F997" s="71"/>
      <c r="G997" s="71"/>
    </row>
    <row r="998" ht="12.75" customHeight="1">
      <c r="A998" s="71"/>
      <c r="B998" s="71"/>
      <c r="C998" s="71"/>
      <c r="D998" s="71"/>
      <c r="E998" s="71"/>
      <c r="F998" s="71"/>
      <c r="G998" s="71"/>
    </row>
    <row r="999" ht="12.75" customHeight="1">
      <c r="A999" s="71"/>
      <c r="B999" s="71"/>
      <c r="C999" s="71"/>
      <c r="D999" s="71"/>
      <c r="E999" s="71"/>
      <c r="F999" s="71"/>
      <c r="G999" s="71"/>
    </row>
    <row r="1000" ht="12.75" customHeight="1">
      <c r="A1000" s="71"/>
      <c r="B1000" s="71"/>
      <c r="C1000" s="71"/>
      <c r="D1000" s="71"/>
      <c r="E1000" s="71"/>
      <c r="F1000" s="71"/>
      <c r="G1000" s="71"/>
    </row>
  </sheetData>
  <autoFilter ref="$A$1:$G$116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8.43"/>
    <col customWidth="1" min="4" max="4" width="24.86"/>
    <col customWidth="1" min="5" max="5" width="13.86"/>
    <col customWidth="1" min="6" max="6" width="12.43"/>
    <col customWidth="1" min="7" max="7" width="10.43"/>
    <col customWidth="1" min="8" max="26" width="8.86"/>
  </cols>
  <sheetData>
    <row r="1" ht="48.0" customHeight="1">
      <c r="A1" s="75" t="s">
        <v>986</v>
      </c>
      <c r="B1" s="76" t="s">
        <v>1158</v>
      </c>
      <c r="C1" s="76" t="s">
        <v>1159</v>
      </c>
      <c r="D1" s="76" t="s">
        <v>6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24.0" hidden="1" customHeight="1">
      <c r="A2" s="79" t="s">
        <v>1145</v>
      </c>
      <c r="B2" s="80" t="s">
        <v>1146</v>
      </c>
      <c r="C2" s="80" t="s">
        <v>1110</v>
      </c>
      <c r="D2" s="81">
        <v>26306.54</v>
      </c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ht="36.0" hidden="1" customHeight="1">
      <c r="A3" s="75" t="s">
        <v>1152</v>
      </c>
      <c r="B3" s="76" t="s">
        <v>1146</v>
      </c>
      <c r="C3" s="76" t="s">
        <v>1116</v>
      </c>
      <c r="D3" s="83">
        <v>2565.0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24.0" hidden="1" customHeight="1">
      <c r="A4" s="79" t="s">
        <v>1160</v>
      </c>
      <c r="B4" s="80" t="s">
        <v>1146</v>
      </c>
      <c r="C4" s="80" t="s">
        <v>1144</v>
      </c>
      <c r="D4" s="84">
        <v>7559.0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ht="48.0" hidden="1" customHeight="1">
      <c r="A5" s="79" t="s">
        <v>1140</v>
      </c>
      <c r="B5" s="80" t="s">
        <v>1110</v>
      </c>
      <c r="C5" s="80" t="s">
        <v>1123</v>
      </c>
      <c r="D5" s="85">
        <v>23822.8</v>
      </c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ht="36.0" hidden="1" customHeight="1">
      <c r="A6" s="79" t="s">
        <v>1141</v>
      </c>
      <c r="B6" s="80" t="s">
        <v>1110</v>
      </c>
      <c r="C6" s="80" t="s">
        <v>1120</v>
      </c>
      <c r="D6" s="86">
        <v>3064.143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ht="48.0" hidden="1" customHeight="1">
      <c r="A7" s="79" t="s">
        <v>1109</v>
      </c>
      <c r="B7" s="80" t="s">
        <v>1110</v>
      </c>
      <c r="C7" s="80" t="s">
        <v>1062</v>
      </c>
      <c r="D7" s="87">
        <v>98.40526</v>
      </c>
      <c r="E7" s="82">
        <f>D7/(D7+D18+D42+D166)</f>
        <v>0.1253256861</v>
      </c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ht="36.0" hidden="1" customHeight="1">
      <c r="A8" s="79" t="s">
        <v>1114</v>
      </c>
      <c r="B8" s="80" t="s">
        <v>1110</v>
      </c>
      <c r="C8" s="80" t="s">
        <v>1106</v>
      </c>
      <c r="D8" s="86">
        <v>1369.247</v>
      </c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ht="24.0" hidden="1" customHeight="1">
      <c r="A9" s="79" t="s">
        <v>1143</v>
      </c>
      <c r="B9" s="80" t="s">
        <v>1110</v>
      </c>
      <c r="C9" s="80" t="s">
        <v>1144</v>
      </c>
      <c r="D9" s="88">
        <v>7.205767</v>
      </c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ht="24.0" hidden="1" customHeight="1">
      <c r="A10" s="79" t="s">
        <v>1142</v>
      </c>
      <c r="B10" s="80" t="s">
        <v>1110</v>
      </c>
      <c r="C10" s="80" t="s">
        <v>1095</v>
      </c>
      <c r="D10" s="89">
        <v>283.4553</v>
      </c>
      <c r="E10" s="90">
        <f>D5+D6+D7+D8+D9+D10</f>
        <v>28645.25633</v>
      </c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ht="36.0" customHeight="1">
      <c r="A11" s="79" t="s">
        <v>1137</v>
      </c>
      <c r="B11" s="80" t="s">
        <v>1116</v>
      </c>
      <c r="C11" s="80" t="s">
        <v>1110</v>
      </c>
      <c r="D11" s="86">
        <v>2338.715</v>
      </c>
      <c r="E11" s="91">
        <f>D2+D11</f>
        <v>28645.255</v>
      </c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ht="48.0" customHeight="1">
      <c r="A12" s="79" t="s">
        <v>1138</v>
      </c>
      <c r="B12" s="80" t="s">
        <v>1116</v>
      </c>
      <c r="C12" s="80" t="s">
        <v>1120</v>
      </c>
      <c r="D12" s="92">
        <v>2551.633</v>
      </c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ht="48.0" customHeight="1">
      <c r="A13" s="79" t="s">
        <v>1115</v>
      </c>
      <c r="B13" s="80" t="s">
        <v>1116</v>
      </c>
      <c r="C13" s="80" t="s">
        <v>1106</v>
      </c>
      <c r="D13" s="88">
        <v>2.804654</v>
      </c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ht="36.0" customHeight="1">
      <c r="A14" s="79" t="s">
        <v>1139</v>
      </c>
      <c r="B14" s="80" t="s">
        <v>1116</v>
      </c>
      <c r="C14" s="80" t="s">
        <v>1095</v>
      </c>
      <c r="D14" s="93">
        <v>54.06801</v>
      </c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ht="36.75" hidden="1" customHeight="1">
      <c r="A15" s="79" t="s">
        <v>1149</v>
      </c>
      <c r="B15" s="80" t="s">
        <v>1113</v>
      </c>
      <c r="C15" s="80" t="s">
        <v>1123</v>
      </c>
      <c r="D15" s="94">
        <v>8831.98</v>
      </c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ht="36.75" hidden="1" customHeight="1">
      <c r="A16" s="79" t="s">
        <v>1147</v>
      </c>
      <c r="B16" s="80" t="s">
        <v>1113</v>
      </c>
      <c r="C16" s="80" t="s">
        <v>1120</v>
      </c>
      <c r="D16" s="94">
        <v>49388.84</v>
      </c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ht="36.75" hidden="1" customHeight="1">
      <c r="A17" s="75" t="s">
        <v>1153</v>
      </c>
      <c r="B17" s="76" t="s">
        <v>1113</v>
      </c>
      <c r="C17" s="76" t="s">
        <v>1130</v>
      </c>
      <c r="D17" s="95">
        <v>62.49709</v>
      </c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36.75" hidden="1" customHeight="1">
      <c r="A18" s="79" t="s">
        <v>1112</v>
      </c>
      <c r="B18" s="80" t="s">
        <v>1113</v>
      </c>
      <c r="C18" s="80" t="s">
        <v>1062</v>
      </c>
      <c r="D18" s="96">
        <v>431.9055</v>
      </c>
      <c r="E18" s="82">
        <f>D18/(D7+D18+D42+D166)</f>
        <v>0.550060567</v>
      </c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ht="36.0" hidden="1" customHeight="1">
      <c r="A19" s="79" t="s">
        <v>1117</v>
      </c>
      <c r="B19" s="80" t="s">
        <v>1113</v>
      </c>
      <c r="C19" s="80" t="s">
        <v>1106</v>
      </c>
      <c r="D19" s="97">
        <v>3393.5</v>
      </c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ht="36.0" hidden="1" customHeight="1">
      <c r="A20" s="79" t="s">
        <v>1122</v>
      </c>
      <c r="B20" s="80" t="s">
        <v>1123</v>
      </c>
      <c r="C20" s="80" t="s">
        <v>1089</v>
      </c>
      <c r="D20" s="94">
        <v>32314.48</v>
      </c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ht="36.0" hidden="1" customHeight="1">
      <c r="A21" s="79" t="s">
        <v>1125</v>
      </c>
      <c r="B21" s="80" t="s">
        <v>1123</v>
      </c>
      <c r="C21" s="80" t="s">
        <v>1095</v>
      </c>
      <c r="D21" s="86">
        <v>2786.386</v>
      </c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ht="36.0" hidden="1" customHeight="1">
      <c r="A22" s="79" t="s">
        <v>1124</v>
      </c>
      <c r="B22" s="80" t="s">
        <v>1120</v>
      </c>
      <c r="C22" s="80" t="s">
        <v>1089</v>
      </c>
      <c r="D22" s="94">
        <v>28192.85</v>
      </c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ht="36.0" hidden="1" customHeight="1">
      <c r="A23" s="79" t="s">
        <v>1119</v>
      </c>
      <c r="B23" s="80" t="s">
        <v>1120</v>
      </c>
      <c r="C23" s="80" t="s">
        <v>1086</v>
      </c>
      <c r="D23" s="94">
        <v>18794.21</v>
      </c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ht="36.0" hidden="1" customHeight="1">
      <c r="A24" s="79" t="s">
        <v>1121</v>
      </c>
      <c r="B24" s="80" t="s">
        <v>1120</v>
      </c>
      <c r="C24" s="80" t="s">
        <v>1082</v>
      </c>
      <c r="D24" s="86">
        <v>6515.128</v>
      </c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ht="36.0" hidden="1" customHeight="1">
      <c r="A25" s="79" t="s">
        <v>1126</v>
      </c>
      <c r="B25" s="80" t="s">
        <v>1120</v>
      </c>
      <c r="C25" s="80" t="s">
        <v>1127</v>
      </c>
      <c r="D25" s="96">
        <v>857.9023</v>
      </c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ht="36.0" hidden="1" customHeight="1">
      <c r="A26" s="79" t="s">
        <v>1128</v>
      </c>
      <c r="B26" s="80" t="s">
        <v>1120</v>
      </c>
      <c r="C26" s="80" t="s">
        <v>1095</v>
      </c>
      <c r="D26" s="86">
        <v>3594.359</v>
      </c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ht="36.0" hidden="1" customHeight="1">
      <c r="A27" s="79" t="s">
        <v>1129</v>
      </c>
      <c r="B27" s="80" t="s">
        <v>1130</v>
      </c>
      <c r="C27" s="80" t="s">
        <v>1127</v>
      </c>
      <c r="D27" s="93">
        <v>57.50341</v>
      </c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ht="36.0" hidden="1" customHeight="1">
      <c r="A28" s="79" t="s">
        <v>1136</v>
      </c>
      <c r="B28" s="80" t="s">
        <v>1130</v>
      </c>
      <c r="C28" s="80" t="s">
        <v>1095</v>
      </c>
      <c r="D28" s="93">
        <v>4.99368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ht="24.0" hidden="1" customHeight="1">
      <c r="A29" s="79" t="s">
        <v>1098</v>
      </c>
      <c r="B29" s="80" t="s">
        <v>1089</v>
      </c>
      <c r="C29" s="80" t="s">
        <v>1089</v>
      </c>
      <c r="D29" s="98">
        <v>2236.22</v>
      </c>
      <c r="E29" s="82"/>
      <c r="F29" s="82">
        <f>D29/(D29+D30+D31+D32)</f>
        <v>0.03564063767</v>
      </c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ht="24.0" hidden="1" customHeight="1">
      <c r="A30" s="79" t="s">
        <v>1091</v>
      </c>
      <c r="B30" s="80" t="s">
        <v>1089</v>
      </c>
      <c r="C30" s="80" t="s">
        <v>1034</v>
      </c>
      <c r="D30" s="98">
        <v>51369.83</v>
      </c>
      <c r="E30" s="82">
        <f t="shared" ref="E30:E31" si="1">D30/(D30+D63)</f>
        <v>0.9024058462</v>
      </c>
      <c r="F30" s="82">
        <f>D30/(D29+D30+D31+D32)</f>
        <v>0.8187269134</v>
      </c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ht="24.0" hidden="1" customHeight="1">
      <c r="A31" s="79" t="s">
        <v>1088</v>
      </c>
      <c r="B31" s="80" t="s">
        <v>1089</v>
      </c>
      <c r="C31" s="80" t="s">
        <v>1046</v>
      </c>
      <c r="D31" s="99">
        <v>8482.007</v>
      </c>
      <c r="E31" s="82">
        <f t="shared" si="1"/>
        <v>0.9024051738</v>
      </c>
      <c r="F31" s="82">
        <f>D31/(D29+D30+D31+D32)</f>
        <v>0.1351853298</v>
      </c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ht="24.0" hidden="1" customHeight="1">
      <c r="A32" s="79" t="s">
        <v>1099</v>
      </c>
      <c r="B32" s="80" t="s">
        <v>1089</v>
      </c>
      <c r="C32" s="80" t="s">
        <v>1095</v>
      </c>
      <c r="D32" s="100">
        <v>655.4893</v>
      </c>
      <c r="E32" s="82"/>
      <c r="F32" s="82">
        <f>D32/(D29+D30+D31+D32)</f>
        <v>0.01044711908</v>
      </c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ht="24.0" hidden="1" customHeight="1">
      <c r="A33" s="79" t="s">
        <v>1093</v>
      </c>
      <c r="B33" s="80" t="s">
        <v>1086</v>
      </c>
      <c r="C33" s="80" t="s">
        <v>1086</v>
      </c>
      <c r="D33" s="98">
        <v>430.35</v>
      </c>
      <c r="E33" s="82">
        <f>D33/(D33+D34+D35)</f>
        <v>0.02238543045</v>
      </c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ht="24.0" hidden="1" customHeight="1">
      <c r="A34" s="79" t="s">
        <v>1085</v>
      </c>
      <c r="B34" s="80" t="s">
        <v>1086</v>
      </c>
      <c r="C34" s="80" t="s">
        <v>1049</v>
      </c>
      <c r="D34" s="98">
        <v>18712.49</v>
      </c>
      <c r="E34" s="82">
        <f>D34/(D34+D65)</f>
        <v>0.9024067279</v>
      </c>
      <c r="F34" s="82">
        <f>D34/(D33+D34+D35)</f>
        <v>0.9733638746</v>
      </c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ht="24.0" hidden="1" customHeight="1">
      <c r="A35" s="79" t="s">
        <v>1094</v>
      </c>
      <c r="B35" s="80" t="s">
        <v>1086</v>
      </c>
      <c r="C35" s="80" t="s">
        <v>1095</v>
      </c>
      <c r="D35" s="101">
        <v>81.71773</v>
      </c>
      <c r="E35" s="82">
        <f>D35/(D33+D34+D35)</f>
        <v>0.004250694926</v>
      </c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ht="24.0" hidden="1" customHeight="1">
      <c r="A36" s="79" t="s">
        <v>1096</v>
      </c>
      <c r="B36" s="80" t="s">
        <v>1082</v>
      </c>
      <c r="C36" s="80" t="s">
        <v>1082</v>
      </c>
      <c r="D36" s="100">
        <v>295.2265</v>
      </c>
      <c r="E36" s="82">
        <f>D36/(D36+D37+D38)</f>
        <v>0.04334965159</v>
      </c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ht="24.0" hidden="1" customHeight="1">
      <c r="A37" s="79" t="s">
        <v>1081</v>
      </c>
      <c r="B37" s="80" t="s">
        <v>1082</v>
      </c>
      <c r="C37" s="80" t="s">
        <v>1059</v>
      </c>
      <c r="D37" s="99">
        <v>6471.104</v>
      </c>
      <c r="E37" s="82">
        <f>D37/(D37+D66)</f>
        <v>0.9024042418</v>
      </c>
      <c r="F37" s="82">
        <f>D37/(D36+D37+D38)</f>
        <v>0.9501860565</v>
      </c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ht="24.0" hidden="1" customHeight="1">
      <c r="A38" s="79" t="s">
        <v>1097</v>
      </c>
      <c r="B38" s="80" t="s">
        <v>1082</v>
      </c>
      <c r="C38" s="80" t="s">
        <v>1095</v>
      </c>
      <c r="D38" s="101">
        <v>44.02412</v>
      </c>
      <c r="E38" s="82">
        <f>D38/(D36+D37+D38)</f>
        <v>0.00646429187</v>
      </c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ht="36.0" hidden="1" customHeight="1">
      <c r="A39" s="79" t="s">
        <v>1131</v>
      </c>
      <c r="B39" s="80" t="s">
        <v>1127</v>
      </c>
      <c r="C39" s="80" t="s">
        <v>1127</v>
      </c>
      <c r="D39" s="93">
        <v>19.94561</v>
      </c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ht="60.0" hidden="1" customHeight="1">
      <c r="A40" s="79" t="s">
        <v>1132</v>
      </c>
      <c r="B40" s="80" t="s">
        <v>1127</v>
      </c>
      <c r="C40" s="80" t="s">
        <v>1133</v>
      </c>
      <c r="D40" s="96">
        <v>911.2429</v>
      </c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ht="24.0" hidden="1" customHeight="1">
      <c r="A41" s="79" t="s">
        <v>1134</v>
      </c>
      <c r="B41" s="80" t="s">
        <v>1127</v>
      </c>
      <c r="C41" s="80" t="s">
        <v>1095</v>
      </c>
      <c r="D41" s="88">
        <v>4.162769</v>
      </c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ht="48.0" hidden="1" customHeight="1">
      <c r="A42" s="79" t="s">
        <v>1103</v>
      </c>
      <c r="B42" s="80" t="s">
        <v>1062</v>
      </c>
      <c r="C42" s="80" t="s">
        <v>1062</v>
      </c>
      <c r="D42" s="89">
        <v>254.8855</v>
      </c>
      <c r="E42" s="82"/>
      <c r="F42" s="82">
        <f>D42/(D42+D43+D44)</f>
        <v>0.3246137717</v>
      </c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ht="36.0" hidden="1" customHeight="1">
      <c r="A43" s="79" t="s">
        <v>1061</v>
      </c>
      <c r="B43" s="80" t="s">
        <v>1062</v>
      </c>
      <c r="C43" s="80" t="s">
        <v>1014</v>
      </c>
      <c r="D43" s="96">
        <v>381.5483</v>
      </c>
      <c r="E43" s="82">
        <f>D43/(D43+D181)</f>
        <v>0.7050533638</v>
      </c>
      <c r="F43" s="82">
        <f>D43/(D42+D43+D44)</f>
        <v>0.4859273389</v>
      </c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ht="36.0" hidden="1" customHeight="1">
      <c r="A44" s="79" t="s">
        <v>1104</v>
      </c>
      <c r="B44" s="80" t="s">
        <v>1062</v>
      </c>
      <c r="C44" s="80" t="s">
        <v>1095</v>
      </c>
      <c r="D44" s="96">
        <v>148.7624</v>
      </c>
      <c r="E44" s="82"/>
      <c r="F44" s="82">
        <f>D44/(D42+D43+D44)</f>
        <v>0.1894588894</v>
      </c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ht="48.0" hidden="1" customHeight="1">
      <c r="A45" s="79" t="s">
        <v>1105</v>
      </c>
      <c r="B45" s="80" t="s">
        <v>1064</v>
      </c>
      <c r="C45" s="80" t="s">
        <v>1106</v>
      </c>
      <c r="D45" s="92">
        <v>1180.754</v>
      </c>
      <c r="E45" s="82">
        <f>D45/(D45+D46+D47)</f>
        <v>0.1959950906</v>
      </c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ht="36.0" hidden="1" customHeight="1">
      <c r="A46" s="79" t="s">
        <v>1063</v>
      </c>
      <c r="B46" s="80" t="s">
        <v>1064</v>
      </c>
      <c r="C46" s="80" t="s">
        <v>1016</v>
      </c>
      <c r="D46" s="102">
        <v>3702.275</v>
      </c>
      <c r="E46" s="82">
        <f>D46/(D46+D182)</f>
        <v>0.9246351459</v>
      </c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ht="36.0" hidden="1" customHeight="1">
      <c r="A47" s="79" t="s">
        <v>1107</v>
      </c>
      <c r="B47" s="80" t="s">
        <v>1064</v>
      </c>
      <c r="C47" s="80" t="s">
        <v>1095</v>
      </c>
      <c r="D47" s="102">
        <v>1141.377</v>
      </c>
      <c r="E47" s="82">
        <f>D47/(D47+D46+D45)</f>
        <v>0.1894588446</v>
      </c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ht="36.0" hidden="1" customHeight="1">
      <c r="A48" s="79" t="s">
        <v>1078</v>
      </c>
      <c r="B48" s="80" t="s">
        <v>1034</v>
      </c>
      <c r="C48" s="80" t="s">
        <v>1076</v>
      </c>
      <c r="D48" s="103">
        <v>32870.09</v>
      </c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ht="36.0" hidden="1" customHeight="1">
      <c r="A49" s="79" t="s">
        <v>1079</v>
      </c>
      <c r="B49" s="80" t="s">
        <v>1034</v>
      </c>
      <c r="C49" s="80" t="s">
        <v>1041</v>
      </c>
      <c r="D49" s="102">
        <v>2759.891</v>
      </c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ht="36.0" hidden="1" customHeight="1">
      <c r="A50" s="79" t="s">
        <v>1033</v>
      </c>
      <c r="B50" s="80" t="s">
        <v>1034</v>
      </c>
      <c r="C50" s="80" t="s">
        <v>1035</v>
      </c>
      <c r="D50" s="103">
        <v>19443.15</v>
      </c>
      <c r="E50" s="104">
        <f>D50/(D50+D168)</f>
        <v>0.8517901781</v>
      </c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ht="24.0" hidden="1" customHeight="1">
      <c r="A51" s="79" t="s">
        <v>1080</v>
      </c>
      <c r="B51" s="80" t="s">
        <v>1034</v>
      </c>
      <c r="C51" s="80" t="s">
        <v>1068</v>
      </c>
      <c r="D51" s="99">
        <v>1852.291</v>
      </c>
      <c r="E51" s="82">
        <f>D51/(D48+D49+D50+D51)</f>
        <v>0.03253890678</v>
      </c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ht="24.0" hidden="1" customHeight="1">
      <c r="A52" s="79" t="s">
        <v>1045</v>
      </c>
      <c r="B52" s="80" t="s">
        <v>1046</v>
      </c>
      <c r="C52" s="80" t="s">
        <v>1001</v>
      </c>
      <c r="D52" s="99">
        <v>8929.217</v>
      </c>
      <c r="E52" s="82">
        <f>D52/(D52+D173)</f>
        <v>0.7402146728</v>
      </c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ht="24.0" hidden="1" customHeight="1">
      <c r="A53" s="79" t="s">
        <v>1069</v>
      </c>
      <c r="B53" s="80" t="s">
        <v>1046</v>
      </c>
      <c r="C53" s="80" t="s">
        <v>1068</v>
      </c>
      <c r="D53" s="100">
        <v>470.1164</v>
      </c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ht="36.0" hidden="1" customHeight="1">
      <c r="A54" s="79" t="s">
        <v>1072</v>
      </c>
      <c r="B54" s="80" t="s">
        <v>1049</v>
      </c>
      <c r="C54" s="80" t="s">
        <v>1043</v>
      </c>
      <c r="D54" s="102">
        <v>2563.114</v>
      </c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ht="36.0" hidden="1" customHeight="1">
      <c r="A55" s="79" t="s">
        <v>1048</v>
      </c>
      <c r="B55" s="80" t="s">
        <v>1049</v>
      </c>
      <c r="C55" s="80" t="s">
        <v>1004</v>
      </c>
      <c r="D55" s="102">
        <v>8190.219</v>
      </c>
      <c r="E55" s="82">
        <f t="shared" ref="E55:E58" si="2">D55/(D55+D174)</f>
        <v>0.8745652785</v>
      </c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ht="36.0" hidden="1" customHeight="1">
      <c r="A56" s="79" t="s">
        <v>1051</v>
      </c>
      <c r="B56" s="80" t="s">
        <v>1049</v>
      </c>
      <c r="C56" s="80" t="s">
        <v>1052</v>
      </c>
      <c r="D56" s="102">
        <v>2062.274</v>
      </c>
      <c r="E56" s="82">
        <f t="shared" si="2"/>
        <v>0.5014184708</v>
      </c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ht="24.0" hidden="1" customHeight="1">
      <c r="A57" s="79" t="s">
        <v>1054</v>
      </c>
      <c r="B57" s="80" t="s">
        <v>1049</v>
      </c>
      <c r="C57" s="80" t="s">
        <v>1008</v>
      </c>
      <c r="D57" s="99">
        <v>5897.131</v>
      </c>
      <c r="E57" s="82">
        <f t="shared" si="2"/>
        <v>0.7551902328</v>
      </c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ht="36.0" hidden="1" customHeight="1">
      <c r="A58" s="79" t="s">
        <v>1056</v>
      </c>
      <c r="B58" s="80" t="s">
        <v>1049</v>
      </c>
      <c r="C58" s="80" t="s">
        <v>1010</v>
      </c>
      <c r="D58" s="102">
        <v>1547.354</v>
      </c>
      <c r="E58" s="82">
        <f t="shared" si="2"/>
        <v>0.903286932</v>
      </c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ht="24.0" hidden="1" customHeight="1">
      <c r="A59" s="79" t="s">
        <v>1073</v>
      </c>
      <c r="B59" s="80" t="s">
        <v>1049</v>
      </c>
      <c r="C59" s="80" t="s">
        <v>1068</v>
      </c>
      <c r="D59" s="100">
        <v>476.1133</v>
      </c>
      <c r="E59" s="82"/>
      <c r="F59" s="82">
        <f>D59/(D59+D58+D57+D56+D55+D54)</f>
        <v>0.02296048352</v>
      </c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ht="36.0" hidden="1" customHeight="1">
      <c r="A60" s="79" t="s">
        <v>1058</v>
      </c>
      <c r="B60" s="80" t="s">
        <v>1059</v>
      </c>
      <c r="C60" s="80" t="s">
        <v>1012</v>
      </c>
      <c r="D60" s="102">
        <v>5814.144</v>
      </c>
      <c r="E60" s="82">
        <f>D60/(D60+D178)</f>
        <v>0.8607915432</v>
      </c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ht="24.0" hidden="1" customHeight="1">
      <c r="A61" s="79" t="s">
        <v>1161</v>
      </c>
      <c r="B61" s="80" t="s">
        <v>1059</v>
      </c>
      <c r="C61" s="80" t="s">
        <v>1162</v>
      </c>
      <c r="D61" s="100">
        <v>998.1672</v>
      </c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ht="24.0" hidden="1" customHeight="1">
      <c r="A62" s="79" t="s">
        <v>1067</v>
      </c>
      <c r="B62" s="80" t="s">
        <v>1059</v>
      </c>
      <c r="C62" s="80" t="s">
        <v>1068</v>
      </c>
      <c r="D62" s="100">
        <v>358.6472</v>
      </c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ht="36.0" hidden="1" customHeight="1">
      <c r="A63" s="79" t="s">
        <v>1092</v>
      </c>
      <c r="B63" s="80" t="s">
        <v>1084</v>
      </c>
      <c r="C63" s="80" t="s">
        <v>1034</v>
      </c>
      <c r="D63" s="102">
        <v>5555.588</v>
      </c>
      <c r="E63" s="82">
        <f t="shared" ref="E63:E64" si="3">D63/(D30+D63)</f>
        <v>0.09759415381</v>
      </c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ht="24.0" hidden="1" customHeight="1">
      <c r="A64" s="79" t="s">
        <v>1090</v>
      </c>
      <c r="B64" s="80" t="s">
        <v>1084</v>
      </c>
      <c r="C64" s="80" t="s">
        <v>1046</v>
      </c>
      <c r="D64" s="100">
        <v>917.3263</v>
      </c>
      <c r="E64" s="82">
        <f t="shared" si="3"/>
        <v>0.09759482622</v>
      </c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ht="36.0" hidden="1" customHeight="1">
      <c r="A65" s="79" t="s">
        <v>1087</v>
      </c>
      <c r="B65" s="80" t="s">
        <v>1084</v>
      </c>
      <c r="C65" s="80" t="s">
        <v>1049</v>
      </c>
      <c r="D65" s="102">
        <v>2023.714</v>
      </c>
      <c r="E65" s="82">
        <f>D65/(D34+D65)</f>
        <v>0.09759327213</v>
      </c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ht="24.0" hidden="1" customHeight="1">
      <c r="A66" s="79" t="s">
        <v>1083</v>
      </c>
      <c r="B66" s="80" t="s">
        <v>1084</v>
      </c>
      <c r="C66" s="80" t="s">
        <v>1059</v>
      </c>
      <c r="D66" s="100">
        <v>699.8552</v>
      </c>
      <c r="E66" s="91">
        <f>1-E37</f>
        <v>0.09759575818</v>
      </c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ht="24.0" hidden="1" customHeight="1">
      <c r="A67" s="79" t="s">
        <v>1100</v>
      </c>
      <c r="B67" s="80" t="s">
        <v>1084</v>
      </c>
      <c r="C67" s="80" t="s">
        <v>1068</v>
      </c>
      <c r="D67" s="100">
        <v>530.9682</v>
      </c>
      <c r="E67" s="82">
        <f>D67/(D63+D64+D65+D66+D67)</f>
        <v>0.05458451158</v>
      </c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ht="48.0" hidden="1" customHeight="1">
      <c r="A68" s="79" t="s">
        <v>1075</v>
      </c>
      <c r="B68" s="80" t="s">
        <v>1076</v>
      </c>
      <c r="C68" s="80" t="s">
        <v>1037</v>
      </c>
      <c r="D68" s="81">
        <v>16221.86</v>
      </c>
      <c r="E68" s="82">
        <f>D68/(D68+D69+D70+D71)</f>
        <v>0.4935142565</v>
      </c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ht="36.0" hidden="1" customHeight="1">
      <c r="A69" s="79" t="s">
        <v>1163</v>
      </c>
      <c r="B69" s="80" t="s">
        <v>1076</v>
      </c>
      <c r="C69" s="80" t="s">
        <v>1164</v>
      </c>
      <c r="D69" s="86">
        <v>2172.209</v>
      </c>
      <c r="E69" s="82">
        <f>D69/(D68+D69+D70+D71)</f>
        <v>0.06608466042</v>
      </c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ht="48.0" hidden="1" customHeight="1">
      <c r="A70" s="79" t="s">
        <v>1165</v>
      </c>
      <c r="B70" s="80" t="s">
        <v>1076</v>
      </c>
      <c r="C70" s="80" t="s">
        <v>1166</v>
      </c>
      <c r="D70" s="81">
        <v>12462.99</v>
      </c>
      <c r="E70" s="82">
        <f>D70/(D68+D69+D70+D71)</f>
        <v>0.37915894</v>
      </c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ht="24.0" hidden="1" customHeight="1">
      <c r="A71" s="79" t="s">
        <v>1077</v>
      </c>
      <c r="B71" s="80" t="s">
        <v>1076</v>
      </c>
      <c r="C71" s="80" t="s">
        <v>1068</v>
      </c>
      <c r="D71" s="92">
        <v>2013.035</v>
      </c>
      <c r="E71" s="82">
        <f>D71/(D68+D69+D70+D71)</f>
        <v>0.06124214309</v>
      </c>
      <c r="F71" s="82">
        <f>E68+E69+E70+E71</f>
        <v>1</v>
      </c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ht="36.0" hidden="1" customHeight="1">
      <c r="A72" s="79" t="s">
        <v>1040</v>
      </c>
      <c r="B72" s="80" t="s">
        <v>1041</v>
      </c>
      <c r="C72" s="80" t="s">
        <v>999</v>
      </c>
      <c r="D72" s="86">
        <v>2660.939</v>
      </c>
      <c r="E72" s="82">
        <f>D72/(D72+D74+D172)</f>
        <v>0.1844602186</v>
      </c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ht="24.0" hidden="1" customHeight="1">
      <c r="A73" s="79" t="s">
        <v>1070</v>
      </c>
      <c r="B73" s="80" t="s">
        <v>1041</v>
      </c>
      <c r="C73" s="80" t="s">
        <v>1068</v>
      </c>
      <c r="D73" s="87">
        <v>98.95233</v>
      </c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ht="48.0" hidden="1" customHeight="1">
      <c r="A74" s="79" t="s">
        <v>1042</v>
      </c>
      <c r="B74" s="80" t="s">
        <v>1043</v>
      </c>
      <c r="C74" s="80" t="s">
        <v>999</v>
      </c>
      <c r="D74" s="99">
        <v>2403.675</v>
      </c>
      <c r="E74" s="82">
        <f>D74/(D72+D74+D172)</f>
        <v>0.1666262985</v>
      </c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ht="36.0" hidden="1" customHeight="1">
      <c r="A75" s="79" t="s">
        <v>1071</v>
      </c>
      <c r="B75" s="80" t="s">
        <v>1043</v>
      </c>
      <c r="C75" s="80" t="s">
        <v>1068</v>
      </c>
      <c r="D75" s="105">
        <v>159.4388</v>
      </c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ht="36.0" hidden="1" customHeight="1">
      <c r="A76" s="79" t="s">
        <v>1036</v>
      </c>
      <c r="B76" s="80" t="s">
        <v>1037</v>
      </c>
      <c r="C76" s="80" t="s">
        <v>1038</v>
      </c>
      <c r="D76" s="103">
        <v>15491.69</v>
      </c>
      <c r="E76" s="82">
        <f>D76/(D76+D170)</f>
        <v>0.8260520003</v>
      </c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ht="24.0" hidden="1" customHeight="1">
      <c r="A77" s="79" t="s">
        <v>1074</v>
      </c>
      <c r="B77" s="80" t="s">
        <v>1037</v>
      </c>
      <c r="C77" s="80" t="s">
        <v>1068</v>
      </c>
      <c r="D77" s="100">
        <v>730.1644</v>
      </c>
      <c r="E77" s="82">
        <f>D77/(D76+D77)</f>
        <v>0.04501115483</v>
      </c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ht="36.0" hidden="1" customHeight="1">
      <c r="A78" s="79" t="s">
        <v>1167</v>
      </c>
      <c r="B78" s="80" t="s">
        <v>1164</v>
      </c>
      <c r="C78" s="80" t="s">
        <v>1168</v>
      </c>
      <c r="D78" s="102">
        <v>2014.254</v>
      </c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ht="24.0" hidden="1" customHeight="1">
      <c r="A79" s="79" t="s">
        <v>1169</v>
      </c>
      <c r="B79" s="80" t="s">
        <v>1164</v>
      </c>
      <c r="C79" s="80" t="s">
        <v>1068</v>
      </c>
      <c r="D79" s="100">
        <v>157.9554</v>
      </c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ht="28.5" hidden="1" customHeight="1">
      <c r="A80" s="79" t="s">
        <v>992</v>
      </c>
      <c r="B80" s="80" t="s">
        <v>993</v>
      </c>
      <c r="C80" s="80" t="s">
        <v>994</v>
      </c>
      <c r="D80" s="98">
        <v>10501.51</v>
      </c>
      <c r="E80" s="82" t="str">
        <f>(D80+D191)/(D80+D81+D82+D83+D84+D85+D86+D87+#REF!+D191+#REF!+D192+D193+D194+D195+D196)</f>
        <v>#REF!</v>
      </c>
      <c r="F80" s="104">
        <f>SUM(D80:D87)</f>
        <v>20764.94682</v>
      </c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ht="28.5" hidden="1" customHeight="1">
      <c r="A81" s="79" t="s">
        <v>1170</v>
      </c>
      <c r="B81" s="80" t="s">
        <v>993</v>
      </c>
      <c r="C81" s="80" t="s">
        <v>1171</v>
      </c>
      <c r="D81" s="99">
        <v>2972.603</v>
      </c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ht="28.5" hidden="1" customHeight="1">
      <c r="A82" s="79" t="s">
        <v>1172</v>
      </c>
      <c r="B82" s="80" t="s">
        <v>993</v>
      </c>
      <c r="C82" s="80" t="s">
        <v>1173</v>
      </c>
      <c r="D82" s="98">
        <v>2964.68</v>
      </c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ht="28.5" hidden="1" customHeight="1">
      <c r="A83" s="79" t="s">
        <v>1174</v>
      </c>
      <c r="B83" s="80" t="s">
        <v>993</v>
      </c>
      <c r="C83" s="80" t="s">
        <v>1175</v>
      </c>
      <c r="D83" s="87">
        <v>71.09608</v>
      </c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ht="36.0" hidden="1" customHeight="1">
      <c r="A84" s="79" t="s">
        <v>1176</v>
      </c>
      <c r="B84" s="80" t="s">
        <v>993</v>
      </c>
      <c r="C84" s="80" t="s">
        <v>1177</v>
      </c>
      <c r="D84" s="86">
        <v>2468.018</v>
      </c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ht="28.5" hidden="1" customHeight="1">
      <c r="A85" s="79" t="s">
        <v>1178</v>
      </c>
      <c r="B85" s="80" t="s">
        <v>993</v>
      </c>
      <c r="C85" s="80" t="s">
        <v>1179</v>
      </c>
      <c r="D85" s="89">
        <v>235.1774</v>
      </c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ht="36.0" hidden="1" customHeight="1">
      <c r="A86" s="79" t="s">
        <v>1180</v>
      </c>
      <c r="B86" s="80" t="s">
        <v>993</v>
      </c>
      <c r="C86" s="80" t="s">
        <v>1181</v>
      </c>
      <c r="D86" s="93">
        <v>62.87534</v>
      </c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ht="24.0" hidden="1" customHeight="1">
      <c r="A87" s="79" t="s">
        <v>1182</v>
      </c>
      <c r="B87" s="80" t="s">
        <v>993</v>
      </c>
      <c r="C87" s="80" t="s">
        <v>1144</v>
      </c>
      <c r="D87" s="92">
        <v>1488.987</v>
      </c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ht="28.5" hidden="1" customHeight="1">
      <c r="A88" s="79" t="s">
        <v>1183</v>
      </c>
      <c r="B88" s="80" t="s">
        <v>1184</v>
      </c>
      <c r="C88" s="80" t="s">
        <v>1173</v>
      </c>
      <c r="D88" s="92">
        <v>3332.738</v>
      </c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ht="28.5" hidden="1" customHeight="1">
      <c r="A89" s="79" t="s">
        <v>1185</v>
      </c>
      <c r="B89" s="80" t="s">
        <v>1184</v>
      </c>
      <c r="C89" s="80" t="s">
        <v>1175</v>
      </c>
      <c r="D89" s="89">
        <v>413.1138</v>
      </c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ht="36.0" hidden="1" customHeight="1">
      <c r="A90" s="79" t="s">
        <v>1186</v>
      </c>
      <c r="B90" s="80" t="s">
        <v>1184</v>
      </c>
      <c r="C90" s="80" t="s">
        <v>1177</v>
      </c>
      <c r="D90" s="86">
        <v>1191.078</v>
      </c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ht="36.0" hidden="1" customHeight="1">
      <c r="A91" s="79" t="s">
        <v>1187</v>
      </c>
      <c r="B91" s="80" t="s">
        <v>1184</v>
      </c>
      <c r="C91" s="80" t="s">
        <v>1181</v>
      </c>
      <c r="D91" s="86">
        <v>3478.818</v>
      </c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ht="28.5" hidden="1" customHeight="1">
      <c r="A92" s="79" t="s">
        <v>1188</v>
      </c>
      <c r="B92" s="80" t="s">
        <v>1184</v>
      </c>
      <c r="C92" s="80" t="s">
        <v>1189</v>
      </c>
      <c r="D92" s="92">
        <v>1206.252</v>
      </c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ht="24.0" hidden="1" customHeight="1">
      <c r="A93" s="79" t="s">
        <v>1190</v>
      </c>
      <c r="B93" s="80" t="s">
        <v>1184</v>
      </c>
      <c r="C93" s="80" t="s">
        <v>1144</v>
      </c>
      <c r="D93" s="92">
        <v>1677.268</v>
      </c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ht="28.5" hidden="1" customHeight="1">
      <c r="A94" s="79" t="s">
        <v>996</v>
      </c>
      <c r="B94" s="80" t="s">
        <v>1038</v>
      </c>
      <c r="C94" s="80" t="s">
        <v>994</v>
      </c>
      <c r="D94" s="92">
        <v>3002.954</v>
      </c>
      <c r="E94" s="82" t="str">
        <f>(D94+D202)/(D94+D95+D96+D97+D98+#REF!+D202+#REF!+D203+D204)</f>
        <v>#REF!</v>
      </c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ht="28.5" hidden="1" customHeight="1">
      <c r="A95" s="79" t="s">
        <v>1191</v>
      </c>
      <c r="B95" s="80" t="s">
        <v>1038</v>
      </c>
      <c r="C95" s="80" t="s">
        <v>1171</v>
      </c>
      <c r="D95" s="89">
        <v>568.5511</v>
      </c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ht="28.5" hidden="1" customHeight="1">
      <c r="A96" s="79" t="s">
        <v>1192</v>
      </c>
      <c r="B96" s="80" t="s">
        <v>1038</v>
      </c>
      <c r="C96" s="80" t="s">
        <v>1173</v>
      </c>
      <c r="D96" s="92">
        <v>7880.565</v>
      </c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ht="28.5" hidden="1" customHeight="1">
      <c r="A97" s="79" t="s">
        <v>1193</v>
      </c>
      <c r="B97" s="80" t="s">
        <v>1038</v>
      </c>
      <c r="C97" s="80" t="s">
        <v>1175</v>
      </c>
      <c r="D97" s="88">
        <v>1.222737</v>
      </c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ht="24.0" hidden="1" customHeight="1">
      <c r="A98" s="79" t="s">
        <v>1194</v>
      </c>
      <c r="B98" s="80" t="s">
        <v>1038</v>
      </c>
      <c r="C98" s="80" t="s">
        <v>1144</v>
      </c>
      <c r="D98" s="92">
        <v>2815.966</v>
      </c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ht="48.0" hidden="1" customHeight="1">
      <c r="A99" s="79" t="s">
        <v>1195</v>
      </c>
      <c r="B99" s="80" t="s">
        <v>1168</v>
      </c>
      <c r="C99" s="80" t="s">
        <v>1181</v>
      </c>
      <c r="D99" s="89">
        <v>105.4342</v>
      </c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ht="36.0" hidden="1" customHeight="1">
      <c r="A100" s="79" t="s">
        <v>1196</v>
      </c>
      <c r="B100" s="80" t="s">
        <v>1168</v>
      </c>
      <c r="C100" s="80" t="s">
        <v>1189</v>
      </c>
      <c r="D100" s="86">
        <v>1762.181</v>
      </c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ht="36.0" hidden="1" customHeight="1">
      <c r="A101" s="79" t="s">
        <v>1197</v>
      </c>
      <c r="B101" s="80" t="s">
        <v>1168</v>
      </c>
      <c r="C101" s="80" t="s">
        <v>1144</v>
      </c>
      <c r="D101" s="96">
        <v>183.6295</v>
      </c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ht="36.0" hidden="1" customHeight="1">
      <c r="A102" s="79" t="s">
        <v>998</v>
      </c>
      <c r="B102" s="80" t="s">
        <v>999</v>
      </c>
      <c r="C102" s="80" t="s">
        <v>994</v>
      </c>
      <c r="D102" s="86">
        <v>1742.514</v>
      </c>
      <c r="E102" s="82" t="str">
        <f>(D102+D207)/(D102+D103+D104+D105+D106+D107+D108+#REF!+D207+#REF!+D208+D209+D210+D211)</f>
        <v>#REF!</v>
      </c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ht="36.0" hidden="1" customHeight="1">
      <c r="A103" s="79" t="s">
        <v>1198</v>
      </c>
      <c r="B103" s="80" t="s">
        <v>999</v>
      </c>
      <c r="C103" s="80" t="s">
        <v>1171</v>
      </c>
      <c r="D103" s="94">
        <v>1534.95</v>
      </c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ht="28.5" hidden="1" customHeight="1">
      <c r="A104" s="79" t="s">
        <v>1199</v>
      </c>
      <c r="B104" s="80" t="s">
        <v>999</v>
      </c>
      <c r="C104" s="80" t="s">
        <v>1173</v>
      </c>
      <c r="D104" s="92">
        <v>1080.056</v>
      </c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ht="36.0" hidden="1" customHeight="1">
      <c r="A105" s="79" t="s">
        <v>1200</v>
      </c>
      <c r="B105" s="80" t="s">
        <v>999</v>
      </c>
      <c r="C105" s="80" t="s">
        <v>1175</v>
      </c>
      <c r="D105" s="93">
        <v>81.55431</v>
      </c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ht="48.0" hidden="1" customHeight="1">
      <c r="A106" s="79" t="s">
        <v>1201</v>
      </c>
      <c r="B106" s="80" t="s">
        <v>999</v>
      </c>
      <c r="C106" s="80" t="s">
        <v>1177</v>
      </c>
      <c r="D106" s="92">
        <v>598.441</v>
      </c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ht="36.0" hidden="1" customHeight="1">
      <c r="A107" s="79" t="s">
        <v>1202</v>
      </c>
      <c r="B107" s="80" t="s">
        <v>999</v>
      </c>
      <c r="C107" s="80" t="s">
        <v>1179</v>
      </c>
      <c r="D107" s="94">
        <v>7933.14</v>
      </c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ht="36.0" hidden="1" customHeight="1">
      <c r="A108" s="79" t="s">
        <v>1203</v>
      </c>
      <c r="B108" s="80" t="s">
        <v>999</v>
      </c>
      <c r="C108" s="80" t="s">
        <v>1144</v>
      </c>
      <c r="D108" s="96">
        <v>936.2178</v>
      </c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ht="28.5" hidden="1" customHeight="1">
      <c r="A109" s="79" t="s">
        <v>1000</v>
      </c>
      <c r="B109" s="80" t="s">
        <v>1001</v>
      </c>
      <c r="C109" s="80" t="s">
        <v>994</v>
      </c>
      <c r="D109" s="89">
        <v>426.2552</v>
      </c>
      <c r="E109" s="82" t="str">
        <f>(D109+D212)/(D109+D110+D111+D112+D113+D114+D115+D116+#REF!+#REF!+D213+D214+D215+D216+D217)</f>
        <v>#REF!</v>
      </c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ht="28.5" hidden="1" customHeight="1">
      <c r="A110" s="79" t="s">
        <v>1204</v>
      </c>
      <c r="B110" s="80" t="s">
        <v>1001</v>
      </c>
      <c r="C110" s="80" t="s">
        <v>1171</v>
      </c>
      <c r="D110" s="87">
        <v>66.43089</v>
      </c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ht="28.5" hidden="1" customHeight="1">
      <c r="A111" s="79" t="s">
        <v>1205</v>
      </c>
      <c r="B111" s="80" t="s">
        <v>1001</v>
      </c>
      <c r="C111" s="80" t="s">
        <v>1173</v>
      </c>
      <c r="D111" s="89">
        <v>124.8822</v>
      </c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ht="28.5" hidden="1" customHeight="1">
      <c r="A112" s="79" t="s">
        <v>1206</v>
      </c>
      <c r="B112" s="80" t="s">
        <v>1001</v>
      </c>
      <c r="C112" s="80" t="s">
        <v>1175</v>
      </c>
      <c r="D112" s="88">
        <v>0.002835</v>
      </c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ht="36.0" hidden="1" customHeight="1">
      <c r="A113" s="79" t="s">
        <v>1207</v>
      </c>
      <c r="B113" s="80" t="s">
        <v>1001</v>
      </c>
      <c r="C113" s="80" t="s">
        <v>1177</v>
      </c>
      <c r="D113" s="86">
        <v>2949.154</v>
      </c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ht="28.5" hidden="1" customHeight="1">
      <c r="A114" s="79" t="s">
        <v>1208</v>
      </c>
      <c r="B114" s="80" t="s">
        <v>1001</v>
      </c>
      <c r="C114" s="80" t="s">
        <v>1179</v>
      </c>
      <c r="D114" s="92">
        <v>808.601</v>
      </c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ht="36.0" hidden="1" customHeight="1">
      <c r="A115" s="79" t="s">
        <v>1209</v>
      </c>
      <c r="B115" s="80" t="s">
        <v>1001</v>
      </c>
      <c r="C115" s="80" t="s">
        <v>1210</v>
      </c>
      <c r="D115" s="86">
        <v>3308.346</v>
      </c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ht="24.0" hidden="1" customHeight="1">
      <c r="A116" s="79" t="s">
        <v>1211</v>
      </c>
      <c r="B116" s="80" t="s">
        <v>1001</v>
      </c>
      <c r="C116" s="80" t="s">
        <v>1144</v>
      </c>
      <c r="D116" s="92">
        <v>2782.885</v>
      </c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ht="36.0" hidden="1" customHeight="1">
      <c r="A117" s="79" t="s">
        <v>1002</v>
      </c>
      <c r="B117" s="80" t="s">
        <v>1004</v>
      </c>
      <c r="C117" s="80" t="s">
        <v>994</v>
      </c>
      <c r="D117" s="86">
        <v>4209.542</v>
      </c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ht="36.0" hidden="1" customHeight="1">
      <c r="A118" s="79" t="s">
        <v>1212</v>
      </c>
      <c r="B118" s="80" t="s">
        <v>1004</v>
      </c>
      <c r="C118" s="80" t="s">
        <v>1171</v>
      </c>
      <c r="D118" s="86">
        <v>4451.121</v>
      </c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ht="24.0" hidden="1" customHeight="1">
      <c r="A119" s="79" t="s">
        <v>1213</v>
      </c>
      <c r="B119" s="80" t="s">
        <v>1004</v>
      </c>
      <c r="C119" s="80" t="s">
        <v>1144</v>
      </c>
      <c r="D119" s="89">
        <v>373.9589</v>
      </c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ht="28.5" hidden="1" customHeight="1">
      <c r="A120" s="79" t="s">
        <v>1005</v>
      </c>
      <c r="B120" s="80" t="s">
        <v>1006</v>
      </c>
      <c r="C120" s="80" t="s">
        <v>994</v>
      </c>
      <c r="D120" s="89">
        <v>715.4115</v>
      </c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ht="28.5" hidden="1" customHeight="1">
      <c r="A121" s="79" t="s">
        <v>1214</v>
      </c>
      <c r="B121" s="80" t="s">
        <v>1006</v>
      </c>
      <c r="C121" s="80" t="s">
        <v>1171</v>
      </c>
      <c r="D121" s="89">
        <v>880.8356</v>
      </c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ht="28.5" hidden="1" customHeight="1">
      <c r="A122" s="79" t="s">
        <v>1215</v>
      </c>
      <c r="B122" s="80" t="s">
        <v>1006</v>
      </c>
      <c r="C122" s="80" t="s">
        <v>1173</v>
      </c>
      <c r="D122" s="89">
        <v>969.8908</v>
      </c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ht="28.5" hidden="1" customHeight="1">
      <c r="A123" s="79" t="s">
        <v>1216</v>
      </c>
      <c r="B123" s="80" t="s">
        <v>1006</v>
      </c>
      <c r="C123" s="80" t="s">
        <v>1175</v>
      </c>
      <c r="D123" s="89">
        <v>201.2525</v>
      </c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ht="36.0" hidden="1" customHeight="1">
      <c r="A124" s="79" t="s">
        <v>1217</v>
      </c>
      <c r="B124" s="80" t="s">
        <v>1006</v>
      </c>
      <c r="C124" s="80" t="s">
        <v>1177</v>
      </c>
      <c r="D124" s="96">
        <v>101.8779</v>
      </c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ht="28.5" hidden="1" customHeight="1">
      <c r="A125" s="79" t="s">
        <v>1218</v>
      </c>
      <c r="B125" s="80" t="s">
        <v>1006</v>
      </c>
      <c r="C125" s="80" t="s">
        <v>1179</v>
      </c>
      <c r="D125" s="89">
        <v>203.5449</v>
      </c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ht="36.0" hidden="1" customHeight="1">
      <c r="A126" s="79" t="s">
        <v>1219</v>
      </c>
      <c r="B126" s="80" t="s">
        <v>1006</v>
      </c>
      <c r="C126" s="80" t="s">
        <v>1210</v>
      </c>
      <c r="D126" s="96">
        <v>311.6967</v>
      </c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ht="24.0" hidden="1" customHeight="1">
      <c r="A127" s="79" t="s">
        <v>1220</v>
      </c>
      <c r="B127" s="80" t="s">
        <v>1006</v>
      </c>
      <c r="C127" s="80" t="s">
        <v>1144</v>
      </c>
      <c r="D127" s="89">
        <v>387.6043</v>
      </c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ht="28.5" hidden="1" customHeight="1">
      <c r="A128" s="79" t="s">
        <v>1007</v>
      </c>
      <c r="B128" s="80" t="s">
        <v>1008</v>
      </c>
      <c r="C128" s="80" t="s">
        <v>994</v>
      </c>
      <c r="D128" s="92">
        <v>1122.485</v>
      </c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ht="28.5" hidden="1" customHeight="1">
      <c r="A129" s="79" t="s">
        <v>1221</v>
      </c>
      <c r="B129" s="80" t="s">
        <v>1008</v>
      </c>
      <c r="C129" s="80" t="s">
        <v>1171</v>
      </c>
      <c r="D129" s="87">
        <v>67.62581</v>
      </c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ht="28.5" hidden="1" customHeight="1">
      <c r="A130" s="79" t="s">
        <v>1222</v>
      </c>
      <c r="B130" s="80" t="s">
        <v>1008</v>
      </c>
      <c r="C130" s="80" t="s">
        <v>1173</v>
      </c>
      <c r="D130" s="92">
        <v>2300.224</v>
      </c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ht="28.5" hidden="1" customHeight="1">
      <c r="A131" s="79" t="s">
        <v>1223</v>
      </c>
      <c r="B131" s="80" t="s">
        <v>1008</v>
      </c>
      <c r="C131" s="80" t="s">
        <v>1175</v>
      </c>
      <c r="D131" s="89">
        <v>125.2462</v>
      </c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ht="36.0" hidden="1" customHeight="1">
      <c r="A132" s="79" t="s">
        <v>1224</v>
      </c>
      <c r="B132" s="80" t="s">
        <v>1008</v>
      </c>
      <c r="C132" s="80" t="s">
        <v>1177</v>
      </c>
      <c r="D132" s="96">
        <v>964.9057</v>
      </c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ht="28.5" hidden="1" customHeight="1">
      <c r="A133" s="79" t="s">
        <v>1225</v>
      </c>
      <c r="B133" s="80" t="s">
        <v>1008</v>
      </c>
      <c r="C133" s="80" t="s">
        <v>1179</v>
      </c>
      <c r="D133" s="89">
        <v>360.4515</v>
      </c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ht="36.0" hidden="1" customHeight="1">
      <c r="A134" s="79" t="s">
        <v>1226</v>
      </c>
      <c r="B134" s="80" t="s">
        <v>1008</v>
      </c>
      <c r="C134" s="80" t="s">
        <v>1210</v>
      </c>
      <c r="D134" s="96">
        <v>895.0208</v>
      </c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ht="14.25" hidden="1" customHeight="1">
      <c r="A135" s="79" t="s">
        <v>1227</v>
      </c>
      <c r="B135" s="80" t="s">
        <v>1008</v>
      </c>
      <c r="C135" s="80" t="s">
        <v>1144</v>
      </c>
      <c r="D135" s="92">
        <v>1022.469</v>
      </c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ht="36.0" hidden="1" customHeight="1">
      <c r="A136" s="79" t="s">
        <v>1009</v>
      </c>
      <c r="B136" s="80" t="s">
        <v>1010</v>
      </c>
      <c r="C136" s="80" t="s">
        <v>994</v>
      </c>
      <c r="D136" s="86">
        <v>1215.497</v>
      </c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ht="36.0" hidden="1" customHeight="1">
      <c r="A137" s="79" t="s">
        <v>1228</v>
      </c>
      <c r="B137" s="80" t="s">
        <v>1010</v>
      </c>
      <c r="C137" s="80" t="s">
        <v>1171</v>
      </c>
      <c r="D137" s="86">
        <v>258.185</v>
      </c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ht="28.5" hidden="1" customHeight="1">
      <c r="A138" s="79" t="s">
        <v>1229</v>
      </c>
      <c r="B138" s="80" t="s">
        <v>1010</v>
      </c>
      <c r="C138" s="80" t="s">
        <v>1173</v>
      </c>
      <c r="D138" s="87">
        <v>43.21656</v>
      </c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ht="28.5" hidden="1" customHeight="1">
      <c r="A139" s="79" t="s">
        <v>1230</v>
      </c>
      <c r="B139" s="80" t="s">
        <v>1010</v>
      </c>
      <c r="C139" s="80" t="s">
        <v>1175</v>
      </c>
      <c r="D139" s="88">
        <v>0.738144</v>
      </c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ht="24.0" hidden="1" customHeight="1">
      <c r="A140" s="79" t="s">
        <v>1231</v>
      </c>
      <c r="B140" s="80" t="s">
        <v>1010</v>
      </c>
      <c r="C140" s="80" t="s">
        <v>1144</v>
      </c>
      <c r="D140" s="87">
        <v>98.25318</v>
      </c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ht="36.0" hidden="1" customHeight="1">
      <c r="A141" s="79" t="s">
        <v>1011</v>
      </c>
      <c r="B141" s="80" t="s">
        <v>1012</v>
      </c>
      <c r="C141" s="80" t="s">
        <v>994</v>
      </c>
      <c r="D141" s="86">
        <v>5262.454</v>
      </c>
      <c r="E141" s="82"/>
      <c r="F141" s="82" t="str">
        <f>(D141+#REF!)/(D141+D142+D143+#REF!)</f>
        <v>#REF!</v>
      </c>
      <c r="G141" s="106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ht="36.0" hidden="1" customHeight="1">
      <c r="A142" s="79" t="s">
        <v>1232</v>
      </c>
      <c r="B142" s="80" t="s">
        <v>1012</v>
      </c>
      <c r="C142" s="80" t="s">
        <v>1171</v>
      </c>
      <c r="D142" s="96">
        <v>662.1255</v>
      </c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ht="36.0" hidden="1" customHeight="1">
      <c r="A143" s="79" t="s">
        <v>1233</v>
      </c>
      <c r="B143" s="80" t="s">
        <v>1012</v>
      </c>
      <c r="C143" s="80" t="s">
        <v>1144</v>
      </c>
      <c r="D143" s="96">
        <v>620.7158</v>
      </c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ht="28.5" hidden="1" customHeight="1">
      <c r="A144" s="79" t="s">
        <v>1234</v>
      </c>
      <c r="B144" s="80" t="s">
        <v>1162</v>
      </c>
      <c r="C144" s="80" t="s">
        <v>1171</v>
      </c>
      <c r="D144" s="92">
        <v>1086.648</v>
      </c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ht="36.0" hidden="1" customHeight="1">
      <c r="A145" s="79" t="s">
        <v>1235</v>
      </c>
      <c r="B145" s="80" t="s">
        <v>1162</v>
      </c>
      <c r="C145" s="80" t="s">
        <v>1177</v>
      </c>
      <c r="D145" s="93">
        <v>66.16728</v>
      </c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ht="14.25" hidden="1" customHeight="1">
      <c r="A146" s="79" t="s">
        <v>1236</v>
      </c>
      <c r="B146" s="80" t="s">
        <v>1162</v>
      </c>
      <c r="C146" s="80" t="s">
        <v>1144</v>
      </c>
      <c r="D146" s="89">
        <v>196.2033</v>
      </c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ht="48.0" hidden="1" customHeight="1">
      <c r="A147" s="79" t="s">
        <v>1101</v>
      </c>
      <c r="B147" s="80" t="s">
        <v>1102</v>
      </c>
      <c r="C147" s="80" t="s">
        <v>1084</v>
      </c>
      <c r="D147" s="92">
        <v>9727.452</v>
      </c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ht="48.0" hidden="1" customHeight="1">
      <c r="A148" s="79" t="s">
        <v>1237</v>
      </c>
      <c r="B148" s="80" t="s">
        <v>1102</v>
      </c>
      <c r="C148" s="80" t="s">
        <v>1144</v>
      </c>
      <c r="D148" s="89">
        <v>341.4732</v>
      </c>
      <c r="E148" s="82"/>
      <c r="F148" s="106">
        <f>D29+D30+D31+D32+D147+D148</f>
        <v>72812.4715</v>
      </c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ht="28.5" hidden="1" customHeight="1">
      <c r="A149" s="79" t="s">
        <v>1013</v>
      </c>
      <c r="B149" s="80" t="s">
        <v>1014</v>
      </c>
      <c r="C149" s="80" t="s">
        <v>994</v>
      </c>
      <c r="D149" s="89">
        <v>132.1776</v>
      </c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ht="36.0" hidden="1" customHeight="1">
      <c r="A150" s="79" t="s">
        <v>1238</v>
      </c>
      <c r="B150" s="80" t="s">
        <v>1014</v>
      </c>
      <c r="C150" s="80" t="s">
        <v>1171</v>
      </c>
      <c r="D150" s="107">
        <v>8.026053</v>
      </c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ht="28.5" hidden="1" customHeight="1">
      <c r="A151" s="79" t="s">
        <v>1239</v>
      </c>
      <c r="B151" s="80" t="s">
        <v>1014</v>
      </c>
      <c r="C151" s="80" t="s">
        <v>1173</v>
      </c>
      <c r="D151" s="89">
        <v>183.6349</v>
      </c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ht="28.5" hidden="1" customHeight="1">
      <c r="A152" s="79" t="s">
        <v>1240</v>
      </c>
      <c r="B152" s="80" t="s">
        <v>1014</v>
      </c>
      <c r="C152" s="80" t="s">
        <v>1175</v>
      </c>
      <c r="D152" s="87">
        <v>24.84116</v>
      </c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ht="48.0" hidden="1" customHeight="1">
      <c r="A153" s="79" t="s">
        <v>1241</v>
      </c>
      <c r="B153" s="80" t="s">
        <v>1014</v>
      </c>
      <c r="C153" s="80" t="s">
        <v>1177</v>
      </c>
      <c r="D153" s="89">
        <v>132.2436</v>
      </c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ht="28.5" hidden="1" customHeight="1">
      <c r="A154" s="79" t="s">
        <v>1242</v>
      </c>
      <c r="B154" s="80" t="s">
        <v>1014</v>
      </c>
      <c r="C154" s="80" t="s">
        <v>1179</v>
      </c>
      <c r="D154" s="87">
        <v>60.23898</v>
      </c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ht="28.5" hidden="1" customHeight="1">
      <c r="A155" s="79" t="s">
        <v>1015</v>
      </c>
      <c r="B155" s="80" t="s">
        <v>1016</v>
      </c>
      <c r="C155" s="80" t="s">
        <v>994</v>
      </c>
      <c r="D155" s="92">
        <v>1132.813</v>
      </c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ht="36.0" hidden="1" customHeight="1">
      <c r="A156" s="79" t="s">
        <v>1243</v>
      </c>
      <c r="B156" s="80" t="s">
        <v>1016</v>
      </c>
      <c r="C156" s="80" t="s">
        <v>1171</v>
      </c>
      <c r="D156" s="86">
        <v>111.311</v>
      </c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ht="28.5" hidden="1" customHeight="1">
      <c r="A157" s="79" t="s">
        <v>1244</v>
      </c>
      <c r="B157" s="80" t="s">
        <v>1016</v>
      </c>
      <c r="C157" s="80" t="s">
        <v>1173</v>
      </c>
      <c r="D157" s="92">
        <v>2077.423</v>
      </c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ht="28.5" hidden="1" customHeight="1">
      <c r="A158" s="79" t="s">
        <v>1245</v>
      </c>
      <c r="B158" s="80" t="s">
        <v>1016</v>
      </c>
      <c r="C158" s="80" t="s">
        <v>1175</v>
      </c>
      <c r="D158" s="89">
        <v>133.1531</v>
      </c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ht="48.0" hidden="1" customHeight="1">
      <c r="A159" s="79" t="s">
        <v>1246</v>
      </c>
      <c r="B159" s="80" t="s">
        <v>1016</v>
      </c>
      <c r="C159" s="80" t="s">
        <v>1177</v>
      </c>
      <c r="D159" s="92">
        <v>266.921</v>
      </c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ht="28.5" hidden="1" customHeight="1">
      <c r="A160" s="79" t="s">
        <v>1247</v>
      </c>
      <c r="B160" s="80" t="s">
        <v>1016</v>
      </c>
      <c r="C160" s="80" t="s">
        <v>1179</v>
      </c>
      <c r="D160" s="89">
        <v>282.4178</v>
      </c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ht="24.0" hidden="1" customHeight="1">
      <c r="A161" s="75" t="s">
        <v>1154</v>
      </c>
      <c r="B161" s="76" t="s">
        <v>1030</v>
      </c>
      <c r="C161" s="76" t="s">
        <v>1155</v>
      </c>
      <c r="D161" s="108">
        <v>3213.0</v>
      </c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36.0" hidden="1" customHeight="1">
      <c r="A162" s="75" t="s">
        <v>1156</v>
      </c>
      <c r="B162" s="76" t="s">
        <v>1030</v>
      </c>
      <c r="C162" s="76" t="s">
        <v>1116</v>
      </c>
      <c r="D162" s="83">
        <v>2250.0</v>
      </c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36.0" hidden="1" customHeight="1">
      <c r="A163" s="79" t="s">
        <v>1150</v>
      </c>
      <c r="B163" s="80" t="s">
        <v>1030</v>
      </c>
      <c r="C163" s="80" t="s">
        <v>1123</v>
      </c>
      <c r="D163" s="86">
        <v>2446.081</v>
      </c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ht="36.0" hidden="1" customHeight="1">
      <c r="A164" s="79" t="s">
        <v>1148</v>
      </c>
      <c r="B164" s="80" t="s">
        <v>1030</v>
      </c>
      <c r="C164" s="80" t="s">
        <v>1120</v>
      </c>
      <c r="D164" s="86">
        <v>2949.832</v>
      </c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ht="36.0" hidden="1" customHeight="1">
      <c r="A165" s="79" t="s">
        <v>1151</v>
      </c>
      <c r="B165" s="80" t="s">
        <v>1030</v>
      </c>
      <c r="C165" s="80" t="s">
        <v>1130</v>
      </c>
      <c r="D165" s="109">
        <v>0.0</v>
      </c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ht="36.0" hidden="1" customHeight="1">
      <c r="A166" s="79" t="s">
        <v>1108</v>
      </c>
      <c r="B166" s="80" t="s">
        <v>1030</v>
      </c>
      <c r="C166" s="80" t="s">
        <v>1062</v>
      </c>
      <c r="D166" s="109">
        <v>0.0</v>
      </c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ht="36.0" hidden="1" customHeight="1">
      <c r="A167" s="79" t="s">
        <v>1118</v>
      </c>
      <c r="B167" s="80" t="s">
        <v>1030</v>
      </c>
      <c r="C167" s="80" t="s">
        <v>1106</v>
      </c>
      <c r="D167" s="93">
        <v>78.10089</v>
      </c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ht="36.0" hidden="1" customHeight="1">
      <c r="A168" s="79" t="s">
        <v>1029</v>
      </c>
      <c r="B168" s="80" t="s">
        <v>1030</v>
      </c>
      <c r="C168" s="80" t="s">
        <v>1035</v>
      </c>
      <c r="D168" s="94">
        <v>3383.07</v>
      </c>
      <c r="E168" s="82">
        <f>D168/(D50+D168)</f>
        <v>0.1482098219</v>
      </c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ht="36.0" hidden="1" customHeight="1">
      <c r="A169" s="79" t="s">
        <v>1248</v>
      </c>
      <c r="B169" s="80" t="s">
        <v>1030</v>
      </c>
      <c r="C169" s="80" t="s">
        <v>1166</v>
      </c>
      <c r="D169" s="94">
        <v>2492.76</v>
      </c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ht="24.0" hidden="1" customHeight="1">
      <c r="A170" s="79" t="s">
        <v>1039</v>
      </c>
      <c r="B170" s="80" t="s">
        <v>1030</v>
      </c>
      <c r="C170" s="80" t="s">
        <v>1038</v>
      </c>
      <c r="D170" s="92">
        <v>3262.202</v>
      </c>
      <c r="E170" s="82">
        <f>D170/(D76+D170)</f>
        <v>0.1739479997</v>
      </c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ht="24.0" hidden="1" customHeight="1">
      <c r="A171" s="79" t="s">
        <v>1249</v>
      </c>
      <c r="B171" s="80" t="s">
        <v>1030</v>
      </c>
      <c r="C171" s="80" t="s">
        <v>1168</v>
      </c>
      <c r="D171" s="89">
        <v>712.2658</v>
      </c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ht="24.0" hidden="1" customHeight="1">
      <c r="A172" s="79" t="s">
        <v>1044</v>
      </c>
      <c r="B172" s="80" t="s">
        <v>1030</v>
      </c>
      <c r="C172" s="80" t="s">
        <v>999</v>
      </c>
      <c r="D172" s="81">
        <v>9360.93</v>
      </c>
      <c r="E172" s="82">
        <f>D172/(D72+D74+D172)</f>
        <v>0.6489134829</v>
      </c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ht="24.0" hidden="1" customHeight="1">
      <c r="A173" s="79" t="s">
        <v>1047</v>
      </c>
      <c r="B173" s="80" t="s">
        <v>1030</v>
      </c>
      <c r="C173" s="80" t="s">
        <v>1001</v>
      </c>
      <c r="D173" s="92">
        <v>3133.793</v>
      </c>
      <c r="E173" s="82">
        <f>1-E52</f>
        <v>0.2597853272</v>
      </c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ht="36.0" hidden="1" customHeight="1">
      <c r="A174" s="79" t="s">
        <v>1050</v>
      </c>
      <c r="B174" s="80" t="s">
        <v>1030</v>
      </c>
      <c r="C174" s="80" t="s">
        <v>1004</v>
      </c>
      <c r="D174" s="86">
        <v>1174.684</v>
      </c>
      <c r="E174" s="82">
        <f t="shared" ref="E174:E177" si="4">1-E55</f>
        <v>0.1254347215</v>
      </c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ht="36.0" hidden="1" customHeight="1">
      <c r="A175" s="79" t="s">
        <v>1053</v>
      </c>
      <c r="B175" s="80" t="s">
        <v>1030</v>
      </c>
      <c r="C175" s="80" t="s">
        <v>1052</v>
      </c>
      <c r="D175" s="86">
        <v>2050.606</v>
      </c>
      <c r="E175" s="82">
        <f t="shared" si="4"/>
        <v>0.4985815292</v>
      </c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ht="14.25" hidden="1" customHeight="1">
      <c r="A176" s="79" t="s">
        <v>1055</v>
      </c>
      <c r="B176" s="80" t="s">
        <v>1030</v>
      </c>
      <c r="C176" s="80" t="s">
        <v>1008</v>
      </c>
      <c r="D176" s="92">
        <v>1911.671</v>
      </c>
      <c r="E176" s="82">
        <f t="shared" si="4"/>
        <v>0.2448097672</v>
      </c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ht="36.0" hidden="1" customHeight="1">
      <c r="A177" s="79" t="s">
        <v>1057</v>
      </c>
      <c r="B177" s="80" t="s">
        <v>1030</v>
      </c>
      <c r="C177" s="80" t="s">
        <v>1010</v>
      </c>
      <c r="D177" s="86">
        <v>165.672</v>
      </c>
      <c r="E177" s="82">
        <f t="shared" si="4"/>
        <v>0.09671306799</v>
      </c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ht="36.0" hidden="1" customHeight="1">
      <c r="A178" s="79" t="s">
        <v>1060</v>
      </c>
      <c r="B178" s="80" t="s">
        <v>1030</v>
      </c>
      <c r="C178" s="80" t="s">
        <v>1012</v>
      </c>
      <c r="D178" s="96">
        <v>940.2718</v>
      </c>
      <c r="E178" s="82">
        <f>D178/(D60+D178)</f>
        <v>0.1392084568</v>
      </c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ht="14.25" hidden="1" customHeight="1">
      <c r="A179" s="79" t="s">
        <v>1250</v>
      </c>
      <c r="B179" s="80" t="s">
        <v>1030</v>
      </c>
      <c r="C179" s="80" t="s">
        <v>1162</v>
      </c>
      <c r="D179" s="89">
        <v>396.8542</v>
      </c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ht="48.0" hidden="1" customHeight="1">
      <c r="A180" s="79" t="s">
        <v>1135</v>
      </c>
      <c r="B180" s="80" t="s">
        <v>1030</v>
      </c>
      <c r="C180" s="80" t="s">
        <v>1133</v>
      </c>
      <c r="D180" s="92">
        <v>9157.682</v>
      </c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ht="24.0" hidden="1" customHeight="1">
      <c r="A181" s="79" t="s">
        <v>1065</v>
      </c>
      <c r="B181" s="80" t="s">
        <v>1030</v>
      </c>
      <c r="C181" s="80" t="s">
        <v>1014</v>
      </c>
      <c r="D181" s="92">
        <v>159.614</v>
      </c>
      <c r="E181" s="82">
        <f>1-E43</f>
        <v>0.2949466362</v>
      </c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ht="24.0" hidden="1" customHeight="1">
      <c r="A182" s="79" t="s">
        <v>1066</v>
      </c>
      <c r="B182" s="80" t="s">
        <v>1030</v>
      </c>
      <c r="C182" s="80" t="s">
        <v>1016</v>
      </c>
      <c r="D182" s="89">
        <v>301.7638</v>
      </c>
      <c r="E182" s="82">
        <f>1-E46</f>
        <v>0.07536485411</v>
      </c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ht="24.0" hidden="1" customHeight="1">
      <c r="A183" s="79" t="s">
        <v>1251</v>
      </c>
      <c r="B183" s="80" t="s">
        <v>1030</v>
      </c>
      <c r="C183" s="80" t="s">
        <v>1173</v>
      </c>
      <c r="D183" s="81">
        <v>12814.43</v>
      </c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ht="24.0" hidden="1" customHeight="1">
      <c r="A184" s="79" t="s">
        <v>1252</v>
      </c>
      <c r="B184" s="80" t="s">
        <v>1030</v>
      </c>
      <c r="C184" s="80" t="s">
        <v>1175</v>
      </c>
      <c r="D184" s="92">
        <v>3939.723</v>
      </c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ht="36.0" hidden="1" customHeight="1">
      <c r="A185" s="79" t="s">
        <v>1253</v>
      </c>
      <c r="B185" s="80" t="s">
        <v>1030</v>
      </c>
      <c r="C185" s="80" t="s">
        <v>1177</v>
      </c>
      <c r="D185" s="94">
        <v>20650.67</v>
      </c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ht="24.0" hidden="1" customHeight="1">
      <c r="A186" s="79" t="s">
        <v>1254</v>
      </c>
      <c r="B186" s="80" t="s">
        <v>1030</v>
      </c>
      <c r="C186" s="80" t="s">
        <v>1179</v>
      </c>
      <c r="D186" s="92">
        <v>5926.893</v>
      </c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ht="36.0" hidden="1" customHeight="1">
      <c r="A187" s="79" t="s">
        <v>1255</v>
      </c>
      <c r="B187" s="80" t="s">
        <v>1030</v>
      </c>
      <c r="C187" s="80" t="s">
        <v>1210</v>
      </c>
      <c r="D187" s="86">
        <v>4241.233</v>
      </c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ht="36.0" hidden="1" customHeight="1">
      <c r="A188" s="79" t="s">
        <v>1256</v>
      </c>
      <c r="B188" s="80" t="s">
        <v>1030</v>
      </c>
      <c r="C188" s="80" t="s">
        <v>1181</v>
      </c>
      <c r="D188" s="86">
        <v>1649.589</v>
      </c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ht="24.0" hidden="1" customHeight="1">
      <c r="A189" s="79" t="s">
        <v>1257</v>
      </c>
      <c r="B189" s="80" t="s">
        <v>1030</v>
      </c>
      <c r="C189" s="80" t="s">
        <v>1189</v>
      </c>
      <c r="D189" s="92">
        <v>5125.293</v>
      </c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ht="24.0" hidden="1" customHeight="1">
      <c r="A190" s="75" t="s">
        <v>1157</v>
      </c>
      <c r="B190" s="76" t="s">
        <v>1068</v>
      </c>
      <c r="C190" s="76" t="s">
        <v>1113</v>
      </c>
      <c r="D190" s="110">
        <v>62108.72</v>
      </c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36.0" hidden="1" customHeight="1">
      <c r="A191" s="79" t="s">
        <v>1017</v>
      </c>
      <c r="B191" s="80" t="s">
        <v>993</v>
      </c>
      <c r="C191" s="80" t="s">
        <v>1018</v>
      </c>
      <c r="D191" s="96">
        <v>809.9935</v>
      </c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ht="28.5" hidden="1" customHeight="1">
      <c r="A192" s="79" t="s">
        <v>1258</v>
      </c>
      <c r="B192" s="80" t="s">
        <v>993</v>
      </c>
      <c r="C192" s="80" t="s">
        <v>1259</v>
      </c>
      <c r="D192" s="89">
        <v>523.2828</v>
      </c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ht="28.5" hidden="1" customHeight="1">
      <c r="A193" s="79" t="s">
        <v>1260</v>
      </c>
      <c r="B193" s="80" t="s">
        <v>993</v>
      </c>
      <c r="C193" s="80" t="s">
        <v>1261</v>
      </c>
      <c r="D193" s="101">
        <v>12.55244</v>
      </c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ht="48.0" hidden="1" customHeight="1">
      <c r="A194" s="79" t="s">
        <v>1262</v>
      </c>
      <c r="B194" s="80" t="s">
        <v>993</v>
      </c>
      <c r="C194" s="80" t="s">
        <v>1263</v>
      </c>
      <c r="D194" s="99">
        <v>435.641</v>
      </c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ht="28.5" hidden="1" customHeight="1">
      <c r="A195" s="79" t="s">
        <v>1264</v>
      </c>
      <c r="B195" s="80" t="s">
        <v>993</v>
      </c>
      <c r="C195" s="80" t="s">
        <v>1265</v>
      </c>
      <c r="D195" s="100">
        <v>50.0553</v>
      </c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ht="48.0" hidden="1" customHeight="1">
      <c r="A196" s="79" t="s">
        <v>1266</v>
      </c>
      <c r="B196" s="80" t="s">
        <v>993</v>
      </c>
      <c r="C196" s="80" t="s">
        <v>1267</v>
      </c>
      <c r="D196" s="101">
        <v>11.59948</v>
      </c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ht="28.5" hidden="1" customHeight="1">
      <c r="A197" s="79" t="s">
        <v>1268</v>
      </c>
      <c r="B197" s="80" t="s">
        <v>1184</v>
      </c>
      <c r="C197" s="80" t="s">
        <v>1259</v>
      </c>
      <c r="D197" s="99">
        <v>1822.325</v>
      </c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ht="28.5" hidden="1" customHeight="1">
      <c r="A198" s="79" t="s">
        <v>1269</v>
      </c>
      <c r="B198" s="80" t="s">
        <v>1184</v>
      </c>
      <c r="C198" s="80" t="s">
        <v>1261</v>
      </c>
      <c r="D198" s="100">
        <v>226.1728</v>
      </c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ht="48.0" hidden="1" customHeight="1">
      <c r="A199" s="79" t="s">
        <v>1270</v>
      </c>
      <c r="B199" s="80" t="s">
        <v>1184</v>
      </c>
      <c r="C199" s="80" t="s">
        <v>1263</v>
      </c>
      <c r="D199" s="100">
        <v>561.2939</v>
      </c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ht="48.0" hidden="1" customHeight="1">
      <c r="A200" s="79" t="s">
        <v>1271</v>
      </c>
      <c r="B200" s="80" t="s">
        <v>1184</v>
      </c>
      <c r="C200" s="80" t="s">
        <v>1267</v>
      </c>
      <c r="D200" s="100">
        <v>624.2651</v>
      </c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ht="36.0" hidden="1" customHeight="1">
      <c r="A201" s="79" t="s">
        <v>1272</v>
      </c>
      <c r="B201" s="80" t="s">
        <v>1184</v>
      </c>
      <c r="C201" s="80" t="s">
        <v>1273</v>
      </c>
      <c r="D201" s="102">
        <v>422.419</v>
      </c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ht="36.0" hidden="1" customHeight="1">
      <c r="A202" s="79" t="s">
        <v>1019</v>
      </c>
      <c r="B202" s="80" t="s">
        <v>1038</v>
      </c>
      <c r="C202" s="80" t="s">
        <v>1018</v>
      </c>
      <c r="D202" s="105">
        <v>206.0571</v>
      </c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ht="28.5" hidden="1" customHeight="1">
      <c r="A203" s="79" t="s">
        <v>1274</v>
      </c>
      <c r="B203" s="80" t="s">
        <v>1038</v>
      </c>
      <c r="C203" s="80" t="s">
        <v>1259</v>
      </c>
      <c r="D203" s="99">
        <v>4243.617</v>
      </c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ht="28.5" hidden="1" customHeight="1">
      <c r="A204" s="79" t="s">
        <v>1275</v>
      </c>
      <c r="B204" s="80" t="s">
        <v>1038</v>
      </c>
      <c r="C204" s="80" t="s">
        <v>1261</v>
      </c>
      <c r="D204" s="111">
        <v>0.679856</v>
      </c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ht="60.0" hidden="1" customHeight="1">
      <c r="A205" s="79" t="s">
        <v>1276</v>
      </c>
      <c r="B205" s="80" t="s">
        <v>1168</v>
      </c>
      <c r="C205" s="80" t="s">
        <v>1277</v>
      </c>
      <c r="D205" s="112">
        <v>32.36314</v>
      </c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ht="48.0" hidden="1" customHeight="1">
      <c r="A206" s="79" t="s">
        <v>1278</v>
      </c>
      <c r="B206" s="80" t="s">
        <v>1168</v>
      </c>
      <c r="C206" s="80" t="s">
        <v>1273</v>
      </c>
      <c r="D206" s="100">
        <v>613.7256</v>
      </c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ht="48.0" hidden="1" customHeight="1">
      <c r="A207" s="79" t="s">
        <v>1020</v>
      </c>
      <c r="B207" s="80" t="s">
        <v>999</v>
      </c>
      <c r="C207" s="80" t="s">
        <v>1018</v>
      </c>
      <c r="D207" s="101">
        <v>89.96992</v>
      </c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ht="36.0" hidden="1" customHeight="1">
      <c r="A208" s="79" t="s">
        <v>1279</v>
      </c>
      <c r="B208" s="80" t="s">
        <v>999</v>
      </c>
      <c r="C208" s="80" t="s">
        <v>1259</v>
      </c>
      <c r="D208" s="112">
        <v>42.59415</v>
      </c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ht="36.0" hidden="1" customHeight="1">
      <c r="A209" s="79" t="s">
        <v>1280</v>
      </c>
      <c r="B209" s="80" t="s">
        <v>999</v>
      </c>
      <c r="C209" s="80" t="s">
        <v>1261</v>
      </c>
      <c r="D209" s="113">
        <v>3.961196</v>
      </c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ht="60.0" hidden="1" customHeight="1">
      <c r="A210" s="79" t="s">
        <v>1281</v>
      </c>
      <c r="B210" s="80" t="s">
        <v>999</v>
      </c>
      <c r="C210" s="80" t="s">
        <v>1263</v>
      </c>
      <c r="D210" s="112">
        <v>35.82931</v>
      </c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ht="36.0" hidden="1" customHeight="1">
      <c r="A211" s="79" t="s">
        <v>1282</v>
      </c>
      <c r="B211" s="80" t="s">
        <v>999</v>
      </c>
      <c r="C211" s="80" t="s">
        <v>1265</v>
      </c>
      <c r="D211" s="105">
        <v>261.7967</v>
      </c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ht="36.0" hidden="1" customHeight="1">
      <c r="A212" s="79" t="s">
        <v>1021</v>
      </c>
      <c r="B212" s="80" t="s">
        <v>1001</v>
      </c>
      <c r="C212" s="80" t="s">
        <v>1018</v>
      </c>
      <c r="D212" s="112">
        <v>60.99131</v>
      </c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ht="28.5" hidden="1" customHeight="1">
      <c r="A213" s="79" t="s">
        <v>1283</v>
      </c>
      <c r="B213" s="80" t="s">
        <v>1001</v>
      </c>
      <c r="C213" s="80" t="s">
        <v>1259</v>
      </c>
      <c r="D213" s="101">
        <v>25.32495</v>
      </c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ht="28.5" hidden="1" customHeight="1">
      <c r="A214" s="79" t="s">
        <v>1284</v>
      </c>
      <c r="B214" s="80" t="s">
        <v>1001</v>
      </c>
      <c r="C214" s="80" t="s">
        <v>1261</v>
      </c>
      <c r="D214" s="111">
        <v>5.64E-4</v>
      </c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ht="48.0" hidden="1" customHeight="1">
      <c r="A215" s="79" t="s">
        <v>1285</v>
      </c>
      <c r="B215" s="80" t="s">
        <v>1001</v>
      </c>
      <c r="C215" s="80" t="s">
        <v>1263</v>
      </c>
      <c r="D215" s="100">
        <v>520.4648</v>
      </c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ht="28.5" hidden="1" customHeight="1">
      <c r="A216" s="79" t="s">
        <v>1286</v>
      </c>
      <c r="B216" s="80" t="s">
        <v>1001</v>
      </c>
      <c r="C216" s="80" t="s">
        <v>1265</v>
      </c>
      <c r="D216" s="100">
        <v>159.0896</v>
      </c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ht="48.0" hidden="1" customHeight="1">
      <c r="A217" s="79" t="s">
        <v>1287</v>
      </c>
      <c r="B217" s="80" t="s">
        <v>1001</v>
      </c>
      <c r="C217" s="80" t="s">
        <v>1288</v>
      </c>
      <c r="D217" s="100">
        <v>827.1874</v>
      </c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ht="48.0" hidden="1" customHeight="1">
      <c r="A218" s="79" t="s">
        <v>1022</v>
      </c>
      <c r="B218" s="80" t="s">
        <v>1004</v>
      </c>
      <c r="C218" s="80" t="s">
        <v>1018</v>
      </c>
      <c r="D218" s="100">
        <v>135.4126</v>
      </c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ht="36.0" hidden="1" customHeight="1">
      <c r="A219" s="79" t="s">
        <v>1023</v>
      </c>
      <c r="B219" s="80" t="s">
        <v>1006</v>
      </c>
      <c r="C219" s="80" t="s">
        <v>1018</v>
      </c>
      <c r="D219" s="112">
        <v>36.02827</v>
      </c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ht="28.5" hidden="1" customHeight="1">
      <c r="A220" s="79" t="s">
        <v>1289</v>
      </c>
      <c r="B220" s="80" t="s">
        <v>1006</v>
      </c>
      <c r="C220" s="80" t="s">
        <v>1259</v>
      </c>
      <c r="D220" s="101">
        <v>83.26869</v>
      </c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ht="28.5" hidden="1" customHeight="1">
      <c r="A221" s="79" t="s">
        <v>1290</v>
      </c>
      <c r="B221" s="80" t="s">
        <v>1006</v>
      </c>
      <c r="C221" s="80" t="s">
        <v>1261</v>
      </c>
      <c r="D221" s="101">
        <v>26.48157</v>
      </c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ht="48.0" hidden="1" customHeight="1">
      <c r="A222" s="79" t="s">
        <v>1291</v>
      </c>
      <c r="B222" s="80" t="s">
        <v>1006</v>
      </c>
      <c r="C222" s="80" t="s">
        <v>1263</v>
      </c>
      <c r="D222" s="101">
        <v>28.39746</v>
      </c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ht="28.5" hidden="1" customHeight="1">
      <c r="A223" s="79" t="s">
        <v>1292</v>
      </c>
      <c r="B223" s="80" t="s">
        <v>1006</v>
      </c>
      <c r="C223" s="80" t="s">
        <v>1265</v>
      </c>
      <c r="D223" s="101">
        <v>38.25451</v>
      </c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ht="48.0" hidden="1" customHeight="1">
      <c r="A224" s="79" t="s">
        <v>1293</v>
      </c>
      <c r="B224" s="80" t="s">
        <v>1006</v>
      </c>
      <c r="C224" s="80" t="s">
        <v>1294</v>
      </c>
      <c r="D224" s="101">
        <v>56.95396</v>
      </c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ht="36.0" hidden="1" customHeight="1">
      <c r="A225" s="79" t="s">
        <v>1024</v>
      </c>
      <c r="B225" s="80" t="s">
        <v>1008</v>
      </c>
      <c r="C225" s="80" t="s">
        <v>1018</v>
      </c>
      <c r="D225" s="112">
        <v>93.90538</v>
      </c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ht="28.5" hidden="1" customHeight="1">
      <c r="A226" s="79" t="s">
        <v>1295</v>
      </c>
      <c r="B226" s="80" t="s">
        <v>1008</v>
      </c>
      <c r="C226" s="80" t="s">
        <v>1259</v>
      </c>
      <c r="D226" s="100">
        <v>406.1203</v>
      </c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ht="28.5" hidden="1" customHeight="1">
      <c r="A227" s="79" t="s">
        <v>1296</v>
      </c>
      <c r="B227" s="80" t="s">
        <v>1008</v>
      </c>
      <c r="C227" s="80" t="s">
        <v>1261</v>
      </c>
      <c r="D227" s="101">
        <v>34.18218</v>
      </c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ht="48.0" hidden="1" customHeight="1">
      <c r="A228" s="79" t="s">
        <v>1297</v>
      </c>
      <c r="B228" s="80" t="s">
        <v>1008</v>
      </c>
      <c r="C228" s="80" t="s">
        <v>1263</v>
      </c>
      <c r="D228" s="99">
        <v>170.293</v>
      </c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ht="28.5" hidden="1" customHeight="1">
      <c r="A229" s="79" t="s">
        <v>1298</v>
      </c>
      <c r="B229" s="80" t="s">
        <v>1008</v>
      </c>
      <c r="C229" s="80" t="s">
        <v>1265</v>
      </c>
      <c r="D229" s="101">
        <v>68.98368</v>
      </c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ht="48.0" hidden="1" customHeight="1">
      <c r="A230" s="79" t="s">
        <v>1299</v>
      </c>
      <c r="B230" s="80" t="s">
        <v>1008</v>
      </c>
      <c r="C230" s="80" t="s">
        <v>1294</v>
      </c>
      <c r="D230" s="100">
        <v>164.9855</v>
      </c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ht="48.0" hidden="1" customHeight="1">
      <c r="A231" s="79" t="s">
        <v>1025</v>
      </c>
      <c r="B231" s="80" t="s">
        <v>1010</v>
      </c>
      <c r="C231" s="80" t="s">
        <v>1018</v>
      </c>
      <c r="D231" s="89">
        <v>67.9349</v>
      </c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ht="36.0" hidden="1" customHeight="1">
      <c r="A232" s="79" t="s">
        <v>1300</v>
      </c>
      <c r="B232" s="80" t="s">
        <v>1010</v>
      </c>
      <c r="C232" s="80" t="s">
        <v>1259</v>
      </c>
      <c r="D232" s="107">
        <v>2.094606</v>
      </c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ht="36.0" hidden="1" customHeight="1">
      <c r="A233" s="79" t="s">
        <v>1301</v>
      </c>
      <c r="B233" s="80" t="s">
        <v>1010</v>
      </c>
      <c r="C233" s="80" t="s">
        <v>1261</v>
      </c>
      <c r="D233" s="107">
        <v>0.067766</v>
      </c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ht="48.0" hidden="1" customHeight="1">
      <c r="A234" s="79" t="s">
        <v>1026</v>
      </c>
      <c r="B234" s="80" t="s">
        <v>1012</v>
      </c>
      <c r="C234" s="80" t="s">
        <v>1018</v>
      </c>
      <c r="D234" s="89">
        <v>164.2936</v>
      </c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ht="48.0" hidden="1" customHeight="1">
      <c r="A235" s="79" t="s">
        <v>1302</v>
      </c>
      <c r="B235" s="80" t="s">
        <v>1162</v>
      </c>
      <c r="C235" s="80" t="s">
        <v>1263</v>
      </c>
      <c r="D235" s="88">
        <v>4.938909</v>
      </c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ht="36.0" hidden="1" customHeight="1">
      <c r="A236" s="79" t="s">
        <v>1027</v>
      </c>
      <c r="B236" s="80" t="s">
        <v>1014</v>
      </c>
      <c r="C236" s="80" t="s">
        <v>1018</v>
      </c>
      <c r="D236" s="109">
        <v>0.0</v>
      </c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ht="28.5" hidden="1" customHeight="1">
      <c r="A237" s="79" t="s">
        <v>1303</v>
      </c>
      <c r="B237" s="80" t="s">
        <v>1014</v>
      </c>
      <c r="C237" s="80" t="s">
        <v>1259</v>
      </c>
      <c r="D237" s="84">
        <v>0.0</v>
      </c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ht="36.0" hidden="1" customHeight="1">
      <c r="A238" s="79" t="s">
        <v>1304</v>
      </c>
      <c r="B238" s="80" t="s">
        <v>1014</v>
      </c>
      <c r="C238" s="80" t="s">
        <v>1261</v>
      </c>
      <c r="D238" s="109">
        <v>0.0</v>
      </c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ht="60.0" hidden="1" customHeight="1">
      <c r="A239" s="79" t="s">
        <v>1305</v>
      </c>
      <c r="B239" s="80" t="s">
        <v>1014</v>
      </c>
      <c r="C239" s="80" t="s">
        <v>1263</v>
      </c>
      <c r="D239" s="109">
        <v>0.0</v>
      </c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ht="36.0" hidden="1" customHeight="1">
      <c r="A240" s="79" t="s">
        <v>1306</v>
      </c>
      <c r="B240" s="80" t="s">
        <v>1014</v>
      </c>
      <c r="C240" s="80" t="s">
        <v>1265</v>
      </c>
      <c r="D240" s="109">
        <v>0.0</v>
      </c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ht="36.0" hidden="1" customHeight="1">
      <c r="A241" s="79" t="s">
        <v>1028</v>
      </c>
      <c r="B241" s="80" t="s">
        <v>1016</v>
      </c>
      <c r="C241" s="80" t="s">
        <v>1018</v>
      </c>
      <c r="D241" s="109">
        <v>0.0</v>
      </c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ht="28.5" hidden="1" customHeight="1">
      <c r="A242" s="79" t="s">
        <v>1307</v>
      </c>
      <c r="B242" s="80" t="s">
        <v>1016</v>
      </c>
      <c r="C242" s="80" t="s">
        <v>1259</v>
      </c>
      <c r="D242" s="84">
        <v>0.0</v>
      </c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ht="36.0" hidden="1" customHeight="1">
      <c r="A243" s="79" t="s">
        <v>1308</v>
      </c>
      <c r="B243" s="80" t="s">
        <v>1016</v>
      </c>
      <c r="C243" s="80" t="s">
        <v>1261</v>
      </c>
      <c r="D243" s="109">
        <v>0.0</v>
      </c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ht="60.0" hidden="1" customHeight="1">
      <c r="A244" s="79" t="s">
        <v>1309</v>
      </c>
      <c r="B244" s="80" t="s">
        <v>1016</v>
      </c>
      <c r="C244" s="80" t="s">
        <v>1263</v>
      </c>
      <c r="D244" s="109">
        <v>0.0</v>
      </c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ht="36.0" hidden="1" customHeight="1">
      <c r="A245" s="79" t="s">
        <v>1310</v>
      </c>
      <c r="B245" s="80" t="s">
        <v>1016</v>
      </c>
      <c r="C245" s="80" t="s">
        <v>1265</v>
      </c>
      <c r="D245" s="109">
        <v>0.0</v>
      </c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ht="12.75" customHeight="1">
      <c r="A246" s="78"/>
      <c r="B246" s="78"/>
      <c r="C246" s="76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D$245">
    <filterColumn colId="1">
      <filters>
        <filter val="Direct Reduction"/>
      </filters>
    </filterColumn>
  </autoFilter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6" width="8.71"/>
  </cols>
  <sheetData>
    <row r="1" ht="12.75" customHeight="1">
      <c r="A1" s="1" t="s">
        <v>1311</v>
      </c>
      <c r="B1" s="114">
        <v>26306.54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1" t="s">
        <v>1312</v>
      </c>
      <c r="B2" s="114">
        <v>26306.54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1" t="s">
        <v>1313</v>
      </c>
      <c r="B3" s="114">
        <v>28645.26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1" t="s">
        <v>1314</v>
      </c>
      <c r="B4" s="115">
        <v>28361.8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1" t="s">
        <v>1315</v>
      </c>
      <c r="B5" s="116">
        <v>4947.221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" t="s">
        <v>1316</v>
      </c>
      <c r="B6" s="116">
        <v>4893.153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1" t="s">
        <v>1317</v>
      </c>
      <c r="B7" s="114">
        <v>62108.72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1" t="s">
        <v>1318</v>
      </c>
      <c r="B8" s="114">
        <v>62108.72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1" t="s">
        <v>1319</v>
      </c>
      <c r="B9" s="117">
        <v>35100.86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1" t="s">
        <v>1320</v>
      </c>
      <c r="B10" s="117">
        <v>32314.48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1" t="s">
        <v>1321</v>
      </c>
      <c r="B11" s="117">
        <v>57954.45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1" t="s">
        <v>1322</v>
      </c>
      <c r="B12" s="117">
        <v>54360.09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" t="s">
        <v>1323</v>
      </c>
      <c r="B13" s="118">
        <v>62.49709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" t="s">
        <v>1324</v>
      </c>
      <c r="B14" s="118">
        <v>57.50341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1" t="s">
        <v>1325</v>
      </c>
      <c r="B15" s="114">
        <v>19224.56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1" t="s">
        <v>1326</v>
      </c>
      <c r="B16" s="114">
        <v>18712.49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" t="s">
        <v>1327</v>
      </c>
      <c r="B17" s="119">
        <v>6810.354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" t="s">
        <v>1328</v>
      </c>
      <c r="B18" s="119">
        <v>6471.104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" t="s">
        <v>1329</v>
      </c>
      <c r="B19" s="120">
        <v>935.3513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1" t="s">
        <v>1330</v>
      </c>
      <c r="B20" s="120">
        <v>911.2429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6.0" customHeight="1">
      <c r="A21" s="1" t="s">
        <v>1331</v>
      </c>
      <c r="B21" s="121">
        <v>785.1963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6.0" customHeight="1">
      <c r="A22" s="1" t="s">
        <v>1332</v>
      </c>
      <c r="B22" s="121">
        <v>381.5483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6.0" customHeight="1">
      <c r="A23" s="1" t="s">
        <v>1333</v>
      </c>
      <c r="B23" s="116">
        <v>6024.406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6.0" customHeight="1">
      <c r="A24" s="1" t="s">
        <v>1334</v>
      </c>
      <c r="B24" s="116">
        <v>3702.275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" t="s">
        <v>1335</v>
      </c>
      <c r="B25" s="114">
        <v>56925.42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1" t="s">
        <v>1336</v>
      </c>
      <c r="B26" s="114">
        <v>55073.13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1" t="s">
        <v>1337</v>
      </c>
      <c r="B27" s="119">
        <v>9399.333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1" t="s">
        <v>1338</v>
      </c>
      <c r="B28" s="119">
        <v>8929.217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1" t="s">
        <v>1339</v>
      </c>
      <c r="B29" s="114">
        <v>20736.21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1" t="s">
        <v>1340</v>
      </c>
      <c r="B30" s="114">
        <v>20260.09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1" t="s">
        <v>1341</v>
      </c>
      <c r="B31" s="119">
        <v>7170.959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1" t="s">
        <v>1342</v>
      </c>
      <c r="B32" s="119">
        <v>6812.312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1" t="s">
        <v>1343</v>
      </c>
      <c r="B33" s="119">
        <v>9727.452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" t="s">
        <v>1344</v>
      </c>
      <c r="B34" s="119">
        <v>9196.484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" t="s">
        <v>1345</v>
      </c>
      <c r="B35" s="114">
        <v>12668.41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1" t="s">
        <v>1346</v>
      </c>
      <c r="B36" s="114">
        <v>12668.41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1" t="s">
        <v>1347</v>
      </c>
      <c r="B37" s="119">
        <v>4004.039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1" t="s">
        <v>1348</v>
      </c>
      <c r="B38" s="119">
        <v>4004.039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1" t="s">
        <v>1349</v>
      </c>
      <c r="B39" s="120">
        <v>541.1623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1" t="s">
        <v>1350</v>
      </c>
      <c r="B40" s="120">
        <v>541.1623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6.0" customHeight="1">
      <c r="A41" s="1" t="s">
        <v>1351</v>
      </c>
      <c r="B41" s="116">
        <v>6754.416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6.0" customHeight="1">
      <c r="A42" s="1" t="s">
        <v>1352</v>
      </c>
      <c r="B42" s="116">
        <v>6545.295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1" t="s">
        <v>1353</v>
      </c>
      <c r="B43" s="119">
        <v>1713.026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1" t="s">
        <v>1354</v>
      </c>
      <c r="B44" s="119">
        <v>1615.889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1" t="s">
        <v>1355</v>
      </c>
      <c r="B45" s="119">
        <v>7808.803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1" t="s">
        <v>1356</v>
      </c>
      <c r="B46" s="119">
        <v>6858.428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1" t="s">
        <v>1357</v>
      </c>
      <c r="B47" s="114">
        <v>4112.88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1" t="s">
        <v>1358</v>
      </c>
      <c r="B48" s="119">
        <v>3772.114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1" t="s">
        <v>1359</v>
      </c>
      <c r="B49" s="119">
        <v>9364.903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0" customHeight="1">
      <c r="A50" s="1" t="s">
        <v>1360</v>
      </c>
      <c r="B50" s="119">
        <v>9034.622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1" t="s">
        <v>1361</v>
      </c>
      <c r="B51" s="114">
        <v>12063.01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1" t="s">
        <v>1362</v>
      </c>
      <c r="B52" s="114">
        <v>10466.56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6.0" customHeight="1">
      <c r="A53" s="1" t="s">
        <v>1363</v>
      </c>
      <c r="B53" s="117">
        <v>14425.54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6.0" customHeight="1">
      <c r="A54" s="1" t="s">
        <v>1364</v>
      </c>
      <c r="B54" s="117">
        <v>13906.87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6.0" customHeight="1">
      <c r="A55" s="1" t="s">
        <v>1365</v>
      </c>
      <c r="B55" s="116">
        <v>2726.519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6.0" customHeight="1">
      <c r="A56" s="1" t="s">
        <v>1366</v>
      </c>
      <c r="B56" s="116">
        <v>2068.262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4.0" customHeight="1">
      <c r="A57" s="1" t="s">
        <v>1367</v>
      </c>
      <c r="B57" s="114">
        <v>18753.89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4.0" customHeight="1">
      <c r="A58" s="1" t="s">
        <v>1368</v>
      </c>
      <c r="B58" s="114">
        <v>14269.26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4.0" customHeight="1">
      <c r="A59" s="1" t="s">
        <v>1369</v>
      </c>
      <c r="B59" s="114">
        <v>14955.75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4.0" customHeight="1">
      <c r="A60" s="1" t="s">
        <v>1370</v>
      </c>
      <c r="B60" s="114">
        <v>11299.27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0" customHeight="1">
      <c r="A61" s="1" t="s">
        <v>1371</v>
      </c>
      <c r="B61" s="114">
        <v>22826.22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0" customHeight="1">
      <c r="A62" s="1" t="s">
        <v>1372</v>
      </c>
      <c r="B62" s="114">
        <v>20764.95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1" t="s">
        <v>1373</v>
      </c>
      <c r="B63" s="114">
        <v>16221.86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6.0" customHeight="1">
      <c r="A64" s="1" t="s">
        <v>1374</v>
      </c>
      <c r="B64" s="117">
        <v>15491.69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6.0" customHeight="1">
      <c r="A65" s="1" t="s">
        <v>1375</v>
      </c>
      <c r="B65" s="116">
        <v>2563.114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6.0" customHeight="1">
      <c r="A66" s="1" t="s">
        <v>1376</v>
      </c>
      <c r="B66" s="116">
        <v>2403.675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4.0" customHeight="1">
      <c r="A67" s="1" t="s">
        <v>1377</v>
      </c>
      <c r="B67" s="119">
        <v>2759.891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6.0" customHeight="1">
      <c r="A68" s="1" t="s">
        <v>1378</v>
      </c>
      <c r="B68" s="116">
        <v>2660.939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1" t="s">
        <v>1379</v>
      </c>
      <c r="B69" s="114">
        <v>32870.09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1" t="s">
        <v>1380</v>
      </c>
      <c r="B70" s="114">
        <v>30857.05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122" t="s">
        <v>1381</v>
      </c>
      <c r="B71" s="123">
        <v>29463.61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122" t="s">
        <v>1382</v>
      </c>
      <c r="B72" s="123">
        <v>29463.61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124" t="s">
        <v>1383</v>
      </c>
      <c r="B73" s="125">
        <v>10068.93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124" t="s">
        <v>1384</v>
      </c>
      <c r="B74" s="125">
        <v>10068.93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124" t="s">
        <v>1385</v>
      </c>
      <c r="B75" s="125">
        <v>62743.55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124" t="s">
        <v>1386</v>
      </c>
      <c r="B76" s="125">
        <v>59851.84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126" t="s">
        <v>1387</v>
      </c>
      <c r="B77" s="127">
        <v>29463.61</v>
      </c>
    </row>
    <row r="78" ht="12.75" customHeight="1">
      <c r="A78" s="126" t="s">
        <v>1388</v>
      </c>
      <c r="B78" s="127">
        <v>29463.61</v>
      </c>
    </row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2025-06-23T19:29:38Z</dcterms:created>
  <dc:creator>Baishakhi Bose</dc:creator>
</cp:coreProperties>
</file>