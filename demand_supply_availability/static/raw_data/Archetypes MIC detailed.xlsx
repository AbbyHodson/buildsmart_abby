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charts/chart9.xml" ContentType="application/vnd.openxmlformats-officedocument.drawingml.chart+xml"/>
  <Override PartName="/xl/drawings/drawing6.xml" ContentType="application/vnd.openxmlformats-officedocument.drawing+xml"/>
  <Override PartName="/xl/comments5.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comments6.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drawings/drawing8.xml" ContentType="application/vnd.openxmlformats-officedocument.drawing+xml"/>
  <Override PartName="/xl/comments7.xml" ContentType="application/vnd.openxmlformats-officedocument.spreadsheetml.comments+xml"/>
  <Override PartName="/xl/charts/chart14.xml" ContentType="application/vnd.openxmlformats-officedocument.drawingml.chart+xml"/>
  <Override PartName="/xl/charts/chart15.xml" ContentType="application/vnd.openxmlformats-officedocument.drawingml.chart+xml"/>
  <Override PartName="/xl/drawings/drawing9.xml" ContentType="application/vnd.openxmlformats-officedocument.drawing+xml"/>
  <Override PartName="/xl/comments8.xml" ContentType="application/vnd.openxmlformats-officedocument.spreadsheetml.comments+xml"/>
  <Override PartName="/xl/charts/chart16.xml" ContentType="application/vnd.openxmlformats-officedocument.drawingml.chart+xml"/>
  <Override PartName="/xl/charts/chart17.xml" ContentType="application/vnd.openxmlformats-officedocument.drawingml.chart+xml"/>
  <Override PartName="/xl/drawings/drawing10.xml" ContentType="application/vnd.openxmlformats-officedocument.drawing+xml"/>
  <Override PartName="/xl/comments9.xml" ContentType="application/vnd.openxmlformats-officedocument.spreadsheetml.comments+xml"/>
  <Override PartName="/xl/charts/chart18.xml" ContentType="application/vnd.openxmlformats-officedocument.drawingml.chart+xml"/>
  <Override PartName="/xl/charts/chart19.xml" ContentType="application/vnd.openxmlformats-officedocument.drawingml.chart+xml"/>
  <Override PartName="/xl/drawings/drawing11.xml" ContentType="application/vnd.openxmlformats-officedocument.drawing+xml"/>
  <Override PartName="/xl/comments10.xml" ContentType="application/vnd.openxmlformats-officedocument.spreadsheetml.comments+xml"/>
  <Override PartName="/xl/charts/chart20.xml" ContentType="application/vnd.openxmlformats-officedocument.drawingml.chart+xml"/>
  <Override PartName="/xl/charts/chart21.xml" ContentType="application/vnd.openxmlformats-officedocument.drawingml.chart+xml"/>
  <Override PartName="/xl/drawings/drawing12.xml" ContentType="application/vnd.openxmlformats-officedocument.drawing+xml"/>
  <Override PartName="/xl/comments11.xml" ContentType="application/vnd.openxmlformats-officedocument.spreadsheetml.comments+xml"/>
  <Override PartName="/xl/charts/chart22.xml" ContentType="application/vnd.openxmlformats-officedocument.drawingml.chart+xml"/>
  <Override PartName="/xl/charts/chart23.xml" ContentType="application/vnd.openxmlformats-officedocument.drawingml.chart+xml"/>
  <Override PartName="/xl/drawings/drawing13.xml" ContentType="application/vnd.openxmlformats-officedocument.drawing+xml"/>
  <Override PartName="/xl/comments1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drawings/drawing14.xml" ContentType="application/vnd.openxmlformats-officedocument.drawing+xml"/>
  <Override PartName="/xl/comments13.xml" ContentType="application/vnd.openxmlformats-officedocument.spreadsheetml.comments+xml"/>
  <Override PartName="/xl/charts/chart26.xml" ContentType="application/vnd.openxmlformats-officedocument.drawingml.chart+xml"/>
  <Override PartName="/xl/charts/chart27.xml" ContentType="application/vnd.openxmlformats-officedocument.drawingml.chart+xml"/>
  <Override PartName="/xl/drawings/drawing15.xml" ContentType="application/vnd.openxmlformats-officedocument.drawing+xml"/>
  <Override PartName="/xl/comments14.xml" ContentType="application/vnd.openxmlformats-officedocument.spreadsheetml.comments+xml"/>
  <Override PartName="/xl/charts/chart28.xml" ContentType="application/vnd.openxmlformats-officedocument.drawingml.chart+xml"/>
  <Override PartName="/xl/charts/chart29.xml" ContentType="application/vnd.openxmlformats-officedocument.drawingml.chart+xml"/>
  <Override PartName="/xl/drawings/drawing16.xml" ContentType="application/vnd.openxmlformats-officedocument.drawing+xml"/>
  <Override PartName="/xl/comments15.xml" ContentType="application/vnd.openxmlformats-officedocument.spreadsheetml.comments+xml"/>
  <Override PartName="/xl/charts/chart30.xml" ContentType="application/vnd.openxmlformats-officedocument.drawingml.chart+xml"/>
  <Override PartName="/xl/charts/chart31.xml" ContentType="application/vnd.openxmlformats-officedocument.drawingml.chart+xml"/>
  <Override PartName="/xl/drawings/drawing17.xml" ContentType="application/vnd.openxmlformats-officedocument.drawing+xml"/>
  <Override PartName="/xl/comments16.xml" ContentType="application/vnd.openxmlformats-officedocument.spreadsheetml.comments+xml"/>
  <Override PartName="/xl/charts/chart32.xml" ContentType="application/vnd.openxmlformats-officedocument.drawingml.chart+xml"/>
  <Override PartName="/xl/charts/chart33.xml" ContentType="application/vnd.openxmlformats-officedocument.drawingml.chart+xml"/>
  <Override PartName="/xl/drawings/drawing18.xml" ContentType="application/vnd.openxmlformats-officedocument.drawing+xml"/>
  <Override PartName="/xl/comments17.xml" ContentType="application/vnd.openxmlformats-officedocument.spreadsheetml.comments+xml"/>
  <Override PartName="/xl/charts/chart34.xml" ContentType="application/vnd.openxmlformats-officedocument.drawingml.chart+xml"/>
  <Override PartName="/xl/charts/chart35.xml" ContentType="application/vnd.openxmlformats-officedocument.drawingml.chart+xml"/>
  <Override PartName="/xl/drawings/drawing19.xml" ContentType="application/vnd.openxmlformats-officedocument.drawing+xml"/>
  <Override PartName="/xl/comments18.xml" ContentType="application/vnd.openxmlformats-officedocument.spreadsheetml.comments+xml"/>
  <Override PartName="/xl/charts/chart36.xml" ContentType="application/vnd.openxmlformats-officedocument.drawingml.chart+xml"/>
  <Override PartName="/xl/charts/chart37.xml" ContentType="application/vnd.openxmlformats-officedocument.drawingml.chart+xml"/>
  <Override PartName="/xl/drawings/drawing20.xml" ContentType="application/vnd.openxmlformats-officedocument.drawing+xml"/>
  <Override PartName="/xl/comments19.xml" ContentType="application/vnd.openxmlformats-officedocument.spreadsheetml.comments+xml"/>
  <Override PartName="/xl/charts/chart38.xml" ContentType="application/vnd.openxmlformats-officedocument.drawingml.chart+xml"/>
  <Override PartName="/xl/charts/chart39.xml" ContentType="application/vnd.openxmlformats-officedocument.drawingml.chart+xml"/>
  <Override PartName="/xl/drawings/drawing21.xml" ContentType="application/vnd.openxmlformats-officedocument.drawing+xml"/>
  <Override PartName="/xl/comments20.xml" ContentType="application/vnd.openxmlformats-officedocument.spreadsheetml.comments+xml"/>
  <Override PartName="/xl/charts/chart40.xml" ContentType="application/vnd.openxmlformats-officedocument.drawingml.chart+xml"/>
  <Override PartName="/xl/charts/chart41.xml" ContentType="application/vnd.openxmlformats-officedocument.drawingml.chart+xml"/>
  <Override PartName="/xl/drawings/drawing22.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drawings/drawing23.xml" ContentType="application/vnd.openxmlformats-officedocument.drawing+xml"/>
  <Override PartName="/xl/comments21.xml" ContentType="application/vnd.openxmlformats-officedocument.spreadsheetml.comments+xml"/>
  <Override PartName="/xl/charts/chart44.xml" ContentType="application/vnd.openxmlformats-officedocument.drawingml.chart+xml"/>
  <Override PartName="/xl/charts/chart45.xml" ContentType="application/vnd.openxmlformats-officedocument.drawingml.chart+xml"/>
  <Override PartName="/xl/drawings/drawing24.xml" ContentType="application/vnd.openxmlformats-officedocument.drawing+xml"/>
  <Override PartName="/xl/comments22.xml" ContentType="application/vnd.openxmlformats-officedocument.spreadsheetml.comments+xml"/>
  <Override PartName="/xl/charts/chart46.xml" ContentType="application/vnd.openxmlformats-officedocument.drawingml.chart+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Override PartName="/xl/commentsmeta5" ContentType="application/binary"/>
  <Override PartName="/xl/commentsmeta3" ContentType="application/binary"/>
  <Override PartName="/xl/commentsmeta4" ContentType="application/binary"/>
  <Override PartName="/xl/commentsmeta2" ContentType="application/binary"/>
  <Override PartName="/xl/commentsmeta6" ContentType="application/binary"/>
  <Override PartName="/xl/commentsmeta9" ContentType="application/binary"/>
  <Override PartName="/xl/commentsmeta10" ContentType="application/binary"/>
  <Override PartName="/xl/commentsmeta8" ContentType="application/binary"/>
  <Override PartName="/xl/commentsmeta7" ContentType="application/binary"/>
  <Override PartName="/xl/commentsmeta11" ContentType="application/binary"/>
  <Override PartName="/xl/commentsmeta12" ContentType="application/binary"/>
  <Override PartName="/xl/commentsmeta13" ContentType="application/binary"/>
  <Override PartName="/xl/commentsmeta14" ContentType="application/binary"/>
  <Override PartName="/xl/commentsmeta15" ContentType="application/binary"/>
  <Override PartName="/xl/commentsmeta18" ContentType="application/binary"/>
  <Override PartName="/xl/commentsmeta16" ContentType="application/binary"/>
  <Override PartName="/xl/commentsmeta17" ContentType="application/binary"/>
  <Override PartName="/xl/commentsmeta19" ContentType="application/binary"/>
  <Override PartName="/xl/commentsmeta20" ContentType="application/binary"/>
  <Override PartName="/xl/commentsmeta2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hodson/Desktop/buildsmart/demand_supply_availability/static/raw_data/"/>
    </mc:Choice>
  </mc:AlternateContent>
  <xr:revisionPtr revIDLastSave="0" documentId="13_ncr:1_{F363552C-4B89-A549-8744-FB6CB9043E86}" xr6:coauthVersionLast="47" xr6:coauthVersionMax="47" xr10:uidLastSave="{00000000-0000-0000-0000-000000000000}"/>
  <bookViews>
    <workbookView xWindow="600" yWindow="1580" windowWidth="30240" windowHeight="17300" xr2:uid="{00000000-000D-0000-FFFF-FFFF00000000}"/>
  </bookViews>
  <sheets>
    <sheet name="Materials" sheetId="1" r:id="rId1"/>
    <sheet name="Components" sheetId="2" r:id="rId2"/>
    <sheet name="MIC by location" sheetId="3" r:id="rId3"/>
    <sheet name="MIC % by location" sheetId="4" r:id="rId4"/>
    <sheet name="MIC % by location graph" sheetId="5" r:id="rId5"/>
    <sheet name="Aircraft traffic control &amp; oper" sheetId="6" r:id="rId6"/>
    <sheet name="Ammunition &amp; explosives storage" sheetId="7" r:id="rId7"/>
    <sheet name="Aircraft maintenance hangar" sheetId="8" r:id="rId8"/>
    <sheet name="Armory" sheetId="9" r:id="rId9"/>
    <sheet name="Communications" sheetId="10" r:id="rId10"/>
    <sheet name="Dining" sheetId="11" r:id="rId11"/>
    <sheet name="Family housing" sheetId="12" r:id="rId12"/>
    <sheet name="Family service center" sheetId="13" r:id="rId13"/>
    <sheet name="Fire station" sheetId="14" r:id="rId14"/>
    <sheet name="Industrial utilities" sheetId="15" r:id="rId15"/>
    <sheet name="Lodging" sheetId="16" r:id="rId16"/>
    <sheet name="Maintenance shop" sheetId="17" r:id="rId17"/>
    <sheet name="Medical" sheetId="18" r:id="rId18"/>
    <sheet name="Office" sheetId="19" r:id="rId19"/>
    <sheet name="Public service" sheetId="20" r:id="rId20"/>
    <sheet name="RDT&amp;E" sheetId="21" r:id="rId21"/>
    <sheet name="Recreation &amp; culture" sheetId="22" r:id="rId22"/>
    <sheet name="Security" sheetId="23" r:id="rId23"/>
    <sheet name="Ship operational" sheetId="24" r:id="rId24"/>
    <sheet name="Store (retail &amp; grocery)" sheetId="25" r:id="rId25"/>
    <sheet name="Training &amp; academic instruction" sheetId="26" r:id="rId26"/>
    <sheet name="Unaccompanied housing (barracks" sheetId="27" r:id="rId27"/>
    <sheet name="Warehouse &amp; storage" sheetId="28"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32" roundtripDataChecksum="aYyEBlC17wYrQO7zQoa1dLowxSZN/J6f9rc/tBmdWSE="/>
    </ext>
  </extLst>
</workbook>
</file>

<file path=xl/calcChain.xml><?xml version="1.0" encoding="utf-8"?>
<calcChain xmlns="http://schemas.openxmlformats.org/spreadsheetml/2006/main">
  <c r="G59" i="28" l="1"/>
  <c r="G51" i="28"/>
  <c r="G50" i="28"/>
  <c r="G49" i="28"/>
  <c r="G48" i="28"/>
  <c r="Q37" i="28"/>
  <c r="H52" i="28" s="1"/>
  <c r="N37" i="28"/>
  <c r="G52" i="28" s="1"/>
  <c r="Q34" i="28"/>
  <c r="H59" i="28" s="1"/>
  <c r="N34" i="28"/>
  <c r="N31" i="28"/>
  <c r="Q31" i="28" s="1"/>
  <c r="H50" i="28" s="1"/>
  <c r="Q25" i="28"/>
  <c r="N25" i="28"/>
  <c r="Q24" i="28"/>
  <c r="N24" i="28"/>
  <c r="H24" i="28"/>
  <c r="Q22" i="28"/>
  <c r="N22" i="28"/>
  <c r="G58" i="28" s="1"/>
  <c r="Q21" i="28"/>
  <c r="N21" i="28"/>
  <c r="N19" i="28"/>
  <c r="Q19" i="28" s="1"/>
  <c r="Q17" i="28"/>
  <c r="H48" i="28" s="1"/>
  <c r="N17" i="28"/>
  <c r="Q14" i="28"/>
  <c r="H47" i="28" s="1"/>
  <c r="N14" i="28"/>
  <c r="G47" i="28" s="1"/>
  <c r="N11" i="28"/>
  <c r="Q11" i="28" s="1"/>
  <c r="N7" i="28"/>
  <c r="Q7" i="28" s="1"/>
  <c r="H46" i="28" s="1"/>
  <c r="N6" i="28"/>
  <c r="Q6" i="28" s="1"/>
  <c r="N5" i="28"/>
  <c r="Q5" i="28" s="1"/>
  <c r="N4" i="28"/>
  <c r="Q4" i="28" s="1"/>
  <c r="Q2" i="28"/>
  <c r="H44" i="28" s="1"/>
  <c r="N2" i="28"/>
  <c r="G44" i="28" s="1"/>
  <c r="G70" i="27"/>
  <c r="G66" i="27"/>
  <c r="G65" i="27"/>
  <c r="G59" i="27"/>
  <c r="G58" i="27"/>
  <c r="G53" i="27"/>
  <c r="G50" i="27"/>
  <c r="N44" i="27"/>
  <c r="Q44" i="27" s="1"/>
  <c r="N42" i="27"/>
  <c r="G69" i="27" s="1"/>
  <c r="N39" i="27"/>
  <c r="Q39" i="27" s="1"/>
  <c r="N36" i="27"/>
  <c r="Q36" i="27" s="1"/>
  <c r="H56" i="27" s="1"/>
  <c r="N34" i="27"/>
  <c r="G67" i="27" s="1"/>
  <c r="Q30" i="27"/>
  <c r="H66" i="27" s="1"/>
  <c r="N30" i="27"/>
  <c r="G54" i="27" s="1"/>
  <c r="N25" i="27"/>
  <c r="Q25" i="27" s="1"/>
  <c r="Q24" i="27"/>
  <c r="N24" i="27"/>
  <c r="Q23" i="27"/>
  <c r="N23" i="27"/>
  <c r="N22" i="27"/>
  <c r="Q22" i="27" s="1"/>
  <c r="N20" i="27"/>
  <c r="G52" i="27" s="1"/>
  <c r="Q19" i="27"/>
  <c r="N19" i="27"/>
  <c r="N18" i="27"/>
  <c r="Q18" i="27" s="1"/>
  <c r="N17" i="27"/>
  <c r="Q17" i="27" s="1"/>
  <c r="N16" i="27"/>
  <c r="Q16" i="27" s="1"/>
  <c r="N15" i="27"/>
  <c r="Q15" i="27" s="1"/>
  <c r="Q13" i="27"/>
  <c r="N13" i="27"/>
  <c r="N12" i="27"/>
  <c r="Q12" i="27" s="1"/>
  <c r="Q11" i="27"/>
  <c r="N11" i="27"/>
  <c r="Q10" i="27"/>
  <c r="N10" i="27"/>
  <c r="N9" i="27"/>
  <c r="Q9" i="27" s="1"/>
  <c r="N8" i="27"/>
  <c r="G51" i="27" s="1"/>
  <c r="Q7" i="27"/>
  <c r="N7" i="27"/>
  <c r="N6" i="27"/>
  <c r="Q6" i="27" s="1"/>
  <c r="N5" i="27"/>
  <c r="Q5" i="27" s="1"/>
  <c r="N4" i="27"/>
  <c r="Q4" i="27" s="1"/>
  <c r="N2" i="27"/>
  <c r="Q2" i="27" s="1"/>
  <c r="H50" i="26"/>
  <c r="G50" i="26"/>
  <c r="H49" i="26"/>
  <c r="G45" i="26"/>
  <c r="G44" i="26"/>
  <c r="N36" i="26"/>
  <c r="Q36" i="26" s="1"/>
  <c r="J36" i="26"/>
  <c r="Q32" i="26"/>
  <c r="H52" i="26" s="1"/>
  <c r="N32" i="26"/>
  <c r="G52" i="26" s="1"/>
  <c r="N30" i="26"/>
  <c r="G51" i="26" s="1"/>
  <c r="N27" i="26"/>
  <c r="Q27" i="26" s="1"/>
  <c r="J27" i="26"/>
  <c r="Q25" i="26"/>
  <c r="H61" i="26" s="1"/>
  <c r="N25" i="26"/>
  <c r="G61" i="26" s="1"/>
  <c r="Q21" i="26"/>
  <c r="H60" i="26" s="1"/>
  <c r="N21" i="26"/>
  <c r="G60" i="26" s="1"/>
  <c r="Q17" i="26"/>
  <c r="N17" i="26"/>
  <c r="G59" i="26" s="1"/>
  <c r="N16" i="26"/>
  <c r="Q16" i="26" s="1"/>
  <c r="N15" i="26"/>
  <c r="Q15" i="26" s="1"/>
  <c r="N14" i="26"/>
  <c r="Q14" i="26" s="1"/>
  <c r="H14" i="26"/>
  <c r="Q13" i="26"/>
  <c r="N13" i="26"/>
  <c r="Q11" i="26"/>
  <c r="H47" i="26" s="1"/>
  <c r="N11" i="26"/>
  <c r="G47" i="26" s="1"/>
  <c r="N10" i="26"/>
  <c r="G46" i="26" s="1"/>
  <c r="N7" i="26"/>
  <c r="Q7" i="26" s="1"/>
  <c r="H45" i="26" s="1"/>
  <c r="N4" i="26"/>
  <c r="Q4" i="26" s="1"/>
  <c r="H44" i="26" s="1"/>
  <c r="N3" i="26"/>
  <c r="Q3" i="26" s="1"/>
  <c r="N2" i="26"/>
  <c r="Q2" i="26" s="1"/>
  <c r="G102" i="25"/>
  <c r="H96" i="25"/>
  <c r="G96" i="25"/>
  <c r="G88" i="25"/>
  <c r="G87" i="25"/>
  <c r="G85" i="25"/>
  <c r="G82" i="25"/>
  <c r="G80" i="25"/>
  <c r="G77" i="25"/>
  <c r="N68" i="25"/>
  <c r="Q68" i="25" s="1"/>
  <c r="N66" i="25"/>
  <c r="Q66" i="25" s="1"/>
  <c r="Q64" i="25"/>
  <c r="H88" i="25" s="1"/>
  <c r="N64" i="25"/>
  <c r="Q61" i="25"/>
  <c r="N61" i="25"/>
  <c r="G101" i="25" s="1"/>
  <c r="Q60" i="25"/>
  <c r="N60" i="25"/>
  <c r="N55" i="25"/>
  <c r="Q55" i="25" s="1"/>
  <c r="Q53" i="25"/>
  <c r="H87" i="25" s="1"/>
  <c r="N51" i="25"/>
  <c r="Q51" i="25" s="1"/>
  <c r="Q50" i="25"/>
  <c r="H85" i="25" s="1"/>
  <c r="N50" i="25"/>
  <c r="Q47" i="25"/>
  <c r="N47" i="25"/>
  <c r="G84" i="25" s="1"/>
  <c r="Q46" i="25"/>
  <c r="N46" i="25"/>
  <c r="N44" i="25"/>
  <c r="Q44" i="25" s="1"/>
  <c r="Q43" i="25"/>
  <c r="N43" i="25"/>
  <c r="N42" i="25"/>
  <c r="Q42" i="25" s="1"/>
  <c r="H82" i="25" s="1"/>
  <c r="N41" i="25"/>
  <c r="Q40" i="25"/>
  <c r="N40" i="25"/>
  <c r="N39" i="25"/>
  <c r="Q39" i="25" s="1"/>
  <c r="N38" i="25"/>
  <c r="Q38" i="25" s="1"/>
  <c r="N37" i="25"/>
  <c r="G90" i="25" s="1"/>
  <c r="Q34" i="25"/>
  <c r="N34" i="25"/>
  <c r="G98" i="25" s="1"/>
  <c r="Q33" i="25"/>
  <c r="N33" i="25"/>
  <c r="G97" i="25" s="1"/>
  <c r="Q31" i="25"/>
  <c r="H80" i="25" s="1"/>
  <c r="N31" i="25"/>
  <c r="N30" i="25"/>
  <c r="Q30" i="25" s="1"/>
  <c r="Q26" i="25"/>
  <c r="N26" i="25"/>
  <c r="N24" i="25"/>
  <c r="G79" i="25" s="1"/>
  <c r="N21" i="25"/>
  <c r="Q17" i="25"/>
  <c r="N17" i="25"/>
  <c r="N14" i="25"/>
  <c r="Q14" i="25" s="1"/>
  <c r="H77" i="25" s="1"/>
  <c r="N13" i="25"/>
  <c r="Q13" i="25" s="1"/>
  <c r="N12" i="25"/>
  <c r="Q12" i="25" s="1"/>
  <c r="Q11" i="25"/>
  <c r="N11" i="25"/>
  <c r="Q10" i="25"/>
  <c r="N10" i="25"/>
  <c r="Q9" i="25"/>
  <c r="N9" i="25"/>
  <c r="N7" i="25"/>
  <c r="Q7" i="25" s="1"/>
  <c r="Q6" i="25"/>
  <c r="N6" i="25"/>
  <c r="N5" i="25"/>
  <c r="Q5" i="25" s="1"/>
  <c r="N4" i="25"/>
  <c r="Q2" i="25"/>
  <c r="N2" i="25"/>
  <c r="G75" i="25" s="1"/>
  <c r="G77" i="24"/>
  <c r="H74" i="24"/>
  <c r="G67" i="24"/>
  <c r="G66" i="24"/>
  <c r="G63" i="24"/>
  <c r="H60" i="24"/>
  <c r="G55" i="24"/>
  <c r="Q49" i="24"/>
  <c r="N49" i="24"/>
  <c r="N47" i="24"/>
  <c r="G73" i="24" s="1"/>
  <c r="N45" i="24"/>
  <c r="G64" i="24" s="1"/>
  <c r="N42" i="24"/>
  <c r="Q42" i="24" s="1"/>
  <c r="Q41" i="24"/>
  <c r="H61" i="24" s="1"/>
  <c r="N41" i="24"/>
  <c r="G61" i="24" s="1"/>
  <c r="Q37" i="24"/>
  <c r="N37" i="24"/>
  <c r="G74" i="24" s="1"/>
  <c r="Q35" i="24"/>
  <c r="N35" i="24"/>
  <c r="N34" i="24"/>
  <c r="Q34" i="24" s="1"/>
  <c r="Q33" i="24"/>
  <c r="N33" i="24"/>
  <c r="N32" i="24"/>
  <c r="Q32" i="24" s="1"/>
  <c r="N31" i="24"/>
  <c r="Q30" i="24"/>
  <c r="N30" i="24"/>
  <c r="G78" i="24" s="1"/>
  <c r="N29" i="24"/>
  <c r="Q29" i="24" s="1"/>
  <c r="H59" i="24" s="1"/>
  <c r="N28" i="24"/>
  <c r="Q28" i="24" s="1"/>
  <c r="N24" i="24"/>
  <c r="Q24" i="24" s="1"/>
  <c r="Q21" i="24"/>
  <c r="N21" i="24"/>
  <c r="G59" i="24" s="1"/>
  <c r="Q19" i="24"/>
  <c r="H58" i="24" s="1"/>
  <c r="N19" i="24"/>
  <c r="G58" i="24" s="1"/>
  <c r="Q13" i="24"/>
  <c r="N13" i="24"/>
  <c r="N7" i="24"/>
  <c r="G57" i="24" s="1"/>
  <c r="Q6" i="24"/>
  <c r="N6" i="24"/>
  <c r="N5" i="24"/>
  <c r="Q5" i="24" s="1"/>
  <c r="N4" i="24"/>
  <c r="Q2" i="24"/>
  <c r="H55" i="24" s="1"/>
  <c r="N2" i="24"/>
  <c r="G71" i="24" s="1"/>
  <c r="G84" i="23"/>
  <c r="G82" i="23"/>
  <c r="H81" i="23"/>
  <c r="G79" i="23"/>
  <c r="G76" i="23"/>
  <c r="H70" i="23"/>
  <c r="G70" i="23"/>
  <c r="G68" i="23"/>
  <c r="H67" i="23"/>
  <c r="G67" i="23"/>
  <c r="G65" i="23"/>
  <c r="H62" i="23"/>
  <c r="G62" i="23"/>
  <c r="G57" i="23"/>
  <c r="H56" i="23"/>
  <c r="G56" i="23"/>
  <c r="Q52" i="23"/>
  <c r="N52" i="23"/>
  <c r="N48" i="23"/>
  <c r="G69" i="23" s="1"/>
  <c r="Q46" i="23"/>
  <c r="N46" i="23"/>
  <c r="G85" i="23" s="1"/>
  <c r="Q45" i="23"/>
  <c r="N45" i="23"/>
  <c r="N44" i="23"/>
  <c r="Q44" i="23" s="1"/>
  <c r="Q43" i="23"/>
  <c r="H84" i="23" s="1"/>
  <c r="N43" i="23"/>
  <c r="J43" i="23"/>
  <c r="J39" i="23"/>
  <c r="N39" i="23" s="1"/>
  <c r="N35" i="23"/>
  <c r="Q35" i="23" s="1"/>
  <c r="J35" i="23"/>
  <c r="Q29" i="23"/>
  <c r="H64" i="23" s="1"/>
  <c r="N29" i="23"/>
  <c r="Q23" i="23"/>
  <c r="H63" i="23" s="1"/>
  <c r="N23" i="23"/>
  <c r="G63" i="23" s="1"/>
  <c r="Q20" i="23"/>
  <c r="H79" i="23" s="1"/>
  <c r="N20" i="23"/>
  <c r="J20" i="23"/>
  <c r="L19" i="23"/>
  <c r="N19" i="23" s="1"/>
  <c r="N17" i="23"/>
  <c r="J17" i="23"/>
  <c r="Q16" i="23"/>
  <c r="N16" i="23"/>
  <c r="Q15" i="23"/>
  <c r="N15" i="23"/>
  <c r="N14" i="23"/>
  <c r="Q14" i="23" s="1"/>
  <c r="N11" i="23"/>
  <c r="Q11" i="23" s="1"/>
  <c r="H59" i="23" s="1"/>
  <c r="N7" i="23"/>
  <c r="Q6" i="23"/>
  <c r="N6" i="23"/>
  <c r="Q5" i="23"/>
  <c r="N5" i="23"/>
  <c r="J5" i="23"/>
  <c r="N4" i="23"/>
  <c r="N2" i="23"/>
  <c r="Q2" i="23" s="1"/>
  <c r="H74" i="23" s="1"/>
  <c r="G120" i="22"/>
  <c r="G119" i="22"/>
  <c r="H116" i="22"/>
  <c r="G115" i="22"/>
  <c r="G114" i="22"/>
  <c r="H102" i="22"/>
  <c r="G100" i="22"/>
  <c r="G97" i="22"/>
  <c r="G95" i="22"/>
  <c r="H94" i="22"/>
  <c r="G94" i="22"/>
  <c r="H93" i="22"/>
  <c r="G93" i="22"/>
  <c r="H89" i="22"/>
  <c r="G89" i="22"/>
  <c r="N83" i="22"/>
  <c r="J83" i="22"/>
  <c r="N79" i="22"/>
  <c r="Q79" i="22" s="1"/>
  <c r="H104" i="22" s="1"/>
  <c r="Q76" i="22"/>
  <c r="Q75" i="22"/>
  <c r="N75" i="22"/>
  <c r="G103" i="22" s="1"/>
  <c r="Q72" i="22"/>
  <c r="N72" i="22"/>
  <c r="G102" i="22" s="1"/>
  <c r="N70" i="22"/>
  <c r="G101" i="22" s="1"/>
  <c r="Q67" i="22"/>
  <c r="N67" i="22"/>
  <c r="N64" i="22"/>
  <c r="Q64" i="22" s="1"/>
  <c r="H100" i="22" s="1"/>
  <c r="Q62" i="22"/>
  <c r="Q61" i="22"/>
  <c r="N61" i="22"/>
  <c r="Q58" i="22"/>
  <c r="N58" i="22"/>
  <c r="N56" i="22"/>
  <c r="Q56" i="22" s="1"/>
  <c r="Q52" i="22"/>
  <c r="N52" i="22"/>
  <c r="N48" i="22"/>
  <c r="Q48" i="22" s="1"/>
  <c r="Q46" i="22"/>
  <c r="N46" i="22"/>
  <c r="Q42" i="22"/>
  <c r="H98" i="22" s="1"/>
  <c r="N42" i="22"/>
  <c r="G116" i="22" s="1"/>
  <c r="Q38" i="22"/>
  <c r="N38" i="22"/>
  <c r="N36" i="22"/>
  <c r="Q36" i="22" s="1"/>
  <c r="H35" i="22"/>
  <c r="N35" i="22" s="1"/>
  <c r="Q35" i="22" s="1"/>
  <c r="N32" i="22"/>
  <c r="G96" i="22" s="1"/>
  <c r="Q31" i="22"/>
  <c r="H95" i="22" s="1"/>
  <c r="N31" i="22"/>
  <c r="G113" i="22" s="1"/>
  <c r="Q29" i="22"/>
  <c r="H112" i="22" s="1"/>
  <c r="N29" i="22"/>
  <c r="G112" i="22" s="1"/>
  <c r="N28" i="22"/>
  <c r="Q24" i="22"/>
  <c r="Q22" i="22"/>
  <c r="N19" i="22"/>
  <c r="Q11" i="22"/>
  <c r="H90" i="22" s="1"/>
  <c r="Q7" i="22"/>
  <c r="N7" i="22"/>
  <c r="Q6" i="22"/>
  <c r="N6" i="22"/>
  <c r="N5" i="22"/>
  <c r="Q5" i="22" s="1"/>
  <c r="N4" i="22"/>
  <c r="Q4" i="22" s="1"/>
  <c r="N2" i="22"/>
  <c r="G84" i="21"/>
  <c r="G82" i="21"/>
  <c r="G79" i="21"/>
  <c r="G76" i="21"/>
  <c r="G72" i="21"/>
  <c r="H69" i="21"/>
  <c r="G69" i="21"/>
  <c r="H66" i="21"/>
  <c r="G66" i="21"/>
  <c r="G64" i="21"/>
  <c r="G61" i="21"/>
  <c r="H60" i="21"/>
  <c r="Q53" i="21"/>
  <c r="H73" i="21" s="1"/>
  <c r="N53" i="21"/>
  <c r="G73" i="21" s="1"/>
  <c r="Q51" i="21"/>
  <c r="N51" i="21"/>
  <c r="N48" i="21"/>
  <c r="Q48" i="21" s="1"/>
  <c r="N45" i="21"/>
  <c r="Q45" i="21" s="1"/>
  <c r="Q43" i="21"/>
  <c r="N43" i="21"/>
  <c r="N39" i="21"/>
  <c r="N35" i="21"/>
  <c r="N34" i="21"/>
  <c r="Q34" i="21" s="1"/>
  <c r="H79" i="21" s="1"/>
  <c r="N33" i="21"/>
  <c r="Q32" i="21"/>
  <c r="N32" i="21"/>
  <c r="G83" i="21" s="1"/>
  <c r="Q30" i="21"/>
  <c r="N30" i="21"/>
  <c r="Q28" i="21"/>
  <c r="N28" i="21"/>
  <c r="Q27" i="21"/>
  <c r="N27" i="21"/>
  <c r="N25" i="21"/>
  <c r="Q25" i="21" s="1"/>
  <c r="Q24" i="21"/>
  <c r="N24" i="21"/>
  <c r="Q22" i="21"/>
  <c r="H64" i="21" s="1"/>
  <c r="N22" i="21"/>
  <c r="N17" i="21"/>
  <c r="Q17" i="21" s="1"/>
  <c r="N14" i="21"/>
  <c r="Q14" i="21" s="1"/>
  <c r="H63" i="21" s="1"/>
  <c r="N12" i="21"/>
  <c r="Q12" i="21" s="1"/>
  <c r="H62" i="21" s="1"/>
  <c r="N9" i="21"/>
  <c r="Q9" i="21" s="1"/>
  <c r="H61" i="21" s="1"/>
  <c r="Q8" i="21"/>
  <c r="N8" i="21"/>
  <c r="Q6" i="21"/>
  <c r="N6" i="21"/>
  <c r="G59" i="21" s="1"/>
  <c r="Q5" i="21"/>
  <c r="N5" i="21"/>
  <c r="Q2" i="21"/>
  <c r="N2" i="21"/>
  <c r="G105" i="20"/>
  <c r="H104" i="20"/>
  <c r="G104" i="20"/>
  <c r="G102" i="20"/>
  <c r="G99" i="20"/>
  <c r="H98" i="20"/>
  <c r="G98" i="20"/>
  <c r="H89" i="20"/>
  <c r="G89" i="20"/>
  <c r="G88" i="20"/>
  <c r="G87" i="20"/>
  <c r="G84" i="20"/>
  <c r="H80" i="20"/>
  <c r="N67" i="20"/>
  <c r="Q67" i="20" s="1"/>
  <c r="Q65" i="20"/>
  <c r="H90" i="20" s="1"/>
  <c r="N65" i="20"/>
  <c r="G90" i="20" s="1"/>
  <c r="Q63" i="20"/>
  <c r="N63" i="20"/>
  <c r="N60" i="20"/>
  <c r="G101" i="20" s="1"/>
  <c r="Q57" i="20"/>
  <c r="H105" i="20" s="1"/>
  <c r="N57" i="20"/>
  <c r="N55" i="20"/>
  <c r="Q55" i="20" s="1"/>
  <c r="H87" i="20" s="1"/>
  <c r="N52" i="20"/>
  <c r="Q52" i="20" s="1"/>
  <c r="Q49" i="20"/>
  <c r="N49" i="20"/>
  <c r="Q47" i="20"/>
  <c r="Q46" i="20"/>
  <c r="N46" i="20"/>
  <c r="Q43" i="20"/>
  <c r="N43" i="20"/>
  <c r="N41" i="20"/>
  <c r="Q37" i="20"/>
  <c r="N37" i="20"/>
  <c r="Q33" i="20"/>
  <c r="N33" i="20"/>
  <c r="N32" i="20"/>
  <c r="Q32" i="20" s="1"/>
  <c r="Q31" i="20"/>
  <c r="N31" i="20"/>
  <c r="N30" i="20"/>
  <c r="Q30" i="20" s="1"/>
  <c r="N27" i="20"/>
  <c r="Q26" i="20"/>
  <c r="H99" i="20" s="1"/>
  <c r="N26" i="20"/>
  <c r="G81" i="20" s="1"/>
  <c r="Q24" i="20"/>
  <c r="N24" i="20"/>
  <c r="G80" i="20" s="1"/>
  <c r="Q22" i="20"/>
  <c r="N22" i="20"/>
  <c r="Q20" i="20"/>
  <c r="N20" i="20"/>
  <c r="N17" i="20"/>
  <c r="Q17" i="20" s="1"/>
  <c r="N14" i="20"/>
  <c r="Q14" i="20" s="1"/>
  <c r="H78" i="20" s="1"/>
  <c r="Q11" i="20"/>
  <c r="H77" i="20" s="1"/>
  <c r="N11" i="20"/>
  <c r="G77" i="20" s="1"/>
  <c r="N7" i="20"/>
  <c r="N6" i="20"/>
  <c r="Q6" i="20" s="1"/>
  <c r="N5" i="20"/>
  <c r="Q5" i="20" s="1"/>
  <c r="N4" i="20"/>
  <c r="Q2" i="20"/>
  <c r="H95" i="20" s="1"/>
  <c r="N2" i="20"/>
  <c r="G102" i="19"/>
  <c r="G101" i="19"/>
  <c r="G100" i="19"/>
  <c r="G98" i="19"/>
  <c r="H94" i="19"/>
  <c r="G88" i="19"/>
  <c r="G87" i="19"/>
  <c r="G86" i="19"/>
  <c r="H85" i="19"/>
  <c r="G85" i="19"/>
  <c r="H82" i="19"/>
  <c r="G82" i="19"/>
  <c r="H79" i="19"/>
  <c r="G79" i="19"/>
  <c r="H78" i="19"/>
  <c r="Q67" i="19"/>
  <c r="N67" i="19"/>
  <c r="G84" i="19" s="1"/>
  <c r="Q64" i="19"/>
  <c r="H102" i="19" s="1"/>
  <c r="N64" i="19"/>
  <c r="J64" i="19"/>
  <c r="Q62" i="19"/>
  <c r="H87" i="19" s="1"/>
  <c r="N62" i="19"/>
  <c r="N59" i="19"/>
  <c r="Q59" i="19" s="1"/>
  <c r="J59" i="19"/>
  <c r="Q57" i="19"/>
  <c r="H86" i="19" s="1"/>
  <c r="N57" i="19"/>
  <c r="Q53" i="19"/>
  <c r="H100" i="19" s="1"/>
  <c r="N53" i="19"/>
  <c r="N50" i="19"/>
  <c r="Q50" i="19" s="1"/>
  <c r="H96" i="19" s="1"/>
  <c r="J50" i="19"/>
  <c r="Q46" i="19"/>
  <c r="H84" i="19" s="1"/>
  <c r="N46" i="19"/>
  <c r="Q45" i="19"/>
  <c r="N45" i="19"/>
  <c r="N44" i="19"/>
  <c r="Q44" i="19" s="1"/>
  <c r="Q41" i="19"/>
  <c r="K41" i="19"/>
  <c r="J41" i="19"/>
  <c r="N41" i="19" s="1"/>
  <c r="Q40" i="19"/>
  <c r="N40" i="19"/>
  <c r="J40" i="19"/>
  <c r="Q39" i="19"/>
  <c r="N39" i="19"/>
  <c r="J39" i="19"/>
  <c r="N38" i="19"/>
  <c r="G83" i="19" s="1"/>
  <c r="J38" i="19"/>
  <c r="N33" i="19"/>
  <c r="Q33" i="19" s="1"/>
  <c r="H98" i="19" s="1"/>
  <c r="J33" i="19"/>
  <c r="Q29" i="19"/>
  <c r="H97" i="19" s="1"/>
  <c r="N29" i="19"/>
  <c r="G81" i="19" s="1"/>
  <c r="J29" i="19"/>
  <c r="Q26" i="19"/>
  <c r="H80" i="19" s="1"/>
  <c r="N26" i="19"/>
  <c r="G80" i="19" s="1"/>
  <c r="J26" i="19"/>
  <c r="Q25" i="19"/>
  <c r="H95" i="19" s="1"/>
  <c r="N25" i="19"/>
  <c r="G95" i="19" s="1"/>
  <c r="L25" i="19"/>
  <c r="Q23" i="19"/>
  <c r="N23" i="19"/>
  <c r="G78" i="19" s="1"/>
  <c r="J23" i="19"/>
  <c r="N20" i="19"/>
  <c r="Q20" i="19" s="1"/>
  <c r="H20" i="19"/>
  <c r="Q18" i="19"/>
  <c r="N18" i="19"/>
  <c r="Q16" i="19"/>
  <c r="N16" i="19"/>
  <c r="N13" i="19"/>
  <c r="Q13" i="19" s="1"/>
  <c r="H76" i="19" s="1"/>
  <c r="J13" i="19"/>
  <c r="Q12" i="19"/>
  <c r="N12" i="19"/>
  <c r="Q11" i="19"/>
  <c r="N11" i="19"/>
  <c r="N10" i="19"/>
  <c r="Q10" i="19" s="1"/>
  <c r="Q9" i="19"/>
  <c r="N9" i="19"/>
  <c r="N8" i="19"/>
  <c r="Q8" i="19" s="1"/>
  <c r="Q7" i="19"/>
  <c r="N7" i="19"/>
  <c r="N5" i="19"/>
  <c r="Q5" i="19" s="1"/>
  <c r="J5" i="19"/>
  <c r="N6" i="19" s="1"/>
  <c r="N2" i="19"/>
  <c r="K2" i="19"/>
  <c r="N4" i="19" s="1"/>
  <c r="Q4" i="19" s="1"/>
  <c r="J2" i="19"/>
  <c r="G69" i="18"/>
  <c r="H68" i="18"/>
  <c r="G68" i="18"/>
  <c r="G60" i="18"/>
  <c r="G59" i="18"/>
  <c r="G57" i="18"/>
  <c r="G55" i="18"/>
  <c r="H54" i="18"/>
  <c r="G54" i="18"/>
  <c r="Q45" i="18"/>
  <c r="H69" i="18" s="1"/>
  <c r="N45" i="18"/>
  <c r="Q43" i="18"/>
  <c r="H59" i="18" s="1"/>
  <c r="N43" i="18"/>
  <c r="Q40" i="18"/>
  <c r="H67" i="18" s="1"/>
  <c r="N40" i="18"/>
  <c r="G58" i="18" s="1"/>
  <c r="Q37" i="18"/>
  <c r="H57" i="18" s="1"/>
  <c r="N37" i="18"/>
  <c r="N36" i="18"/>
  <c r="Q36" i="18" s="1"/>
  <c r="N34" i="18"/>
  <c r="G66" i="18" s="1"/>
  <c r="N33" i="18"/>
  <c r="Q33" i="18" s="1"/>
  <c r="N30" i="18"/>
  <c r="Q30" i="18" s="1"/>
  <c r="N27" i="18"/>
  <c r="Q27" i="18" s="1"/>
  <c r="Q22" i="18"/>
  <c r="N22" i="18"/>
  <c r="Q20" i="18"/>
  <c r="N20" i="18"/>
  <c r="G53" i="18" s="1"/>
  <c r="Q17" i="18"/>
  <c r="N17" i="18"/>
  <c r="Q14" i="18"/>
  <c r="H55" i="18" s="1"/>
  <c r="N14" i="18"/>
  <c r="Q13" i="18"/>
  <c r="N13" i="18"/>
  <c r="Q12" i="18"/>
  <c r="N12" i="18"/>
  <c r="N11" i="18"/>
  <c r="Q11" i="18" s="1"/>
  <c r="Q10" i="18"/>
  <c r="N10" i="18"/>
  <c r="G10" i="18"/>
  <c r="N9" i="18"/>
  <c r="G65" i="18" s="1"/>
  <c r="N8" i="18"/>
  <c r="Q8" i="18" s="1"/>
  <c r="Q7" i="18"/>
  <c r="N7" i="18"/>
  <c r="N5" i="18"/>
  <c r="Q5" i="18" s="1"/>
  <c r="Q4" i="18"/>
  <c r="N4" i="18"/>
  <c r="N2" i="18"/>
  <c r="G90" i="17"/>
  <c r="H87" i="17"/>
  <c r="G87" i="17"/>
  <c r="G84" i="17"/>
  <c r="H78" i="17"/>
  <c r="G78" i="17"/>
  <c r="G76" i="17"/>
  <c r="G75" i="17"/>
  <c r="G73" i="17"/>
  <c r="H71" i="17"/>
  <c r="G71" i="17"/>
  <c r="G67" i="17"/>
  <c r="G66" i="17"/>
  <c r="Q58" i="17"/>
  <c r="N58" i="17"/>
  <c r="N54" i="17"/>
  <c r="Q54" i="17" s="1"/>
  <c r="Q52" i="17"/>
  <c r="H84" i="17" s="1"/>
  <c r="N52" i="17"/>
  <c r="Q50" i="17"/>
  <c r="H77" i="17" s="1"/>
  <c r="N50" i="17"/>
  <c r="G77" i="17" s="1"/>
  <c r="N47" i="17"/>
  <c r="G89" i="17" s="1"/>
  <c r="Q46" i="17"/>
  <c r="H74" i="17" s="1"/>
  <c r="N46" i="17"/>
  <c r="G74" i="17" s="1"/>
  <c r="N41" i="17"/>
  <c r="N39" i="17"/>
  <c r="Q39" i="17" s="1"/>
  <c r="N37" i="17"/>
  <c r="Q37" i="17" s="1"/>
  <c r="Q35" i="17"/>
  <c r="N35" i="17"/>
  <c r="Q34" i="17"/>
  <c r="N34" i="17"/>
  <c r="Q33" i="17"/>
  <c r="N33" i="17"/>
  <c r="N32" i="17"/>
  <c r="Q32" i="17" s="1"/>
  <c r="H85" i="17" s="1"/>
  <c r="Q31" i="17"/>
  <c r="N31" i="17"/>
  <c r="N30" i="17"/>
  <c r="G86" i="17" s="1"/>
  <c r="Q29" i="17"/>
  <c r="H76" i="17" s="1"/>
  <c r="N29" i="17"/>
  <c r="Q28" i="17"/>
  <c r="H69" i="17" s="1"/>
  <c r="N28" i="17"/>
  <c r="N27" i="17"/>
  <c r="Q27" i="17" s="1"/>
  <c r="N26" i="17"/>
  <c r="Q26" i="17" s="1"/>
  <c r="N25" i="17"/>
  <c r="Q24" i="17"/>
  <c r="N24" i="17"/>
  <c r="Q20" i="17"/>
  <c r="N20" i="17"/>
  <c r="Q17" i="17"/>
  <c r="N17" i="17"/>
  <c r="N15" i="17"/>
  <c r="Q15" i="17" s="1"/>
  <c r="H67" i="17" s="1"/>
  <c r="Q11" i="17"/>
  <c r="N11" i="17"/>
  <c r="Q7" i="17"/>
  <c r="Q6" i="17"/>
  <c r="H65" i="17" s="1"/>
  <c r="N6" i="17"/>
  <c r="G65" i="17" s="1"/>
  <c r="Q5" i="17"/>
  <c r="N5" i="17"/>
  <c r="Q4" i="17"/>
  <c r="N4" i="17"/>
  <c r="N2" i="17"/>
  <c r="G82" i="17" s="1"/>
  <c r="G83" i="16"/>
  <c r="G82" i="16"/>
  <c r="G69" i="16"/>
  <c r="G68" i="16"/>
  <c r="G66" i="16"/>
  <c r="G64" i="16"/>
  <c r="G63" i="16"/>
  <c r="N54" i="16"/>
  <c r="Q54" i="16" s="1"/>
  <c r="H67" i="16" s="1"/>
  <c r="J54" i="16"/>
  <c r="N50" i="16"/>
  <c r="G70" i="16" s="1"/>
  <c r="G84" i="16" s="1"/>
  <c r="Q47" i="16"/>
  <c r="N47" i="16"/>
  <c r="Q46" i="16"/>
  <c r="H83" i="16" s="1"/>
  <c r="N46" i="16"/>
  <c r="Q45" i="16"/>
  <c r="N45" i="16"/>
  <c r="Q44" i="16"/>
  <c r="N44" i="16"/>
  <c r="Q43" i="16"/>
  <c r="H66" i="16" s="1"/>
  <c r="H82" i="16" s="1"/>
  <c r="N43" i="16"/>
  <c r="J43" i="16"/>
  <c r="Q38" i="16"/>
  <c r="H65" i="16" s="1"/>
  <c r="H81" i="16" s="1"/>
  <c r="N38" i="16"/>
  <c r="G65" i="16" s="1"/>
  <c r="G81" i="16" s="1"/>
  <c r="J38" i="16"/>
  <c r="N34" i="16"/>
  <c r="Q34" i="16" s="1"/>
  <c r="J34" i="16"/>
  <c r="N31" i="16"/>
  <c r="Q31" i="16" s="1"/>
  <c r="J31" i="16"/>
  <c r="L30" i="16"/>
  <c r="N30" i="16" s="1"/>
  <c r="Q30" i="16" s="1"/>
  <c r="H62" i="16" s="1"/>
  <c r="H78" i="16" s="1"/>
  <c r="N28" i="16"/>
  <c r="G61" i="16" s="1"/>
  <c r="J28" i="16"/>
  <c r="Q27" i="16"/>
  <c r="N27" i="16"/>
  <c r="N26" i="16"/>
  <c r="Q26" i="16" s="1"/>
  <c r="Q25" i="16"/>
  <c r="N25" i="16"/>
  <c r="G22" i="16"/>
  <c r="N22" i="16" s="1"/>
  <c r="Q22" i="16" s="1"/>
  <c r="Q18" i="16"/>
  <c r="H69" i="16" s="1"/>
  <c r="N18" i="16"/>
  <c r="J18" i="16"/>
  <c r="Q15" i="16"/>
  <c r="N15" i="16"/>
  <c r="J15" i="16"/>
  <c r="Q14" i="16"/>
  <c r="N14" i="16"/>
  <c r="N10" i="16"/>
  <c r="Q10" i="16" s="1"/>
  <c r="N7" i="16"/>
  <c r="G76" i="16" s="1"/>
  <c r="N6" i="16"/>
  <c r="Q6" i="16" s="1"/>
  <c r="Q5" i="16"/>
  <c r="N5" i="16"/>
  <c r="J5" i="16"/>
  <c r="K2" i="16"/>
  <c r="N4" i="16" s="1"/>
  <c r="J2" i="16"/>
  <c r="G62" i="15"/>
  <c r="H61" i="15"/>
  <c r="G61" i="15"/>
  <c r="G56" i="15"/>
  <c r="G51" i="15"/>
  <c r="H50" i="15"/>
  <c r="G50" i="15"/>
  <c r="G48" i="15"/>
  <c r="H43" i="15"/>
  <c r="G43" i="15"/>
  <c r="Q37" i="15"/>
  <c r="N37" i="15"/>
  <c r="G63" i="15" s="1"/>
  <c r="Q35" i="15"/>
  <c r="H62" i="15" s="1"/>
  <c r="N35" i="15"/>
  <c r="N32" i="15"/>
  <c r="Q32" i="15" s="1"/>
  <c r="Q29" i="15"/>
  <c r="H48" i="15" s="1"/>
  <c r="N29" i="15"/>
  <c r="N28" i="15"/>
  <c r="Q28" i="15" s="1"/>
  <c r="N25" i="15"/>
  <c r="G60" i="15" s="1"/>
  <c r="N24" i="15"/>
  <c r="Q24" i="15" s="1"/>
  <c r="Q22" i="15"/>
  <c r="N22" i="15"/>
  <c r="N21" i="15"/>
  <c r="G52" i="15" s="1"/>
  <c r="Q18" i="15"/>
  <c r="N18" i="15"/>
  <c r="G46" i="15" s="1"/>
  <c r="Q11" i="15"/>
  <c r="N7" i="15"/>
  <c r="N6" i="15"/>
  <c r="Q6" i="15" s="1"/>
  <c r="Q5" i="15"/>
  <c r="N5" i="15"/>
  <c r="N4" i="15"/>
  <c r="Q2" i="15"/>
  <c r="H56" i="15" s="1"/>
  <c r="N2" i="15"/>
  <c r="H107" i="14"/>
  <c r="G107" i="14"/>
  <c r="G100" i="14"/>
  <c r="G99" i="14"/>
  <c r="G88" i="14"/>
  <c r="G87" i="14"/>
  <c r="H82" i="14"/>
  <c r="G82" i="14"/>
  <c r="G77" i="14"/>
  <c r="Q69" i="14"/>
  <c r="H89" i="14" s="1"/>
  <c r="N69" i="14"/>
  <c r="G89" i="14" s="1"/>
  <c r="Q67" i="14"/>
  <c r="H88" i="14" s="1"/>
  <c r="N67" i="14"/>
  <c r="Q64" i="14"/>
  <c r="N64" i="14"/>
  <c r="Q61" i="14"/>
  <c r="H87" i="14" s="1"/>
  <c r="N61" i="14"/>
  <c r="Q59" i="14"/>
  <c r="H106" i="14" s="1"/>
  <c r="N59" i="14"/>
  <c r="G86" i="14" s="1"/>
  <c r="N55" i="14"/>
  <c r="G105" i="14" s="1"/>
  <c r="N51" i="14"/>
  <c r="G84" i="14" s="1"/>
  <c r="N50" i="14"/>
  <c r="Q50" i="14" s="1"/>
  <c r="N49" i="14"/>
  <c r="Q49" i="14" s="1"/>
  <c r="N46" i="14"/>
  <c r="Q46" i="14" s="1"/>
  <c r="H81" i="14" s="1"/>
  <c r="Q45" i="14"/>
  <c r="N45" i="14"/>
  <c r="Q40" i="14"/>
  <c r="H103" i="14" s="1"/>
  <c r="N40" i="14"/>
  <c r="G83" i="14" s="1"/>
  <c r="Q36" i="14"/>
  <c r="H102" i="14" s="1"/>
  <c r="N36" i="14"/>
  <c r="G102" i="14" s="1"/>
  <c r="Q33" i="14"/>
  <c r="H101" i="14" s="1"/>
  <c r="N33" i="14"/>
  <c r="G101" i="14" s="1"/>
  <c r="Q32" i="14"/>
  <c r="N32" i="14"/>
  <c r="G80" i="14" s="1"/>
  <c r="Q30" i="14"/>
  <c r="H99" i="14" s="1"/>
  <c r="N30" i="14"/>
  <c r="G79" i="14" s="1"/>
  <c r="N27" i="14"/>
  <c r="Q27" i="14" s="1"/>
  <c r="N26" i="14"/>
  <c r="Q26" i="14" s="1"/>
  <c r="N20" i="14"/>
  <c r="Q20" i="14" s="1"/>
  <c r="J20" i="14"/>
  <c r="Q19" i="14"/>
  <c r="N19" i="14"/>
  <c r="Q11" i="14"/>
  <c r="N11" i="14"/>
  <c r="G78" i="14" s="1"/>
  <c r="N7" i="14"/>
  <c r="N6" i="14"/>
  <c r="Q6" i="14" s="1"/>
  <c r="N5" i="14"/>
  <c r="Q5" i="14" s="1"/>
  <c r="N4" i="14"/>
  <c r="N2" i="14"/>
  <c r="Q2" i="14" s="1"/>
  <c r="H111" i="13"/>
  <c r="G111" i="13"/>
  <c r="G109" i="13"/>
  <c r="G93" i="13"/>
  <c r="G91" i="13"/>
  <c r="Q79" i="13"/>
  <c r="H96" i="13" s="1"/>
  <c r="N79" i="13"/>
  <c r="G96" i="13" s="1"/>
  <c r="Q76" i="13"/>
  <c r="H100" i="13" s="1"/>
  <c r="N76" i="13"/>
  <c r="G100" i="13" s="1"/>
  <c r="J76" i="13"/>
  <c r="Q74" i="13"/>
  <c r="H99" i="13" s="1"/>
  <c r="N74" i="13"/>
  <c r="G99" i="13" s="1"/>
  <c r="Q71" i="13"/>
  <c r="N71" i="13"/>
  <c r="J71" i="13"/>
  <c r="N68" i="13"/>
  <c r="Q66" i="13"/>
  <c r="H97" i="13" s="1"/>
  <c r="N66" i="13"/>
  <c r="G97" i="13" s="1"/>
  <c r="Q63" i="13"/>
  <c r="N63" i="13"/>
  <c r="Q60" i="13"/>
  <c r="N60" i="13"/>
  <c r="Q58" i="13"/>
  <c r="N57" i="13"/>
  <c r="Q57" i="13" s="1"/>
  <c r="N54" i="13"/>
  <c r="Q52" i="13"/>
  <c r="N52" i="13"/>
  <c r="G113" i="13" s="1"/>
  <c r="Q48" i="13"/>
  <c r="N48" i="13"/>
  <c r="G112" i="13" s="1"/>
  <c r="Q44" i="13"/>
  <c r="H93" i="13" s="1"/>
  <c r="N44" i="13"/>
  <c r="Q43" i="13"/>
  <c r="N43" i="13"/>
  <c r="N42" i="13"/>
  <c r="Q42" i="13" s="1"/>
  <c r="Q39" i="13"/>
  <c r="N39" i="13"/>
  <c r="G92" i="13" s="1"/>
  <c r="Q38" i="13"/>
  <c r="H91" i="13" s="1"/>
  <c r="N38" i="13"/>
  <c r="N36" i="13"/>
  <c r="G90" i="13" s="1"/>
  <c r="N34" i="13"/>
  <c r="Q34" i="13" s="1"/>
  <c r="N33" i="13"/>
  <c r="Q33" i="13" s="1"/>
  <c r="N25" i="13"/>
  <c r="Q25" i="13" s="1"/>
  <c r="Q21" i="13"/>
  <c r="N21" i="13"/>
  <c r="Q19" i="13"/>
  <c r="N19" i="13"/>
  <c r="Q11" i="13"/>
  <c r="N7" i="13"/>
  <c r="N6" i="13"/>
  <c r="Q6" i="13" s="1"/>
  <c r="N5" i="13"/>
  <c r="Q5" i="13" s="1"/>
  <c r="Q4" i="13"/>
  <c r="N4" i="13"/>
  <c r="G86" i="13" s="1"/>
  <c r="Q2" i="13"/>
  <c r="H106" i="13" s="1"/>
  <c r="N2" i="13"/>
  <c r="G62" i="12"/>
  <c r="G57" i="12"/>
  <c r="G56" i="12"/>
  <c r="H51" i="12"/>
  <c r="G51" i="12"/>
  <c r="G50" i="12"/>
  <c r="G46" i="12"/>
  <c r="G45" i="12"/>
  <c r="G42" i="12"/>
  <c r="H41" i="12"/>
  <c r="G41" i="12"/>
  <c r="Q35" i="12"/>
  <c r="N35" i="12"/>
  <c r="N31" i="12"/>
  <c r="Q31" i="12" s="1"/>
  <c r="H50" i="12" s="1"/>
  <c r="Q29" i="12"/>
  <c r="N29" i="12"/>
  <c r="G49" i="12" s="1"/>
  <c r="Q28" i="12"/>
  <c r="H48" i="12" s="1"/>
  <c r="N28" i="12"/>
  <c r="G64" i="12" s="1"/>
  <c r="J28" i="12"/>
  <c r="J23" i="12"/>
  <c r="N23" i="12" s="1"/>
  <c r="N19" i="12"/>
  <c r="Q19" i="12" s="1"/>
  <c r="H46" i="12" s="1"/>
  <c r="J19" i="12"/>
  <c r="Q16" i="12"/>
  <c r="N16" i="12"/>
  <c r="G61" i="12" s="1"/>
  <c r="J16" i="12"/>
  <c r="L15" i="12"/>
  <c r="N15" i="12" s="1"/>
  <c r="N13" i="12"/>
  <c r="G43" i="12" s="1"/>
  <c r="J13" i="12"/>
  <c r="N12" i="12"/>
  <c r="Q12" i="12" s="1"/>
  <c r="Q11" i="12"/>
  <c r="Q8" i="12"/>
  <c r="Q4" i="12"/>
  <c r="H58" i="12" s="1"/>
  <c r="N4" i="12"/>
  <c r="G58" i="12" s="1"/>
  <c r="N3" i="12"/>
  <c r="G40" i="12" s="1"/>
  <c r="N2" i="12"/>
  <c r="G39" i="12" s="1"/>
  <c r="J2" i="12"/>
  <c r="G85" i="11"/>
  <c r="G84" i="11"/>
  <c r="G73" i="11"/>
  <c r="H70" i="11"/>
  <c r="G66" i="11"/>
  <c r="G65" i="11"/>
  <c r="N57" i="11"/>
  <c r="Q57" i="11" s="1"/>
  <c r="H73" i="11" s="1"/>
  <c r="N54" i="11"/>
  <c r="Q51" i="11"/>
  <c r="H71" i="11" s="1"/>
  <c r="N51" i="11"/>
  <c r="G71" i="11" s="1"/>
  <c r="Q50" i="11"/>
  <c r="N50" i="11"/>
  <c r="G70" i="11" s="1"/>
  <c r="Q46" i="11"/>
  <c r="N46" i="11"/>
  <c r="G69" i="11" s="1"/>
  <c r="Q44" i="11"/>
  <c r="N44" i="11"/>
  <c r="N43" i="11"/>
  <c r="Q43" i="11" s="1"/>
  <c r="Q42" i="11"/>
  <c r="N42" i="11"/>
  <c r="N41" i="11"/>
  <c r="Q41" i="11" s="1"/>
  <c r="N40" i="11"/>
  <c r="Q40" i="11" s="1"/>
  <c r="N39" i="11"/>
  <c r="G74" i="11" s="1"/>
  <c r="N38" i="11"/>
  <c r="Q38" i="11" s="1"/>
  <c r="N34" i="11"/>
  <c r="Q34" i="11" s="1"/>
  <c r="Q33" i="11"/>
  <c r="N33" i="11"/>
  <c r="Q32" i="11"/>
  <c r="N32" i="11"/>
  <c r="Q31" i="11"/>
  <c r="N31" i="11"/>
  <c r="Q30" i="11"/>
  <c r="N30" i="11"/>
  <c r="N29" i="11"/>
  <c r="Q29" i="11" s="1"/>
  <c r="Q28" i="11"/>
  <c r="N28" i="11"/>
  <c r="N25" i="11"/>
  <c r="G68" i="11" s="1"/>
  <c r="N20" i="11"/>
  <c r="N16" i="11"/>
  <c r="Q16" i="11" s="1"/>
  <c r="H66" i="11" s="1"/>
  <c r="N15" i="11"/>
  <c r="Q15" i="11" s="1"/>
  <c r="N14" i="11"/>
  <c r="Q14" i="11" s="1"/>
  <c r="Q13" i="11"/>
  <c r="N13" i="11"/>
  <c r="Q12" i="11"/>
  <c r="N12" i="11"/>
  <c r="Q11" i="11"/>
  <c r="N11" i="11"/>
  <c r="Q10" i="11"/>
  <c r="N10" i="11"/>
  <c r="N9" i="11"/>
  <c r="Q9" i="11" s="1"/>
  <c r="Q7" i="11"/>
  <c r="N7" i="11"/>
  <c r="N6" i="11"/>
  <c r="Q6" i="11" s="1"/>
  <c r="N5" i="11"/>
  <c r="N4" i="11"/>
  <c r="Q4" i="11" s="1"/>
  <c r="N2" i="11"/>
  <c r="Q2" i="11" s="1"/>
  <c r="H67" i="10"/>
  <c r="G67" i="10"/>
  <c r="G66" i="10"/>
  <c r="G62" i="10"/>
  <c r="G57" i="10"/>
  <c r="G56" i="10"/>
  <c r="G54" i="10"/>
  <c r="H53" i="10"/>
  <c r="G53" i="10"/>
  <c r="G52" i="10"/>
  <c r="G48" i="10"/>
  <c r="G47" i="10"/>
  <c r="N41" i="10"/>
  <c r="G68" i="10" s="1"/>
  <c r="N39" i="10"/>
  <c r="Q39" i="10" s="1"/>
  <c r="H57" i="10" s="1"/>
  <c r="N36" i="10"/>
  <c r="Q36" i="10" s="1"/>
  <c r="N33" i="10"/>
  <c r="Q32" i="10"/>
  <c r="N32" i="10"/>
  <c r="Q31" i="10"/>
  <c r="H54" i="10" s="1"/>
  <c r="N31" i="10"/>
  <c r="G65" i="10" s="1"/>
  <c r="Q26" i="10"/>
  <c r="H64" i="10" s="1"/>
  <c r="N26" i="10"/>
  <c r="G64" i="10" s="1"/>
  <c r="Q24" i="10"/>
  <c r="N24" i="10"/>
  <c r="N23" i="10"/>
  <c r="Q23" i="10" s="1"/>
  <c r="N21" i="10"/>
  <c r="G51" i="10" s="1"/>
  <c r="N18" i="10"/>
  <c r="N12" i="10"/>
  <c r="N9" i="10"/>
  <c r="Q9" i="10" s="1"/>
  <c r="H52" i="10" s="1"/>
  <c r="N8" i="10"/>
  <c r="Q8" i="10" s="1"/>
  <c r="C7" i="3" s="1"/>
  <c r="N6" i="10"/>
  <c r="Q6" i="10" s="1"/>
  <c r="Q5" i="10"/>
  <c r="N5" i="10"/>
  <c r="G63" i="10" s="1"/>
  <c r="Q2" i="10"/>
  <c r="H47" i="10" s="1"/>
  <c r="N2" i="10"/>
  <c r="G65" i="9"/>
  <c r="G62" i="9"/>
  <c r="G60" i="9"/>
  <c r="H53" i="9"/>
  <c r="H51" i="9"/>
  <c r="G47" i="9"/>
  <c r="G45" i="9"/>
  <c r="N39" i="9"/>
  <c r="Q39" i="9" s="1"/>
  <c r="H55" i="9" s="1"/>
  <c r="N37" i="9"/>
  <c r="G54" i="9" s="1"/>
  <c r="Q34" i="9"/>
  <c r="H63" i="9" s="1"/>
  <c r="N34" i="9"/>
  <c r="G63" i="9" s="1"/>
  <c r="Q31" i="9"/>
  <c r="H52" i="9" s="1"/>
  <c r="N31" i="9"/>
  <c r="G52" i="9" s="1"/>
  <c r="Q29" i="9"/>
  <c r="N29" i="9"/>
  <c r="Q28" i="9"/>
  <c r="N28" i="9"/>
  <c r="N27" i="9"/>
  <c r="Q27" i="9" s="1"/>
  <c r="H62" i="9" s="1"/>
  <c r="N22" i="9"/>
  <c r="G50" i="9" s="1"/>
  <c r="N20" i="9"/>
  <c r="Q20" i="9" s="1"/>
  <c r="N19" i="9"/>
  <c r="Q19" i="9" s="1"/>
  <c r="N17" i="9"/>
  <c r="G49" i="9" s="1"/>
  <c r="N13" i="9"/>
  <c r="Q13" i="9" s="1"/>
  <c r="N10" i="9"/>
  <c r="Q10" i="9" s="1"/>
  <c r="H48" i="9" s="1"/>
  <c r="Q7" i="9"/>
  <c r="N7" i="9"/>
  <c r="Q6" i="9"/>
  <c r="N6" i="9"/>
  <c r="Q5" i="9"/>
  <c r="C26" i="3" s="1"/>
  <c r="N5" i="9"/>
  <c r="Q4" i="9"/>
  <c r="N4" i="9"/>
  <c r="N2" i="9"/>
  <c r="Q2" i="9" s="1"/>
  <c r="G119" i="8"/>
  <c r="G118" i="8"/>
  <c r="G115" i="8"/>
  <c r="H108" i="8"/>
  <c r="G108" i="8"/>
  <c r="G107" i="8"/>
  <c r="G103" i="8"/>
  <c r="G102" i="8"/>
  <c r="H100" i="8"/>
  <c r="N88" i="8"/>
  <c r="Q88" i="8" s="1"/>
  <c r="N86" i="8"/>
  <c r="G110" i="8" s="1"/>
  <c r="N84" i="8"/>
  <c r="N81" i="8"/>
  <c r="Q81" i="8" s="1"/>
  <c r="Q77" i="8"/>
  <c r="N77" i="8"/>
  <c r="Q74" i="8"/>
  <c r="N74" i="8"/>
  <c r="Q71" i="8"/>
  <c r="H107" i="8" s="1"/>
  <c r="N71" i="8"/>
  <c r="N69" i="8"/>
  <c r="Q69" i="8" s="1"/>
  <c r="Q66" i="8"/>
  <c r="N66" i="8"/>
  <c r="N62" i="8"/>
  <c r="G120" i="8" s="1"/>
  <c r="N61" i="8"/>
  <c r="Q61" i="8" s="1"/>
  <c r="N57" i="8"/>
  <c r="N55" i="8"/>
  <c r="Q55" i="8" s="1"/>
  <c r="N54" i="8"/>
  <c r="Q54" i="8" s="1"/>
  <c r="Q53" i="8"/>
  <c r="N53" i="8"/>
  <c r="Q52" i="8"/>
  <c r="N52" i="8"/>
  <c r="Q51" i="8"/>
  <c r="N51" i="8"/>
  <c r="Q50" i="8"/>
  <c r="H118" i="8" s="1"/>
  <c r="N50" i="8"/>
  <c r="N49" i="8"/>
  <c r="Q49" i="8" s="1"/>
  <c r="N48" i="8"/>
  <c r="Q47" i="8"/>
  <c r="H116" i="8" s="1"/>
  <c r="N47" i="8"/>
  <c r="G100" i="8" s="1"/>
  <c r="N46" i="8"/>
  <c r="Q46" i="8" s="1"/>
  <c r="N45" i="8"/>
  <c r="Q45" i="8" s="1"/>
  <c r="H96" i="8" s="1"/>
  <c r="N44" i="8"/>
  <c r="Q44" i="8" s="1"/>
  <c r="N40" i="8"/>
  <c r="Q40" i="8" s="1"/>
  <c r="N36" i="8"/>
  <c r="Q36" i="8" s="1"/>
  <c r="I6" i="3" s="1"/>
  <c r="Q32" i="8"/>
  <c r="H103" i="8" s="1"/>
  <c r="N32" i="8"/>
  <c r="Q30" i="8"/>
  <c r="N30" i="8"/>
  <c r="Q26" i="8"/>
  <c r="N26" i="8"/>
  <c r="N22" i="8"/>
  <c r="Q22" i="8" s="1"/>
  <c r="H6" i="3" s="1"/>
  <c r="N21" i="8"/>
  <c r="Q21" i="8" s="1"/>
  <c r="N20" i="8"/>
  <c r="G95" i="8" s="1"/>
  <c r="N17" i="8"/>
  <c r="Q17" i="8" s="1"/>
  <c r="N15" i="8"/>
  <c r="Q15" i="8" s="1"/>
  <c r="N11" i="8"/>
  <c r="N7" i="8"/>
  <c r="N6" i="8"/>
  <c r="G114" i="8" s="1"/>
  <c r="Q5" i="8"/>
  <c r="N5" i="8"/>
  <c r="Q4" i="8"/>
  <c r="N4" i="8"/>
  <c r="Q2" i="8"/>
  <c r="N2" i="8"/>
  <c r="G24" i="7"/>
  <c r="N20" i="7"/>
  <c r="Q20" i="7" s="1"/>
  <c r="N19" i="7"/>
  <c r="Q19" i="7" s="1"/>
  <c r="N15" i="7"/>
  <c r="Q15" i="7" s="1"/>
  <c r="Q14" i="7"/>
  <c r="N14" i="7"/>
  <c r="Q10" i="7"/>
  <c r="N5" i="3" s="1"/>
  <c r="N10" i="7"/>
  <c r="Q9" i="7"/>
  <c r="N9" i="7"/>
  <c r="Q8" i="7"/>
  <c r="N8" i="7"/>
  <c r="N7" i="7"/>
  <c r="Q7" i="7" s="1"/>
  <c r="N6" i="7"/>
  <c r="G29" i="7" s="1"/>
  <c r="N5" i="7"/>
  <c r="G30" i="7" s="1"/>
  <c r="Q2" i="7"/>
  <c r="N2" i="7"/>
  <c r="G73" i="6"/>
  <c r="G72" i="6"/>
  <c r="G65" i="6"/>
  <c r="G64" i="6"/>
  <c r="H63" i="6"/>
  <c r="G63" i="6"/>
  <c r="G62" i="6"/>
  <c r="G61" i="6"/>
  <c r="H58" i="6"/>
  <c r="G58" i="6"/>
  <c r="G53" i="6"/>
  <c r="N46" i="6"/>
  <c r="Q46" i="6" s="1"/>
  <c r="H72" i="6" s="1"/>
  <c r="N44" i="6"/>
  <c r="Q44" i="6" s="1"/>
  <c r="N42" i="6"/>
  <c r="Q42" i="6" s="1"/>
  <c r="H65" i="6" s="1"/>
  <c r="N39" i="6"/>
  <c r="Q39" i="6" s="1"/>
  <c r="H74" i="6" s="1"/>
  <c r="N37" i="6"/>
  <c r="Q37" i="6" s="1"/>
  <c r="N36" i="6"/>
  <c r="Q36" i="6" s="1"/>
  <c r="Q35" i="6"/>
  <c r="H73" i="6" s="1"/>
  <c r="N35" i="6"/>
  <c r="Q34" i="6"/>
  <c r="N34" i="6"/>
  <c r="Q33" i="6"/>
  <c r="H75" i="6" s="1"/>
  <c r="N33" i="6"/>
  <c r="N32" i="6"/>
  <c r="Q32" i="6" s="1"/>
  <c r="N31" i="6"/>
  <c r="Q31" i="6" s="1"/>
  <c r="N30" i="6"/>
  <c r="G57" i="6" s="1"/>
  <c r="Q27" i="6"/>
  <c r="N27" i="6"/>
  <c r="N25" i="6"/>
  <c r="Q25" i="6" s="1"/>
  <c r="N21" i="6"/>
  <c r="Q21" i="6" s="1"/>
  <c r="H60" i="6" s="1"/>
  <c r="Q18" i="6"/>
  <c r="N18" i="6"/>
  <c r="G59" i="6" s="1"/>
  <c r="N15" i="6"/>
  <c r="Q13" i="6"/>
  <c r="N13" i="6"/>
  <c r="G71" i="6" s="1"/>
  <c r="Q9" i="6"/>
  <c r="H55" i="6" s="1"/>
  <c r="N9" i="6"/>
  <c r="Q7" i="6"/>
  <c r="N7" i="6"/>
  <c r="N6" i="6"/>
  <c r="Q6" i="6" s="1"/>
  <c r="Q5" i="6"/>
  <c r="N5" i="6"/>
  <c r="N4" i="6"/>
  <c r="Q2" i="6"/>
  <c r="N2" i="6"/>
  <c r="AF27" i="3"/>
  <c r="Z27" i="3"/>
  <c r="U27" i="3"/>
  <c r="T27" i="3"/>
  <c r="J27" i="3"/>
  <c r="I27" i="3"/>
  <c r="D27" i="3"/>
  <c r="H26" i="3"/>
  <c r="B26" i="3"/>
  <c r="W25" i="3"/>
  <c r="N25" i="3"/>
  <c r="L25" i="3"/>
  <c r="G25" i="3"/>
  <c r="D25" i="3"/>
  <c r="B25" i="3"/>
  <c r="AC24" i="3"/>
  <c r="U24" i="3"/>
  <c r="P24" i="3"/>
  <c r="C24" i="3"/>
  <c r="AC23" i="3"/>
  <c r="H23" i="3"/>
  <c r="C23" i="3"/>
  <c r="T22" i="3"/>
  <c r="C22" i="3"/>
  <c r="W21" i="3"/>
  <c r="N21" i="3"/>
  <c r="C21" i="3"/>
  <c r="AC20" i="3"/>
  <c r="X20" i="3"/>
  <c r="H20" i="3"/>
  <c r="C20" i="3"/>
  <c r="AB19" i="3"/>
  <c r="S19" i="3"/>
  <c r="H19" i="3"/>
  <c r="C19" i="3"/>
  <c r="B19" i="3"/>
  <c r="L18" i="3"/>
  <c r="C18" i="3"/>
  <c r="B18" i="3"/>
  <c r="V17" i="3"/>
  <c r="M17" i="3"/>
  <c r="C17" i="3"/>
  <c r="AA16" i="3"/>
  <c r="Y16" i="3"/>
  <c r="Y27" i="3" s="1"/>
  <c r="X16" i="3"/>
  <c r="P16" i="3"/>
  <c r="N16" i="3"/>
  <c r="L16" i="3"/>
  <c r="C16" i="3"/>
  <c r="Z15" i="3"/>
  <c r="X15" i="3"/>
  <c r="V15" i="3"/>
  <c r="K15" i="3"/>
  <c r="C15" i="3"/>
  <c r="AC14" i="3"/>
  <c r="S14" i="3"/>
  <c r="M14" i="3"/>
  <c r="H14" i="3"/>
  <c r="C14" i="3"/>
  <c r="B14" i="3"/>
  <c r="AC13" i="3"/>
  <c r="AA13" i="3"/>
  <c r="X13" i="3"/>
  <c r="P13" i="3"/>
  <c r="H13" i="3"/>
  <c r="G13" i="3"/>
  <c r="AF12" i="3"/>
  <c r="R12" i="3"/>
  <c r="R27" i="3" s="1"/>
  <c r="N12" i="3"/>
  <c r="H12" i="3"/>
  <c r="C12" i="3"/>
  <c r="V11" i="3"/>
  <c r="K11" i="3"/>
  <c r="C11" i="3"/>
  <c r="AC10" i="3"/>
  <c r="C10" i="3"/>
  <c r="AA9" i="3"/>
  <c r="V9" i="3"/>
  <c r="C9" i="3"/>
  <c r="B9" i="3"/>
  <c r="AD8" i="3"/>
  <c r="K8" i="3"/>
  <c r="W7" i="3"/>
  <c r="B7" i="3"/>
  <c r="AB6" i="3"/>
  <c r="N6" i="3"/>
  <c r="M6" i="3"/>
  <c r="B6" i="3"/>
  <c r="J5" i="3"/>
  <c r="AA4" i="3" l="1"/>
  <c r="N27" i="3"/>
  <c r="H113" i="8"/>
  <c r="B18" i="5"/>
  <c r="H29" i="7"/>
  <c r="L27" i="3"/>
  <c r="H59" i="6"/>
  <c r="H4" i="3"/>
  <c r="C4" i="3"/>
  <c r="H53" i="6"/>
  <c r="AG19" i="3"/>
  <c r="B19" i="4" s="1"/>
  <c r="Q5" i="7"/>
  <c r="H45" i="9"/>
  <c r="Q20" i="8"/>
  <c r="G55" i="6"/>
  <c r="H61" i="6"/>
  <c r="Q62" i="8"/>
  <c r="H62" i="12"/>
  <c r="H63" i="16"/>
  <c r="H79" i="16"/>
  <c r="O4" i="3"/>
  <c r="Q6" i="7"/>
  <c r="C5" i="3" s="1"/>
  <c r="G113" i="8"/>
  <c r="G109" i="8"/>
  <c r="Q84" i="8"/>
  <c r="AA6" i="3" s="1"/>
  <c r="H48" i="10"/>
  <c r="G67" i="11"/>
  <c r="Q20" i="11"/>
  <c r="G83" i="11"/>
  <c r="H42" i="12"/>
  <c r="G63" i="12"/>
  <c r="G47" i="12"/>
  <c r="Q23" i="12"/>
  <c r="G87" i="13"/>
  <c r="H102" i="8"/>
  <c r="G64" i="9"/>
  <c r="Q37" i="9"/>
  <c r="H75" i="14"/>
  <c r="H96" i="14"/>
  <c r="G58" i="15"/>
  <c r="G45" i="15"/>
  <c r="Q7" i="15"/>
  <c r="H75" i="19"/>
  <c r="Q22" i="9"/>
  <c r="G61" i="9"/>
  <c r="H84" i="11"/>
  <c r="H69" i="11"/>
  <c r="Q4" i="14"/>
  <c r="G76" i="14"/>
  <c r="G97" i="14"/>
  <c r="G69" i="6"/>
  <c r="Q30" i="6"/>
  <c r="H69" i="6" s="1"/>
  <c r="G54" i="6"/>
  <c r="H62" i="6"/>
  <c r="G25" i="7"/>
  <c r="Q6" i="8"/>
  <c r="C6" i="3" s="1"/>
  <c r="G105" i="8"/>
  <c r="G116" i="8"/>
  <c r="G49" i="10"/>
  <c r="Q12" i="10"/>
  <c r="H63" i="10" s="1"/>
  <c r="H86" i="13"/>
  <c r="Q6" i="19"/>
  <c r="C13" i="3" s="1"/>
  <c r="G75" i="19"/>
  <c r="G93" i="19"/>
  <c r="G98" i="8"/>
  <c r="Q7" i="8"/>
  <c r="G96" i="8"/>
  <c r="G106" i="8"/>
  <c r="H60" i="9"/>
  <c r="H46" i="9"/>
  <c r="G46" i="9"/>
  <c r="G50" i="10"/>
  <c r="Q18" i="10"/>
  <c r="H50" i="10" s="1"/>
  <c r="H82" i="11"/>
  <c r="G55" i="10"/>
  <c r="Q33" i="10"/>
  <c r="H85" i="11"/>
  <c r="H65" i="12"/>
  <c r="H49" i="12"/>
  <c r="G98" i="13"/>
  <c r="Q68" i="13"/>
  <c r="G115" i="13"/>
  <c r="G70" i="6"/>
  <c r="G56" i="6"/>
  <c r="G75" i="6"/>
  <c r="G99" i="8"/>
  <c r="G117" i="8"/>
  <c r="G101" i="8"/>
  <c r="H65" i="11"/>
  <c r="Q15" i="12"/>
  <c r="G60" i="12"/>
  <c r="G44" i="12"/>
  <c r="Q4" i="6"/>
  <c r="Q15" i="6"/>
  <c r="Q48" i="8"/>
  <c r="G97" i="8"/>
  <c r="H47" i="9"/>
  <c r="G48" i="9"/>
  <c r="H65" i="9"/>
  <c r="Q21" i="10"/>
  <c r="H66" i="10"/>
  <c r="H56" i="10"/>
  <c r="Q5" i="11"/>
  <c r="C25" i="3" s="1"/>
  <c r="G82" i="11"/>
  <c r="G64" i="11"/>
  <c r="G107" i="13"/>
  <c r="H95" i="13"/>
  <c r="H100" i="14"/>
  <c r="H80" i="14"/>
  <c r="F18" i="5"/>
  <c r="H64" i="6"/>
  <c r="H24" i="7"/>
  <c r="G104" i="8"/>
  <c r="Q57" i="8"/>
  <c r="G121" i="8"/>
  <c r="G86" i="11"/>
  <c r="Q54" i="11"/>
  <c r="G72" i="11"/>
  <c r="H88" i="13"/>
  <c r="Q54" i="13"/>
  <c r="X9" i="3" s="1"/>
  <c r="G94" i="13"/>
  <c r="H78" i="14"/>
  <c r="H95" i="8"/>
  <c r="H105" i="8"/>
  <c r="G58" i="10"/>
  <c r="Q41" i="10"/>
  <c r="H61" i="12"/>
  <c r="H45" i="12"/>
  <c r="G88" i="13"/>
  <c r="H92" i="13"/>
  <c r="H110" i="13"/>
  <c r="G106" i="13"/>
  <c r="H59" i="15"/>
  <c r="H47" i="15"/>
  <c r="H53" i="18"/>
  <c r="G59" i="9"/>
  <c r="G59" i="12"/>
  <c r="H64" i="12"/>
  <c r="H87" i="13"/>
  <c r="G108" i="13"/>
  <c r="H113" i="13"/>
  <c r="G96" i="14"/>
  <c r="G47" i="15"/>
  <c r="G57" i="15"/>
  <c r="G59" i="16"/>
  <c r="G75" i="16"/>
  <c r="G64" i="17"/>
  <c r="H58" i="18"/>
  <c r="H88" i="20"/>
  <c r="H65" i="21"/>
  <c r="G77" i="23"/>
  <c r="Q17" i="23"/>
  <c r="G60" i="23"/>
  <c r="H82" i="23"/>
  <c r="H65" i="23"/>
  <c r="H97" i="25"/>
  <c r="H81" i="25"/>
  <c r="Q17" i="9"/>
  <c r="G51" i="9"/>
  <c r="Q39" i="11"/>
  <c r="Q2" i="12"/>
  <c r="Q13" i="12"/>
  <c r="G65" i="12"/>
  <c r="Q7" i="13"/>
  <c r="G114" i="13"/>
  <c r="Q51" i="14"/>
  <c r="H79" i="14"/>
  <c r="G85" i="14"/>
  <c r="G103" i="14"/>
  <c r="G44" i="15"/>
  <c r="N2" i="16"/>
  <c r="H64" i="16"/>
  <c r="H80" i="16"/>
  <c r="G60" i="16"/>
  <c r="Q2" i="17"/>
  <c r="G69" i="17"/>
  <c r="Q9" i="18"/>
  <c r="G23" i="3" s="1"/>
  <c r="G51" i="18"/>
  <c r="Q38" i="19"/>
  <c r="H101" i="19"/>
  <c r="G100" i="20"/>
  <c r="Q27" i="20"/>
  <c r="G82" i="20"/>
  <c r="G78" i="20"/>
  <c r="G91" i="22"/>
  <c r="Q19" i="22"/>
  <c r="G78" i="23"/>
  <c r="G61" i="23"/>
  <c r="G83" i="23"/>
  <c r="G66" i="23"/>
  <c r="Q39" i="23"/>
  <c r="G56" i="24"/>
  <c r="Q4" i="24"/>
  <c r="G72" i="24"/>
  <c r="H114" i="13"/>
  <c r="G98" i="14"/>
  <c r="G104" i="14"/>
  <c r="Q4" i="15"/>
  <c r="Q21" i="15"/>
  <c r="Q4" i="16"/>
  <c r="G67" i="16"/>
  <c r="H68" i="16"/>
  <c r="G79" i="16"/>
  <c r="G83" i="17"/>
  <c r="Q47" i="17"/>
  <c r="H83" i="17"/>
  <c r="H90" i="17"/>
  <c r="Q34" i="18"/>
  <c r="H77" i="19"/>
  <c r="G76" i="19"/>
  <c r="G94" i="19"/>
  <c r="Q60" i="20"/>
  <c r="AA20" i="3" s="1"/>
  <c r="H120" i="22"/>
  <c r="H103" i="22"/>
  <c r="Q19" i="23"/>
  <c r="H71" i="24"/>
  <c r="H98" i="25"/>
  <c r="Q3" i="12"/>
  <c r="Q36" i="13"/>
  <c r="G89" i="13"/>
  <c r="H94" i="13"/>
  <c r="H109" i="13"/>
  <c r="Q7" i="14"/>
  <c r="Q55" i="14"/>
  <c r="G75" i="14"/>
  <c r="G59" i="15"/>
  <c r="G62" i="16"/>
  <c r="G78" i="16" s="1"/>
  <c r="H68" i="17"/>
  <c r="G64" i="18"/>
  <c r="Q2" i="18"/>
  <c r="G95" i="20"/>
  <c r="G74" i="20"/>
  <c r="H79" i="20"/>
  <c r="H59" i="21"/>
  <c r="H76" i="21"/>
  <c r="H84" i="21"/>
  <c r="G58" i="23"/>
  <c r="Q7" i="23"/>
  <c r="G78" i="25"/>
  <c r="Q21" i="25"/>
  <c r="H57" i="27"/>
  <c r="H68" i="27"/>
  <c r="G95" i="13"/>
  <c r="G110" i="13"/>
  <c r="G106" i="14"/>
  <c r="G81" i="14"/>
  <c r="H86" i="14"/>
  <c r="G49" i="15"/>
  <c r="G80" i="16"/>
  <c r="G52" i="18"/>
  <c r="H60" i="18"/>
  <c r="G92" i="19"/>
  <c r="Q2" i="19"/>
  <c r="G77" i="19"/>
  <c r="H74" i="20"/>
  <c r="H81" i="20"/>
  <c r="H83" i="21"/>
  <c r="H70" i="21"/>
  <c r="H72" i="21"/>
  <c r="H82" i="21"/>
  <c r="Q2" i="22"/>
  <c r="G87" i="22"/>
  <c r="G92" i="22"/>
  <c r="Q28" i="22"/>
  <c r="H92" i="22" s="1"/>
  <c r="H50" i="27"/>
  <c r="H45" i="28"/>
  <c r="H57" i="28"/>
  <c r="G53" i="9"/>
  <c r="Q25" i="11"/>
  <c r="H68" i="11" s="1"/>
  <c r="G105" i="13"/>
  <c r="H63" i="15"/>
  <c r="H51" i="15"/>
  <c r="G85" i="17"/>
  <c r="H52" i="18"/>
  <c r="G96" i="19"/>
  <c r="Q4" i="20"/>
  <c r="G96" i="20"/>
  <c r="G83" i="20"/>
  <c r="H77" i="21"/>
  <c r="Q33" i="21"/>
  <c r="G71" i="21"/>
  <c r="H88" i="22"/>
  <c r="H115" i="22"/>
  <c r="H97" i="22"/>
  <c r="H119" i="22"/>
  <c r="H84" i="25"/>
  <c r="H100" i="25"/>
  <c r="H70" i="27"/>
  <c r="H59" i="27"/>
  <c r="H105" i="13"/>
  <c r="Q28" i="16"/>
  <c r="Q30" i="17"/>
  <c r="H86" i="20"/>
  <c r="G99" i="22"/>
  <c r="G117" i="22"/>
  <c r="G105" i="22"/>
  <c r="Q83" i="22"/>
  <c r="G59" i="23"/>
  <c r="G75" i="24"/>
  <c r="Q31" i="24"/>
  <c r="G65" i="24"/>
  <c r="H76" i="24"/>
  <c r="H62" i="24"/>
  <c r="H89" i="25"/>
  <c r="H102" i="25"/>
  <c r="H57" i="26"/>
  <c r="H42" i="26"/>
  <c r="H58" i="28"/>
  <c r="G68" i="17"/>
  <c r="H65" i="18"/>
  <c r="H101" i="20"/>
  <c r="G80" i="21"/>
  <c r="G67" i="21"/>
  <c r="Q35" i="21"/>
  <c r="H99" i="22"/>
  <c r="H117" i="22"/>
  <c r="H66" i="24"/>
  <c r="H77" i="24"/>
  <c r="H43" i="26"/>
  <c r="G48" i="12"/>
  <c r="G108" i="14"/>
  <c r="Q25" i="15"/>
  <c r="Q7" i="16"/>
  <c r="H66" i="17"/>
  <c r="G72" i="17"/>
  <c r="Q25" i="17"/>
  <c r="G56" i="18"/>
  <c r="G67" i="18"/>
  <c r="G75" i="20"/>
  <c r="G86" i="20"/>
  <c r="G60" i="21"/>
  <c r="G81" i="21"/>
  <c r="G68" i="21"/>
  <c r="Q39" i="21"/>
  <c r="G77" i="21"/>
  <c r="G75" i="23"/>
  <c r="Q4" i="23"/>
  <c r="G64" i="23"/>
  <c r="G81" i="23"/>
  <c r="H75" i="25"/>
  <c r="G99" i="25"/>
  <c r="G83" i="25"/>
  <c r="Q41" i="25"/>
  <c r="H101" i="25"/>
  <c r="H86" i="25"/>
  <c r="G60" i="6"/>
  <c r="G74" i="6"/>
  <c r="G55" i="9"/>
  <c r="H83" i="14"/>
  <c r="H108" i="14"/>
  <c r="H46" i="15"/>
  <c r="G88" i="17"/>
  <c r="Q41" i="17"/>
  <c r="G70" i="17"/>
  <c r="G99" i="19"/>
  <c r="G97" i="20"/>
  <c r="Q7" i="20"/>
  <c r="H84" i="20"/>
  <c r="H102" i="20"/>
  <c r="G63" i="21"/>
  <c r="G109" i="22"/>
  <c r="Q4" i="25"/>
  <c r="G76" i="25"/>
  <c r="G95" i="25"/>
  <c r="H59" i="26"/>
  <c r="H63" i="26"/>
  <c r="H53" i="26"/>
  <c r="H65" i="27"/>
  <c r="H53" i="27"/>
  <c r="Q11" i="8"/>
  <c r="H99" i="8" s="1"/>
  <c r="Q86" i="8"/>
  <c r="G77" i="16"/>
  <c r="G74" i="19"/>
  <c r="L107" i="19" s="1"/>
  <c r="H81" i="19"/>
  <c r="G85" i="20"/>
  <c r="G76" i="20"/>
  <c r="G78" i="21"/>
  <c r="H111" i="22"/>
  <c r="Q32" i="22"/>
  <c r="G111" i="22"/>
  <c r="H68" i="23"/>
  <c r="H85" i="23"/>
  <c r="Q45" i="24"/>
  <c r="H78" i="24" s="1"/>
  <c r="H63" i="24"/>
  <c r="G94" i="25"/>
  <c r="G42" i="26"/>
  <c r="G53" i="26"/>
  <c r="G46" i="28"/>
  <c r="H51" i="28"/>
  <c r="Q70" i="22"/>
  <c r="G98" i="22"/>
  <c r="Q48" i="23"/>
  <c r="G74" i="23"/>
  <c r="Q7" i="24"/>
  <c r="G86" i="25"/>
  <c r="H94" i="25"/>
  <c r="G100" i="25"/>
  <c r="G48" i="26"/>
  <c r="G62" i="26"/>
  <c r="Q42" i="27"/>
  <c r="G68" i="27"/>
  <c r="H88" i="19"/>
  <c r="G97" i="19"/>
  <c r="G70" i="21"/>
  <c r="G104" i="22"/>
  <c r="G118" i="22"/>
  <c r="G80" i="23"/>
  <c r="Q47" i="24"/>
  <c r="G81" i="25"/>
  <c r="G43" i="26"/>
  <c r="H48" i="26"/>
  <c r="G57" i="26"/>
  <c r="H54" i="27"/>
  <c r="G63" i="27"/>
  <c r="Q50" i="16"/>
  <c r="G103" i="20"/>
  <c r="G65" i="21"/>
  <c r="G88" i="22"/>
  <c r="H80" i="23"/>
  <c r="G49" i="26"/>
  <c r="G63" i="26"/>
  <c r="G55" i="27"/>
  <c r="G56" i="28"/>
  <c r="H113" i="22"/>
  <c r="G60" i="24"/>
  <c r="G58" i="26"/>
  <c r="G64" i="27"/>
  <c r="H56" i="28"/>
  <c r="Q10" i="26"/>
  <c r="Q30" i="26"/>
  <c r="Q8" i="27"/>
  <c r="G18" i="3" s="1"/>
  <c r="Q20" i="27"/>
  <c r="H63" i="27" s="1"/>
  <c r="G56" i="27"/>
  <c r="G57" i="28"/>
  <c r="Q34" i="27"/>
  <c r="G79" i="20"/>
  <c r="G90" i="22"/>
  <c r="G89" i="25"/>
  <c r="G57" i="27"/>
  <c r="H49" i="28"/>
  <c r="Q41" i="20"/>
  <c r="G62" i="21"/>
  <c r="G110" i="22"/>
  <c r="G62" i="24"/>
  <c r="G76" i="24"/>
  <c r="Q24" i="25"/>
  <c r="H79" i="25" s="1"/>
  <c r="Q37" i="25"/>
  <c r="G45" i="28"/>
  <c r="H70" i="16" l="1"/>
  <c r="H84" i="16" s="1"/>
  <c r="AE11" i="3"/>
  <c r="H90" i="25"/>
  <c r="M16" i="3"/>
  <c r="H69" i="23"/>
  <c r="AD22" i="3"/>
  <c r="H57" i="23"/>
  <c r="H75" i="23"/>
  <c r="B22" i="3"/>
  <c r="H72" i="17"/>
  <c r="M12" i="3"/>
  <c r="H75" i="20"/>
  <c r="H96" i="20"/>
  <c r="B20" i="3"/>
  <c r="H99" i="19"/>
  <c r="H83" i="19"/>
  <c r="V13" i="3"/>
  <c r="H68" i="10"/>
  <c r="H58" i="10"/>
  <c r="H56" i="6"/>
  <c r="E4" i="3"/>
  <c r="H55" i="10"/>
  <c r="H65" i="10"/>
  <c r="AC7" i="3"/>
  <c r="H67" i="11"/>
  <c r="H25" i="3"/>
  <c r="H30" i="7"/>
  <c r="H25" i="7"/>
  <c r="B5" i="3"/>
  <c r="H55" i="27"/>
  <c r="H67" i="27"/>
  <c r="V18" i="3"/>
  <c r="H75" i="16"/>
  <c r="H59" i="16"/>
  <c r="H83" i="20"/>
  <c r="H104" i="8"/>
  <c r="H119" i="8"/>
  <c r="W6" i="3"/>
  <c r="H54" i="6"/>
  <c r="H70" i="6"/>
  <c r="H98" i="8"/>
  <c r="F6" i="3"/>
  <c r="AG6" i="3" s="1"/>
  <c r="H85" i="20"/>
  <c r="H103" i="20"/>
  <c r="V20" i="3"/>
  <c r="H67" i="24"/>
  <c r="H73" i="24"/>
  <c r="H101" i="22"/>
  <c r="H118" i="22"/>
  <c r="AC15" i="3"/>
  <c r="H96" i="22"/>
  <c r="H114" i="22"/>
  <c r="P15" i="3"/>
  <c r="H97" i="20"/>
  <c r="H76" i="20"/>
  <c r="K20" i="3"/>
  <c r="H80" i="21"/>
  <c r="H67" i="21"/>
  <c r="V14" i="3"/>
  <c r="H70" i="17"/>
  <c r="H86" i="17"/>
  <c r="O12" i="3"/>
  <c r="H92" i="19"/>
  <c r="H74" i="19"/>
  <c r="B13" i="3"/>
  <c r="H52" i="15"/>
  <c r="Q10" i="3"/>
  <c r="H104" i="14"/>
  <c r="H84" i="14"/>
  <c r="V24" i="3"/>
  <c r="AG25" i="3"/>
  <c r="H112" i="13"/>
  <c r="H61" i="9"/>
  <c r="H50" i="9"/>
  <c r="W26" i="3"/>
  <c r="H71" i="6"/>
  <c r="H120" i="8"/>
  <c r="H106" i="8"/>
  <c r="V6" i="3"/>
  <c r="H58" i="27"/>
  <c r="H69" i="27"/>
  <c r="AC18" i="3"/>
  <c r="H68" i="21"/>
  <c r="H81" i="21"/>
  <c r="H76" i="16"/>
  <c r="H60" i="16"/>
  <c r="E11" i="3"/>
  <c r="H61" i="16"/>
  <c r="H77" i="16"/>
  <c r="P11" i="3"/>
  <c r="H64" i="18"/>
  <c r="H51" i="18"/>
  <c r="H90" i="13"/>
  <c r="H108" i="13"/>
  <c r="P9" i="3"/>
  <c r="H44" i="15"/>
  <c r="H57" i="15"/>
  <c r="B10" i="3"/>
  <c r="H64" i="11"/>
  <c r="H93" i="19"/>
  <c r="H114" i="8"/>
  <c r="H49" i="15"/>
  <c r="H60" i="15"/>
  <c r="H82" i="17"/>
  <c r="H64" i="17"/>
  <c r="B12" i="3"/>
  <c r="H107" i="13"/>
  <c r="H89" i="13"/>
  <c r="K9" i="3"/>
  <c r="H57" i="6"/>
  <c r="M4" i="3"/>
  <c r="H109" i="8"/>
  <c r="H121" i="8"/>
  <c r="H97" i="8"/>
  <c r="H52" i="27"/>
  <c r="M18" i="3"/>
  <c r="H78" i="25"/>
  <c r="H16" i="3"/>
  <c r="H57" i="12"/>
  <c r="H40" i="12"/>
  <c r="H66" i="18"/>
  <c r="H56" i="18"/>
  <c r="S23" i="3"/>
  <c r="H91" i="22"/>
  <c r="H15" i="3"/>
  <c r="AG18" i="3"/>
  <c r="H83" i="25"/>
  <c r="H99" i="25"/>
  <c r="O16" i="3"/>
  <c r="H75" i="24"/>
  <c r="H65" i="24"/>
  <c r="O21" i="3"/>
  <c r="H110" i="22"/>
  <c r="H109" i="22"/>
  <c r="H87" i="22"/>
  <c r="B15" i="3"/>
  <c r="H77" i="23"/>
  <c r="H60" i="23"/>
  <c r="P22" i="3"/>
  <c r="H51" i="10"/>
  <c r="H62" i="10"/>
  <c r="M7" i="3"/>
  <c r="H45" i="15"/>
  <c r="H58" i="15"/>
  <c r="K10" i="3"/>
  <c r="AG23" i="3"/>
  <c r="G23" i="4" s="1"/>
  <c r="AB19" i="4"/>
  <c r="S19" i="4"/>
  <c r="H43" i="12"/>
  <c r="H59" i="12"/>
  <c r="P8" i="3"/>
  <c r="X27" i="3"/>
  <c r="H115" i="13"/>
  <c r="H98" i="13"/>
  <c r="AC9" i="3"/>
  <c r="H63" i="12"/>
  <c r="H47" i="12"/>
  <c r="V8" i="3"/>
  <c r="H19" i="4"/>
  <c r="C19" i="4"/>
  <c r="AG19" i="4" s="1"/>
  <c r="H46" i="26"/>
  <c r="H17" i="3"/>
  <c r="H64" i="27"/>
  <c r="H71" i="21"/>
  <c r="O14" i="3"/>
  <c r="H78" i="23"/>
  <c r="H61" i="23"/>
  <c r="H75" i="17"/>
  <c r="H89" i="17"/>
  <c r="AA12" i="3"/>
  <c r="H56" i="12"/>
  <c r="H39" i="12"/>
  <c r="C8" i="3"/>
  <c r="H60" i="12"/>
  <c r="H44" i="12"/>
  <c r="H49" i="10"/>
  <c r="H7" i="3"/>
  <c r="C18" i="5"/>
  <c r="J18" i="5" s="1"/>
  <c r="H51" i="26"/>
  <c r="H62" i="26"/>
  <c r="AA17" i="3"/>
  <c r="H58" i="23"/>
  <c r="H76" i="23"/>
  <c r="K22" i="3"/>
  <c r="H76" i="25"/>
  <c r="H95" i="25"/>
  <c r="B16" i="3"/>
  <c r="H58" i="26"/>
  <c r="H105" i="22"/>
  <c r="AE15" i="3"/>
  <c r="H51" i="27"/>
  <c r="H56" i="24"/>
  <c r="H72" i="24"/>
  <c r="B21" i="3"/>
  <c r="H100" i="20"/>
  <c r="H82" i="20"/>
  <c r="P20" i="3"/>
  <c r="Q2" i="16"/>
  <c r="G58" i="16"/>
  <c r="G74" i="16" s="1"/>
  <c r="H74" i="11"/>
  <c r="M25" i="3"/>
  <c r="M25" i="4" s="1"/>
  <c r="H78" i="21"/>
  <c r="B4" i="3"/>
  <c r="H64" i="24"/>
  <c r="AA21" i="3"/>
  <c r="H105" i="14"/>
  <c r="H85" i="14"/>
  <c r="H86" i="11"/>
  <c r="H72" i="11"/>
  <c r="AB25" i="3"/>
  <c r="H83" i="11"/>
  <c r="H76" i="14"/>
  <c r="H97" i="14"/>
  <c r="B24" i="3"/>
  <c r="C27" i="3"/>
  <c r="H88" i="17"/>
  <c r="H73" i="17"/>
  <c r="W12" i="3"/>
  <c r="H57" i="24"/>
  <c r="H21" i="3"/>
  <c r="H115" i="8"/>
  <c r="H110" i="8"/>
  <c r="H77" i="14"/>
  <c r="H98" i="14"/>
  <c r="K24" i="3"/>
  <c r="H83" i="23"/>
  <c r="H66" i="23"/>
  <c r="V22" i="3"/>
  <c r="H49" i="9"/>
  <c r="M26" i="3"/>
  <c r="H117" i="8"/>
  <c r="H101" i="8"/>
  <c r="O6" i="3"/>
  <c r="H54" i="9"/>
  <c r="H64" i="9"/>
  <c r="AC26" i="3"/>
  <c r="H59" i="9"/>
  <c r="G27" i="3"/>
  <c r="B6" i="4" l="1"/>
  <c r="F5" i="5"/>
  <c r="AB6" i="4"/>
  <c r="N6" i="4"/>
  <c r="B5" i="5"/>
  <c r="I6" i="4"/>
  <c r="I27" i="4" s="1"/>
  <c r="H6" i="4"/>
  <c r="M6" i="4"/>
  <c r="AA6" i="4"/>
  <c r="C5" i="5"/>
  <c r="C6" i="4"/>
  <c r="AG7" i="3"/>
  <c r="AC9" i="4"/>
  <c r="F15" i="5"/>
  <c r="W26" i="4"/>
  <c r="W6" i="4"/>
  <c r="W27" i="3"/>
  <c r="B21" i="5"/>
  <c r="AG22" i="3"/>
  <c r="B22" i="4"/>
  <c r="C17" i="5"/>
  <c r="B17" i="5"/>
  <c r="C18" i="4"/>
  <c r="B18" i="4"/>
  <c r="L18" i="4"/>
  <c r="F17" i="5"/>
  <c r="B12" i="4"/>
  <c r="AG12" i="3"/>
  <c r="Q27" i="3"/>
  <c r="AC23" i="4"/>
  <c r="F22" i="5"/>
  <c r="H23" i="4"/>
  <c r="C22" i="5"/>
  <c r="C23" i="4"/>
  <c r="F21" i="5"/>
  <c r="K22" i="4"/>
  <c r="AG15" i="3"/>
  <c r="AE15" i="4" s="1"/>
  <c r="G18" i="4"/>
  <c r="F24" i="5"/>
  <c r="H25" i="4"/>
  <c r="V13" i="4"/>
  <c r="M18" i="4"/>
  <c r="AG24" i="3"/>
  <c r="B27" i="3"/>
  <c r="AG4" i="3"/>
  <c r="B20" i="5"/>
  <c r="B21" i="4"/>
  <c r="AG21" i="3"/>
  <c r="E17" i="5"/>
  <c r="AC18" i="4"/>
  <c r="AG13" i="3"/>
  <c r="AD22" i="4"/>
  <c r="AD27" i="3"/>
  <c r="K24" i="4"/>
  <c r="F23" i="5"/>
  <c r="D24" i="5"/>
  <c r="D26" i="5" s="1"/>
  <c r="L25" i="4"/>
  <c r="B25" i="4"/>
  <c r="B24" i="5"/>
  <c r="W25" i="4"/>
  <c r="D25" i="4"/>
  <c r="D27" i="4" s="1"/>
  <c r="E24" i="5"/>
  <c r="G25" i="4"/>
  <c r="N25" i="4"/>
  <c r="P15" i="4"/>
  <c r="P8" i="4"/>
  <c r="P27" i="3"/>
  <c r="C25" i="4"/>
  <c r="M16" i="4"/>
  <c r="AG14" i="3"/>
  <c r="O14" i="4" s="1"/>
  <c r="O6" i="4"/>
  <c r="O27" i="3"/>
  <c r="H15" i="4"/>
  <c r="F14" i="5"/>
  <c r="H21" i="4"/>
  <c r="F20" i="5"/>
  <c r="S27" i="3"/>
  <c r="S23" i="4"/>
  <c r="C24" i="5"/>
  <c r="H27" i="3"/>
  <c r="V18" i="4"/>
  <c r="AC27" i="3"/>
  <c r="AC7" i="4"/>
  <c r="AG20" i="3"/>
  <c r="B20" i="4"/>
  <c r="AE27" i="3"/>
  <c r="AG8" i="3"/>
  <c r="AG17" i="3"/>
  <c r="H17" i="4" s="1"/>
  <c r="V6" i="4"/>
  <c r="V27" i="3"/>
  <c r="E5" i="5"/>
  <c r="F27" i="3"/>
  <c r="F6" i="4"/>
  <c r="F27" i="4" s="1"/>
  <c r="AA27" i="3"/>
  <c r="M26" i="4"/>
  <c r="AG26" i="3"/>
  <c r="AB25" i="4"/>
  <c r="AB27" i="3"/>
  <c r="M27" i="3"/>
  <c r="V24" i="4"/>
  <c r="V22" i="4"/>
  <c r="O16" i="4"/>
  <c r="F8" i="5"/>
  <c r="K9" i="4"/>
  <c r="K27" i="3"/>
  <c r="AG9" i="3"/>
  <c r="AG10" i="3"/>
  <c r="Q10" i="4" s="1"/>
  <c r="Q27" i="4" s="1"/>
  <c r="V14" i="4"/>
  <c r="E3" i="5"/>
  <c r="E27" i="3"/>
  <c r="E4" i="4"/>
  <c r="M12" i="4"/>
  <c r="H58" i="16"/>
  <c r="H74" i="16"/>
  <c r="B11" i="3"/>
  <c r="AG16" i="3"/>
  <c r="B15" i="5" s="1"/>
  <c r="P22" i="4"/>
  <c r="E22" i="5"/>
  <c r="AG5" i="3"/>
  <c r="B4" i="5" s="1"/>
  <c r="AA17" i="4" l="1"/>
  <c r="AG25" i="4"/>
  <c r="AF12" i="4"/>
  <c r="AF27" i="4" s="1"/>
  <c r="N12" i="4"/>
  <c r="AG12" i="4" s="1"/>
  <c r="R12" i="4"/>
  <c r="R27" i="4" s="1"/>
  <c r="C12" i="4"/>
  <c r="F11" i="5"/>
  <c r="H12" i="4"/>
  <c r="C11" i="5"/>
  <c r="B5" i="4"/>
  <c r="AG5" i="4" s="1"/>
  <c r="F16" i="5"/>
  <c r="B26" i="4"/>
  <c r="AG26" i="4" s="1"/>
  <c r="B25" i="5"/>
  <c r="J25" i="5" s="1"/>
  <c r="C26" i="4"/>
  <c r="H26" i="4"/>
  <c r="F25" i="5"/>
  <c r="C25" i="5"/>
  <c r="C20" i="4"/>
  <c r="H20" i="4"/>
  <c r="AC20" i="4"/>
  <c r="F19" i="5"/>
  <c r="C19" i="5"/>
  <c r="X20" i="4"/>
  <c r="AA20" i="4"/>
  <c r="N21" i="4"/>
  <c r="AG21" i="4" s="1"/>
  <c r="C20" i="5"/>
  <c r="C21" i="4"/>
  <c r="W21" i="4"/>
  <c r="AG23" i="4"/>
  <c r="B11" i="5"/>
  <c r="J11" i="5" s="1"/>
  <c r="F7" i="5"/>
  <c r="K8" i="4"/>
  <c r="AD8" i="4"/>
  <c r="AD27" i="4" s="1"/>
  <c r="F4" i="5"/>
  <c r="J5" i="4"/>
  <c r="J27" i="4" s="1"/>
  <c r="N5" i="4"/>
  <c r="C4" i="5"/>
  <c r="J4" i="5" s="1"/>
  <c r="C5" i="4"/>
  <c r="J20" i="5"/>
  <c r="V20" i="4"/>
  <c r="J5" i="5"/>
  <c r="AC13" i="4"/>
  <c r="P13" i="4"/>
  <c r="E12" i="5"/>
  <c r="G13" i="4"/>
  <c r="G27" i="4" s="1"/>
  <c r="X13" i="4"/>
  <c r="AA13" i="4"/>
  <c r="H13" i="4"/>
  <c r="F12" i="5"/>
  <c r="C13" i="4"/>
  <c r="C12" i="5"/>
  <c r="K20" i="4"/>
  <c r="AG20" i="4" s="1"/>
  <c r="B6" i="5"/>
  <c r="J6" i="5" s="1"/>
  <c r="B7" i="4"/>
  <c r="W7" i="4"/>
  <c r="W27" i="4" s="1"/>
  <c r="C7" i="4"/>
  <c r="C6" i="5"/>
  <c r="AG11" i="3"/>
  <c r="B10" i="5"/>
  <c r="B11" i="4"/>
  <c r="B10" i="4"/>
  <c r="AC15" i="4"/>
  <c r="B13" i="4"/>
  <c r="P24" i="4"/>
  <c r="C24" i="4"/>
  <c r="AC24" i="4"/>
  <c r="C23" i="5"/>
  <c r="U24" i="4"/>
  <c r="U27" i="4" s="1"/>
  <c r="F9" i="5"/>
  <c r="F6" i="5"/>
  <c r="AB27" i="4"/>
  <c r="C17" i="4"/>
  <c r="C16" i="5"/>
  <c r="J16" i="5" s="1"/>
  <c r="V17" i="4"/>
  <c r="M17" i="4"/>
  <c r="J22" i="5"/>
  <c r="V8" i="4"/>
  <c r="C8" i="4"/>
  <c r="AG27" i="3"/>
  <c r="AA4" i="4"/>
  <c r="O4" i="4"/>
  <c r="O27" i="4" s="1"/>
  <c r="C3" i="5"/>
  <c r="H4" i="4"/>
  <c r="F3" i="5"/>
  <c r="C4" i="4"/>
  <c r="W12" i="4"/>
  <c r="B3" i="5"/>
  <c r="AG18" i="4"/>
  <c r="H16" i="4"/>
  <c r="B16" i="4"/>
  <c r="O12" i="4"/>
  <c r="B14" i="5"/>
  <c r="S14" i="4"/>
  <c r="S27" i="4" s="1"/>
  <c r="AC14" i="4"/>
  <c r="H14" i="4"/>
  <c r="F13" i="5"/>
  <c r="M14" i="4"/>
  <c r="B13" i="5"/>
  <c r="B14" i="4"/>
  <c r="C14" i="4"/>
  <c r="C13" i="5"/>
  <c r="J17" i="5"/>
  <c r="B9" i="5"/>
  <c r="AA12" i="4"/>
  <c r="AA21" i="4"/>
  <c r="B12" i="5"/>
  <c r="J12" i="5" s="1"/>
  <c r="B23" i="5"/>
  <c r="J23" i="5" s="1"/>
  <c r="K10" i="4"/>
  <c r="AG22" i="4"/>
  <c r="H7" i="4"/>
  <c r="C16" i="4"/>
  <c r="X16" i="4"/>
  <c r="P16" i="4"/>
  <c r="C15" i="5"/>
  <c r="J15" i="5" s="1"/>
  <c r="AA16" i="4"/>
  <c r="Y16" i="4"/>
  <c r="Y27" i="4" s="1"/>
  <c r="N16" i="4"/>
  <c r="L16" i="4"/>
  <c r="L27" i="4" s="1"/>
  <c r="C7" i="5"/>
  <c r="J7" i="5" s="1"/>
  <c r="C14" i="5"/>
  <c r="C15" i="4"/>
  <c r="Z15" i="4"/>
  <c r="Z27" i="4" s="1"/>
  <c r="K15" i="4"/>
  <c r="V15" i="4"/>
  <c r="X15" i="4"/>
  <c r="B4" i="4"/>
  <c r="C10" i="4"/>
  <c r="C9" i="5"/>
  <c r="AC10" i="4"/>
  <c r="AC27" i="4" s="1"/>
  <c r="M4" i="4"/>
  <c r="B15" i="4"/>
  <c r="AG15" i="4" s="1"/>
  <c r="AA9" i="4"/>
  <c r="V9" i="4"/>
  <c r="C9" i="4"/>
  <c r="B8" i="5"/>
  <c r="C8" i="5"/>
  <c r="B9" i="4"/>
  <c r="X9" i="4"/>
  <c r="M7" i="4"/>
  <c r="B19" i="5"/>
  <c r="J19" i="5" s="1"/>
  <c r="AC26" i="4"/>
  <c r="J24" i="5"/>
  <c r="B24" i="4"/>
  <c r="P9" i="4"/>
  <c r="C22" i="4"/>
  <c r="T22" i="4"/>
  <c r="T27" i="4" s="1"/>
  <c r="C21" i="5"/>
  <c r="J21" i="5" s="1"/>
  <c r="P20" i="4"/>
  <c r="AG6" i="4"/>
  <c r="AG14" i="4" l="1"/>
  <c r="M27" i="4"/>
  <c r="J13" i="5"/>
  <c r="B26" i="5"/>
  <c r="J3" i="5"/>
  <c r="AG7" i="4"/>
  <c r="AG9" i="4"/>
  <c r="AG4" i="4"/>
  <c r="B27" i="4"/>
  <c r="B30" i="4" s="1"/>
  <c r="H27" i="4"/>
  <c r="AG17" i="4"/>
  <c r="AG10" i="4"/>
  <c r="J8" i="5"/>
  <c r="J9" i="5"/>
  <c r="AA27" i="4"/>
  <c r="AA30" i="4" s="1"/>
  <c r="V11" i="4"/>
  <c r="V27" i="4" s="1"/>
  <c r="V30" i="4" s="1"/>
  <c r="C10" i="5"/>
  <c r="J10" i="5" s="1"/>
  <c r="C11" i="4"/>
  <c r="AG11" i="4" s="1"/>
  <c r="F10" i="5"/>
  <c r="F26" i="5" s="1"/>
  <c r="K11" i="4"/>
  <c r="AE11" i="4"/>
  <c r="AE27" i="4" s="1"/>
  <c r="E10" i="5"/>
  <c r="E26" i="5" s="1"/>
  <c r="E11" i="4"/>
  <c r="E27" i="4" s="1"/>
  <c r="E30" i="4" s="1"/>
  <c r="P11" i="4"/>
  <c r="P27" i="4" s="1"/>
  <c r="AG16" i="4"/>
  <c r="AG13" i="4"/>
  <c r="K27" i="4"/>
  <c r="X27" i="4"/>
  <c r="C26" i="5"/>
  <c r="J14" i="5"/>
  <c r="AG24" i="4"/>
  <c r="AG8" i="4"/>
  <c r="N27" i="4"/>
  <c r="M30" i="4" l="1"/>
  <c r="H30" i="4"/>
  <c r="C27" i="4"/>
  <c r="C3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500-000001000000}">
      <text>
        <r>
          <rPr>
            <sz val="11"/>
            <color theme="1"/>
            <rFont val="Calibri"/>
            <family val="2"/>
            <scheme val="minor"/>
          </rPr>
          <t>======
ID#AAAB9KapkzM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i/YcB4y/CsVkKw7k7er8Cs/WXMU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600-000001000000}">
      <text>
        <r>
          <rPr>
            <sz val="11"/>
            <color theme="1"/>
            <rFont val="Calibri"/>
            <family val="2"/>
            <scheme val="minor"/>
          </rPr>
          <t>======
ID#AAAB9KapkzY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gfGmkh3iPZQLvhbs/+d66TKVLh/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700-000001000000}">
      <text>
        <r>
          <rPr>
            <sz val="11"/>
            <color theme="1"/>
            <rFont val="Calibri"/>
            <family val="2"/>
            <scheme val="minor"/>
          </rPr>
          <t>======
ID#AAAB9KatGzk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imFojwf9fde30Vb92dFFqU1LUY5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800-000001000000}">
      <text>
        <r>
          <rPr>
            <sz val="11"/>
            <color theme="1"/>
            <rFont val="Calibri"/>
            <family val="2"/>
            <scheme val="minor"/>
          </rPr>
          <t>======
ID#AAAB9KapkzE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ihx150fp320SJcXWAtqOy8sOKgs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900-000001000000}">
      <text>
        <r>
          <rPr>
            <sz val="11"/>
            <color theme="1"/>
            <rFont val="Calibri"/>
            <family val="2"/>
            <scheme val="minor"/>
          </rPr>
          <t>======
ID#AAAB9KamAXI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hRqpOKLo7QbsJ0MNK/hjqVEVgko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A00-000001000000}">
      <text>
        <r>
          <rPr>
            <sz val="11"/>
            <color theme="1"/>
            <rFont val="Calibri"/>
            <family val="2"/>
            <scheme val="minor"/>
          </rPr>
          <t>======
ID#AAAB9KamAXA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hOQhtldUbDxog+4CGUxhsXNuaVs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J2" authorId="0" shapeId="0" xr:uid="{00000000-0006-0000-0B00-000001000000}">
      <text>
        <r>
          <rPr>
            <sz val="11"/>
            <color theme="1"/>
            <rFont val="Calibri"/>
            <family val="2"/>
            <scheme val="minor"/>
          </rPr>
          <t>======
ID#AAAB9Kapkyw
Author    (2026-06-11 21:49:23)
from IBC table 1809.7</t>
        </r>
      </text>
    </comment>
    <comment ref="L16" authorId="0" shapeId="0" xr:uid="{00000000-0006-0000-0B00-000002000000}">
      <text>
        <r>
          <rPr>
            <sz val="11"/>
            <color theme="1"/>
            <rFont val="Calibri"/>
            <family val="2"/>
            <scheme val="minor"/>
          </rPr>
          <t>======
ID#AAAB9KatGzo
Author    (2026-06-11 21:49:23)
https://www.buildgp.com/product/densglass-sheathing</t>
        </r>
      </text>
    </comment>
  </commentList>
  <extLst>
    <ext xmlns:r="http://schemas.openxmlformats.org/officeDocument/2006/relationships" uri="GoogleSheetsCustomDataVersion2">
      <go:sheetsCustomData xmlns:go="http://customooxmlschemas.google.com/" r:id="rId1" roundtripDataSignature="AMtx7mhbs5gDq5VBzmGoDuYQLi1Hf9VzYA=="/>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C00-000001000000}">
      <text>
        <r>
          <rPr>
            <sz val="11"/>
            <color theme="1"/>
            <rFont val="Calibri"/>
            <family val="2"/>
            <scheme val="minor"/>
          </rPr>
          <t>======
ID#AAAB9KamAXM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jEUi305BpLxENcYaVDF/8QSTSNR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D00-000001000000}">
      <text>
        <r>
          <rPr>
            <sz val="11"/>
            <color theme="1"/>
            <rFont val="Calibri"/>
            <family val="2"/>
            <scheme val="minor"/>
          </rPr>
          <t>======
ID#AAAB9KatGzc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gdnX6K/8CNZxZgAN/eHfMNvXvW4g=="/>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E00-000001000000}">
      <text>
        <r>
          <rPr>
            <sz val="11"/>
            <color theme="1"/>
            <rFont val="Calibri"/>
            <family val="2"/>
            <scheme val="minor"/>
          </rPr>
          <t>======
ID#AAAB9KamAWs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hkW8hlSTx2dz6ocwdlfHtDf+dMeg=="/>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F00-000004000000}">
      <text>
        <r>
          <rPr>
            <sz val="11"/>
            <color theme="1"/>
            <rFont val="Calibri"/>
            <family val="2"/>
            <scheme val="minor"/>
          </rPr>
          <t>======
ID#AAAB9Kapkzk
Author    (2026-06-11 21:49:23)
building square footage from iNFADS</t>
        </r>
      </text>
    </comment>
    <comment ref="J5" authorId="0" shapeId="0" xr:uid="{00000000-0006-0000-0F00-000001000000}">
      <text>
        <r>
          <rPr>
            <sz val="11"/>
            <color theme="1"/>
            <rFont val="Calibri"/>
            <family val="2"/>
            <scheme val="minor"/>
          </rPr>
          <t>======
ID#AAAB9KatGzQ
Author    (2026-06-11 21:49:23)
from IBC table 1809.7</t>
        </r>
      </text>
    </comment>
    <comment ref="L31" authorId="0" shapeId="0" xr:uid="{00000000-0006-0000-0F00-000005000000}">
      <text>
        <r>
          <rPr>
            <sz val="11"/>
            <color theme="1"/>
            <rFont val="Calibri"/>
            <family val="2"/>
            <scheme val="minor"/>
          </rPr>
          <t>======
ID#AAAB9KamAW4
Author    (2026-06-11 21:49:23)
https://www.buildgp.com/product/densglass-sheathing</t>
        </r>
      </text>
    </comment>
    <comment ref="G34" authorId="0" shapeId="0" xr:uid="{00000000-0006-0000-0F00-000002000000}">
      <text>
        <r>
          <rPr>
            <sz val="11"/>
            <color theme="1"/>
            <rFont val="Calibri"/>
            <family val="2"/>
            <scheme val="minor"/>
          </rPr>
          <t>======
ID#AAAB9KapkzI
Author    (2026-06-11 21:49:23)
originally aid 420 - this has to be wrong... Ask Mark &amp; co</t>
        </r>
      </text>
    </comment>
    <comment ref="H34" authorId="0" shapeId="0" xr:uid="{00000000-0006-0000-0F00-000003000000}">
      <text>
        <r>
          <rPr>
            <sz val="11"/>
            <color theme="1"/>
            <rFont val="Calibri"/>
            <family val="2"/>
            <scheme val="minor"/>
          </rPr>
          <t>======
ID#AAAB9KapkzQ
Author    (2026-06-11 21:49:23)
measured</t>
        </r>
      </text>
    </comment>
  </commentList>
  <extLst>
    <ext xmlns:r="http://schemas.openxmlformats.org/officeDocument/2006/relationships" uri="GoogleSheetsCustomDataVersion2">
      <go:sheetsCustomData xmlns:go="http://customooxmlschemas.google.com/" r:id="rId1" roundtripDataSignature="AMtx7mgOkKydtSysa7tekKEN9vy5zkfSYw=="/>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000-000001000000}">
      <text>
        <r>
          <rPr>
            <sz val="11"/>
            <color theme="1"/>
            <rFont val="Calibri"/>
            <family val="2"/>
            <scheme val="minor"/>
          </rPr>
          <t>======
ID#AAAB9Kapkzc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jcQ9X1W//i2++Kj6SU2nSJ9ugk3g=="/>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100-000001000000}">
      <text>
        <r>
          <rPr>
            <sz val="11"/>
            <color theme="1"/>
            <rFont val="Calibri"/>
            <family val="2"/>
            <scheme val="minor"/>
          </rPr>
          <t>======
ID#AAAB9Kapky4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jnQpW5Kc6+EYHwstlYZdOBqouqDw=="/>
    </ext>
  </extL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200-000007000000}">
      <text>
        <r>
          <rPr>
            <sz val="11"/>
            <color theme="1"/>
            <rFont val="Calibri"/>
            <family val="2"/>
            <scheme val="minor"/>
          </rPr>
          <t>======
ID#AAAB9KamAWw
Author    (2026-06-11 21:49:23)
building square footage from iNFADS</t>
        </r>
      </text>
    </comment>
    <comment ref="J5" authorId="0" shapeId="0" xr:uid="{00000000-0006-0000-1200-000003000000}">
      <text>
        <r>
          <rPr>
            <sz val="11"/>
            <color theme="1"/>
            <rFont val="Calibri"/>
            <family val="2"/>
            <scheme val="minor"/>
          </rPr>
          <t>======
ID#AAAB9Kapky0
Author    (2026-06-11 21:49:23)
from IBC table 1809.7</t>
        </r>
      </text>
    </comment>
    <comment ref="J13" authorId="0" shapeId="0" xr:uid="{00000000-0006-0000-1200-000006000000}">
      <text>
        <r>
          <rPr>
            <sz val="11"/>
            <color theme="1"/>
            <rFont val="Calibri"/>
            <family val="2"/>
            <scheme val="minor"/>
          </rPr>
          <t>======
ID#AAAB9Kapkys
Author    (2026-06-11 21:49:23)
used 20 gauge or 0.04" bc that seemed to be most common and &gt; 0.0358</t>
        </r>
      </text>
    </comment>
    <comment ref="L13" authorId="0" shapeId="0" xr:uid="{00000000-0006-0000-1200-000008000000}">
      <text>
        <r>
          <rPr>
            <sz val="11"/>
            <color theme="1"/>
            <rFont val="Calibri"/>
            <family val="2"/>
            <scheme val="minor"/>
          </rPr>
          <t>======
ID#AAAB9Kapky8
Author    (2026-06-11 21:49:23)
source: https://www.riversidesheetmetal.net/sheet-metal/gauge-and-weight-chart/</t>
        </r>
      </text>
    </comment>
    <comment ref="L26" authorId="0" shapeId="0" xr:uid="{00000000-0006-0000-1200-000002000000}">
      <text>
        <r>
          <rPr>
            <sz val="11"/>
            <color theme="1"/>
            <rFont val="Calibri"/>
            <family val="2"/>
            <scheme val="minor"/>
          </rPr>
          <t>======
ID#AAAB9Kapkzg
Author    (2026-06-11 21:49:23)
https://www.buildgp.com/product/densglass-sheathing</t>
        </r>
      </text>
    </comment>
    <comment ref="G29" authorId="0" shapeId="0" xr:uid="{00000000-0006-0000-1200-000004000000}">
      <text>
        <r>
          <rPr>
            <sz val="11"/>
            <color theme="1"/>
            <rFont val="Calibri"/>
            <family val="2"/>
            <scheme val="minor"/>
          </rPr>
          <t>======
ID#AAAB9KamAXE
Author    (2026-06-11 21:49:23)
originally aid 420 - this has to be wrong... Ask Mark &amp; co</t>
        </r>
      </text>
    </comment>
    <comment ref="H29" authorId="0" shapeId="0" xr:uid="{00000000-0006-0000-1200-000005000000}">
      <text>
        <r>
          <rPr>
            <sz val="11"/>
            <color theme="1"/>
            <rFont val="Calibri"/>
            <family val="2"/>
            <scheme val="minor"/>
          </rPr>
          <t>======
ID#AAAB9KatGzs
Author    (2026-06-11 21:49:23)
measured</t>
        </r>
      </text>
    </comment>
    <comment ref="S50" authorId="0" shapeId="0" xr:uid="{00000000-0006-0000-1200-000001000000}">
      <text>
        <r>
          <rPr>
            <sz val="11"/>
            <color theme="1"/>
            <rFont val="Calibri"/>
            <family val="2"/>
            <scheme val="minor"/>
          </rPr>
          <t>======
ID#AAAB9KamAW8
Author    (2026-06-11 21:49:23)
using current standards... Should I be using standards from time when built?</t>
        </r>
      </text>
    </comment>
  </commentList>
  <extLst>
    <ext xmlns:r="http://schemas.openxmlformats.org/officeDocument/2006/relationships" uri="GoogleSheetsCustomDataVersion2">
      <go:sheetsCustomData xmlns:go="http://customooxmlschemas.google.com/" r:id="rId1" roundtripDataSignature="AMtx7miICQGsmqHsQqvrbK9gO8Y4WIsoiA=="/>
    </ext>
  </extL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300-000001000000}">
      <text>
        <r>
          <rPr>
            <sz val="11"/>
            <color theme="1"/>
            <rFont val="Calibri"/>
            <family val="2"/>
            <scheme val="minor"/>
          </rPr>
          <t>======
ID#AAAB9KamAW0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hFSwGC+bFnzqsGTRVE7PCPdUaQlg=="/>
    </ext>
  </extL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400-000001000000}">
      <text>
        <r>
          <rPr>
            <sz val="11"/>
            <color theme="1"/>
            <rFont val="Calibri"/>
            <family val="2"/>
            <scheme val="minor"/>
          </rPr>
          <t>======
ID#AAAB9KatGzg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hEOMskymxII+ZEbhlKcKlib3eT5Q=="/>
    </ext>
  </extL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500-000001000000}">
      <text>
        <r>
          <rPr>
            <sz val="11"/>
            <color theme="1"/>
            <rFont val="Calibri"/>
            <family val="2"/>
            <scheme val="minor"/>
          </rPr>
          <t>======
ID#AAAB9KapkzU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ikdiw6BwUh5Umf6Iq6jjvI7PBwJQ=="/>
    </ext>
  </extL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L20" authorId="0" shapeId="0" xr:uid="{00000000-0006-0000-1600-000001000000}">
      <text>
        <r>
          <rPr>
            <sz val="11"/>
            <color theme="1"/>
            <rFont val="Calibri"/>
            <family val="2"/>
            <scheme val="minor"/>
          </rPr>
          <t>======
ID#AAAB9KapkzA
Author    (2026-06-11 21:49:23)
https://www.buildgp.com/product/densglass-sheathing</t>
        </r>
      </text>
    </comment>
  </commentList>
  <extLst>
    <ext xmlns:r="http://schemas.openxmlformats.org/officeDocument/2006/relationships" uri="GoogleSheetsCustomDataVersion2">
      <go:sheetsCustomData xmlns:go="http://customooxmlschemas.google.com/" r:id="rId1" roundtripDataSignature="AMtx7mhAmfqnH69BSjs9687XdgKAe8CTNg=="/>
    </ext>
  </extL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700-000001000000}">
      <text>
        <r>
          <rPr>
            <sz val="11"/>
            <color theme="1"/>
            <rFont val="Calibri"/>
            <family val="2"/>
            <scheme val="minor"/>
          </rPr>
          <t>======
ID#AAAB9KatGzM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jxVzycg9uDe5DBxOLQI0158A6+3w=="/>
    </ext>
  </extL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800-000001000000}">
      <text>
        <r>
          <rPr>
            <sz val="11"/>
            <color theme="1"/>
            <rFont val="Calibri"/>
            <family val="2"/>
            <scheme val="minor"/>
          </rPr>
          <t>======
ID#AAAB9KatGzU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hISjRlx9nv9C8jI3yhnIhBm64i3A=="/>
    </ext>
  </extL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A00-000001000000}">
      <text>
        <r>
          <rPr>
            <sz val="11"/>
            <color theme="1"/>
            <rFont val="Calibri"/>
            <family val="2"/>
            <scheme val="minor"/>
          </rPr>
          <t>======
ID#AAAB9KatGzY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h8QcdKLEaBFF5je4Jr1uY9YQ7f5g=="/>
    </ext>
  </extL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1B00-000001000000}">
      <text>
        <r>
          <rPr>
            <sz val="11"/>
            <color theme="1"/>
            <rFont val="Calibri"/>
            <family val="2"/>
            <scheme val="minor"/>
          </rPr>
          <t>======
ID#AAAB9Kapkyo
Author    (2026-06-11 21:49:23)
building square footage from iNFADS</t>
        </r>
      </text>
    </comment>
  </commentList>
  <extLst>
    <ext xmlns:r="http://schemas.openxmlformats.org/officeDocument/2006/relationships" uri="GoogleSheetsCustomDataVersion2">
      <go:sheetsCustomData xmlns:go="http://customooxmlschemas.google.com/" r:id="rId1" roundtripDataSignature="AMtx7mgf2Dks24zSxTUCX+HdfJEcmfgh6g=="/>
    </ext>
  </extLst>
</comments>
</file>

<file path=xl/sharedStrings.xml><?xml version="1.0" encoding="utf-8"?>
<sst xmlns="http://schemas.openxmlformats.org/spreadsheetml/2006/main" count="9123" uniqueCount="1631">
  <si>
    <t>Archetypes</t>
  </si>
  <si>
    <t>MICs (lbs/GSF)</t>
  </si>
  <si>
    <t>CIP concrete</t>
  </si>
  <si>
    <t>OSB</t>
  </si>
  <si>
    <t>softwood</t>
  </si>
  <si>
    <t>plywood</t>
  </si>
  <si>
    <t>Stucco</t>
  </si>
  <si>
    <t>cold-formed, galvanized steel</t>
  </si>
  <si>
    <t>hot-rolled, structural steel</t>
  </si>
  <si>
    <t>cold-formed, structural steel</t>
  </si>
  <si>
    <t>polyisocyanurate foam board</t>
  </si>
  <si>
    <t>Expanded polystyrene foam</t>
  </si>
  <si>
    <t>glass mat gypsum board</t>
  </si>
  <si>
    <t>aluminum</t>
  </si>
  <si>
    <t>#15 felt</t>
  </si>
  <si>
    <t>#30 felt</t>
  </si>
  <si>
    <t>transite</t>
  </si>
  <si>
    <t>TPO</t>
  </si>
  <si>
    <t>laminated glass</t>
  </si>
  <si>
    <t>Polyvinyl Butyral (PVB) interlayer film</t>
  </si>
  <si>
    <t>Concrete masonry unit</t>
  </si>
  <si>
    <t>solid modular brick</t>
  </si>
  <si>
    <t>Type S mortar</t>
  </si>
  <si>
    <t>granulated modified bitumen cap sheet</t>
  </si>
  <si>
    <t>clay tiles</t>
  </si>
  <si>
    <t>modified bitumen membrane</t>
  </si>
  <si>
    <t>Aircraft traffic control &amp; operations, 1957</t>
  </si>
  <si>
    <t>-</t>
  </si>
  <si>
    <t>Ammunition &amp; Explosives storage magazine, 1952</t>
  </si>
  <si>
    <t>Aircraft maintenance hangar, 1960</t>
  </si>
  <si>
    <t>Communications, 1954</t>
  </si>
  <si>
    <t>Family Housing, 1958</t>
  </si>
  <si>
    <t>Family service center, 1993</t>
  </si>
  <si>
    <t>Industrial utilities &amp; fire protection, 2009</t>
  </si>
  <si>
    <t>Lodging, 1993</t>
  </si>
  <si>
    <t>maintenance shop, 1959</t>
  </si>
  <si>
    <t>office, 1993</t>
  </si>
  <si>
    <t>RDT&amp;E (laboratories), 1965</t>
  </si>
  <si>
    <t>Recreation &amp; Culture, 1988</t>
  </si>
  <si>
    <t>Store (Retail &amp; grocery), 1996</t>
  </si>
  <si>
    <t>training &amp; academic instruction, 1988</t>
  </si>
  <si>
    <t>Unaccompanied housing (barracks), 1996</t>
  </si>
  <si>
    <t>warehouse / storage, 1990</t>
  </si>
  <si>
    <t>Public service, 1989</t>
  </si>
  <si>
    <t>Ship operational, 1953</t>
  </si>
  <si>
    <t>Security, 1950</t>
  </si>
  <si>
    <t>Military medical facilities, 1985</t>
  </si>
  <si>
    <t>Fire station, 1947</t>
  </si>
  <si>
    <t>Dining, 1954</t>
  </si>
  <si>
    <t>armory, 1967</t>
  </si>
  <si>
    <t>MIC (lbs/GSF)</t>
  </si>
  <si>
    <t>Archetype</t>
  </si>
  <si>
    <t>Components (SF/GSF)</t>
  </si>
  <si>
    <t>FOOTING</t>
  </si>
  <si>
    <t>Slab</t>
  </si>
  <si>
    <t>Basement</t>
  </si>
  <si>
    <t>Floor construction</t>
  </si>
  <si>
    <t>steel doors</t>
  </si>
  <si>
    <t>overhead doors</t>
  </si>
  <si>
    <t>blast resisitant doors</t>
  </si>
  <si>
    <t>overhead roll-up doors</t>
  </si>
  <si>
    <t>Roof construction</t>
  </si>
  <si>
    <t>glazed doors w/ metal</t>
  </si>
  <si>
    <t>insulated, hot-rolled sheet steel hangar door</t>
  </si>
  <si>
    <t>sliding glass patio door</t>
  </si>
  <si>
    <t>Exterior walls</t>
  </si>
  <si>
    <t>wood door</t>
  </si>
  <si>
    <t>FRP door</t>
  </si>
  <si>
    <t>Vault door</t>
  </si>
  <si>
    <t>Windows</t>
  </si>
  <si>
    <t>Roof covering</t>
  </si>
  <si>
    <t>Strip footing</t>
  </si>
  <si>
    <t>Reinforced slab</t>
  </si>
  <si>
    <t>Wood beam, joist, and deck</t>
  </si>
  <si>
    <t>Light gauge steel floor system</t>
  </si>
  <si>
    <t>CIP concrete beam and slab</t>
  </si>
  <si>
    <t>Steel deck, beams, and bar joist</t>
  </si>
  <si>
    <t>Metal structural frame</t>
  </si>
  <si>
    <t>CIP concrete cap</t>
  </si>
  <si>
    <t>wood deck and rafter</t>
  </si>
  <si>
    <t>CIP concrete beams and slab</t>
  </si>
  <si>
    <t>Concrete block</t>
  </si>
  <si>
    <t>Metal siding panels</t>
  </si>
  <si>
    <t>Wood cladding w/ stud backup</t>
  </si>
  <si>
    <t>Transite siding panel</t>
  </si>
  <si>
    <t>Precast concrete panel (tilt up)</t>
  </si>
  <si>
    <t>Solid brick - single wythe</t>
  </si>
  <si>
    <t>Brick veneer w/ stud backup</t>
  </si>
  <si>
    <t>Aluminum</t>
  </si>
  <si>
    <t>Steel</t>
  </si>
  <si>
    <t>Curtain wall</t>
  </si>
  <si>
    <t>tubular aluminum framing - storefronts</t>
  </si>
  <si>
    <t>wood</t>
  </si>
  <si>
    <t>Preformed metal</t>
  </si>
  <si>
    <t>Single ply membrane</t>
  </si>
  <si>
    <t>BUR</t>
  </si>
  <si>
    <t>Asphalt shingles</t>
  </si>
  <si>
    <t>Clay tile</t>
  </si>
  <si>
    <t>Transite formed metal</t>
  </si>
  <si>
    <t>Aircraft traffic control &amp; operations</t>
  </si>
  <si>
    <t>Ammunition &amp; Explosives storage magazine</t>
  </si>
  <si>
    <t>Aircraft maintenance hangar</t>
  </si>
  <si>
    <t>Communications</t>
  </si>
  <si>
    <t>Family Housing</t>
  </si>
  <si>
    <t>Family service center</t>
  </si>
  <si>
    <t>Archeytpe</t>
  </si>
  <si>
    <t>Exterior Walls</t>
  </si>
  <si>
    <t>Industrial utilities &amp; fire protection</t>
  </si>
  <si>
    <t>Ammunition &amp; explosives storage magazine</t>
  </si>
  <si>
    <t>Lodging</t>
  </si>
  <si>
    <t>maintenance shop</t>
  </si>
  <si>
    <t>Industrial utilities</t>
  </si>
  <si>
    <t>Maintenance shop</t>
  </si>
  <si>
    <t>Office</t>
  </si>
  <si>
    <t>office</t>
  </si>
  <si>
    <t>Archetype/Typology</t>
  </si>
  <si>
    <t>Asset</t>
  </si>
  <si>
    <t>Asset description</t>
  </si>
  <si>
    <t>Assembly</t>
  </si>
  <si>
    <t>Material Category</t>
  </si>
  <si>
    <t>RDT&amp;E (laboratories)</t>
  </si>
  <si>
    <t>Material</t>
  </si>
  <si>
    <t>Qty</t>
  </si>
  <si>
    <t>Size</t>
  </si>
  <si>
    <t>UOM</t>
  </si>
  <si>
    <t>thickness (ft)</t>
  </si>
  <si>
    <t>width (ft)</t>
  </si>
  <si>
    <t>density</t>
  </si>
  <si>
    <t>Mass (lbs)</t>
  </si>
  <si>
    <t>Recreation &amp; culture</t>
  </si>
  <si>
    <t>Building Area</t>
  </si>
  <si>
    <t>Functional Unit</t>
  </si>
  <si>
    <r>
      <rPr>
        <b/>
        <sz val="11"/>
        <color theme="1"/>
        <rFont val="Calibri"/>
        <family val="2"/>
      </rPr>
      <t>Mass per Functional Unit (lbs/ft</t>
    </r>
    <r>
      <rPr>
        <b/>
        <vertAlign val="superscript"/>
        <sz val="11"/>
        <color theme="1"/>
        <rFont val="Calibri"/>
        <family val="2"/>
      </rPr>
      <t>2</t>
    </r>
    <r>
      <rPr>
        <b/>
        <sz val="11"/>
        <color theme="1"/>
        <rFont val="Calibri"/>
        <family val="2"/>
      </rPr>
      <t>)</t>
    </r>
  </si>
  <si>
    <t>data confidence level</t>
  </si>
  <si>
    <t>Source of data</t>
  </si>
  <si>
    <t>assumptions</t>
  </si>
  <si>
    <t>Store (retail &amp; grocery)</t>
  </si>
  <si>
    <t>Aircraft traffic control/operations</t>
  </si>
  <si>
    <t>Training &amp; academic instruction</t>
  </si>
  <si>
    <t>STRIP FOOTINGS</t>
  </si>
  <si>
    <t>concrete</t>
  </si>
  <si>
    <t>Unaccompanied housing (barracks)</t>
  </si>
  <si>
    <t>LF</t>
  </si>
  <si>
    <t>Warehouse / storage</t>
  </si>
  <si>
    <r>
      <rPr>
        <sz val="11"/>
        <color theme="1"/>
        <rFont val="Calibri"/>
        <family val="2"/>
      </rPr>
      <t>(lb/ft</t>
    </r>
    <r>
      <rPr>
        <vertAlign val="superscript"/>
        <sz val="11"/>
        <color theme="1"/>
        <rFont val="Calibri"/>
        <family val="2"/>
      </rPr>
      <t>3</t>
    </r>
    <r>
      <rPr>
        <sz val="11"/>
        <color theme="1"/>
        <rFont val="Calibri"/>
        <family val="2"/>
      </rPr>
      <t>)</t>
    </r>
  </si>
  <si>
    <t>Public service</t>
  </si>
  <si>
    <t>Recreation &amp; Culture</t>
  </si>
  <si>
    <r>
      <rPr>
        <sz val="11"/>
        <color theme="1"/>
        <rFont val="Calibri"/>
        <family val="2"/>
      </rPr>
      <t>ft</t>
    </r>
    <r>
      <rPr>
        <vertAlign val="superscript"/>
        <sz val="11"/>
        <color theme="1"/>
        <rFont val="Calibri"/>
        <family val="2"/>
      </rPr>
      <t>2</t>
    </r>
  </si>
  <si>
    <t>Ship operational</t>
  </si>
  <si>
    <t xml:space="preserve">UFC 3-220-01 1808.2: </t>
  </si>
  <si>
    <t>continuous footings shall be 18" wide or 8" wider than the supported wall, whichever is greater</t>
  </si>
  <si>
    <t>Security</t>
  </si>
  <si>
    <t>IBC 1809.8 Plain concrete footings</t>
  </si>
  <si>
    <t>The edge thickness of plain concrete footings supporting walls of other than light-frame construction shall not be less than 8"</t>
  </si>
  <si>
    <t>reinforcement</t>
  </si>
  <si>
    <t>steel</t>
  </si>
  <si>
    <t>carbon steel</t>
  </si>
  <si>
    <r>
      <rPr>
        <sz val="11"/>
        <color theme="1"/>
        <rFont val="Calibri"/>
        <family val="2"/>
      </rPr>
      <t>(lb/ft</t>
    </r>
    <r>
      <rPr>
        <vertAlign val="superscript"/>
        <sz val="11"/>
        <color theme="1"/>
        <rFont val="Calibri"/>
        <family val="2"/>
      </rPr>
      <t>3</t>
    </r>
    <r>
      <rPr>
        <sz val="11"/>
        <color theme="1"/>
        <rFont val="Calibri"/>
        <family val="2"/>
      </rPr>
      <t>)</t>
    </r>
  </si>
  <si>
    <t>Military medical facilities</t>
  </si>
  <si>
    <t>Store (Retail &amp; grocery)</t>
  </si>
  <si>
    <t>https://help.oneclicklca.com/en/articles/275888-average-quantities-of-reinforcement-in-concrete</t>
  </si>
  <si>
    <t>Fire station</t>
  </si>
  <si>
    <t>average reinforcement in footings is ~5.25 lbs/ft3</t>
  </si>
  <si>
    <t>Dining</t>
  </si>
  <si>
    <t>SLAB</t>
  </si>
  <si>
    <t>PLAIN/REINFORCED</t>
  </si>
  <si>
    <t>SF</t>
  </si>
  <si>
    <t>Armory</t>
  </si>
  <si>
    <r>
      <rPr>
        <sz val="11"/>
        <color theme="1"/>
        <rFont val="Calibri"/>
        <family val="2"/>
      </rPr>
      <t>(lb/ft</t>
    </r>
    <r>
      <rPr>
        <vertAlign val="superscript"/>
        <sz val="11"/>
        <color theme="1"/>
        <rFont val="Calibri"/>
        <family val="2"/>
      </rPr>
      <t>3</t>
    </r>
    <r>
      <rPr>
        <sz val="11"/>
        <color theme="1"/>
        <rFont val="Calibri"/>
        <family val="2"/>
      </rPr>
      <t>)</t>
    </r>
  </si>
  <si>
    <t>iNFADS specified 10" heavy duty slab</t>
  </si>
  <si>
    <t>Average MICs</t>
  </si>
  <si>
    <t>training &amp; academic instruction</t>
  </si>
  <si>
    <r>
      <rPr>
        <sz val="11"/>
        <color theme="1"/>
        <rFont val="Calibri"/>
        <family val="2"/>
      </rPr>
      <t>(lb/ft</t>
    </r>
    <r>
      <rPr>
        <vertAlign val="superscript"/>
        <sz val="11"/>
        <color theme="1"/>
        <rFont val="Calibri"/>
        <family val="2"/>
      </rPr>
      <t>3</t>
    </r>
    <r>
      <rPr>
        <sz val="11"/>
        <color theme="1"/>
        <rFont val="Calibri"/>
        <family val="2"/>
      </rPr>
      <t>)</t>
    </r>
  </si>
  <si>
    <t>For image grading:</t>
  </si>
  <si>
    <t xml:space="preserve">engineering judgement, https://www.omnicalculator.com/construction/concrete-weight: </t>
  </si>
  <si>
    <t>slab of concrete = 150 lbs/cubic ft; reinforced conrete = 156 lbs/cubic ft</t>
  </si>
  <si>
    <t>FLOOR CONSTRUCTION</t>
  </si>
  <si>
    <t>WOOD  BEAM, JOIST, AND DECK</t>
  </si>
  <si>
    <t>beam</t>
  </si>
  <si>
    <t>3-2x8</t>
  </si>
  <si>
    <t>lb/linear ft</t>
  </si>
  <si>
    <t>engineering judgement</t>
  </si>
  <si>
    <t>assume 3-2x12 girders because seems to be common</t>
  </si>
  <si>
    <t xml:space="preserve">https://roofobservations.com/2x12-lumber-weight/ </t>
  </si>
  <si>
    <t>2x12  lumber weight</t>
  </si>
  <si>
    <t>Joists</t>
  </si>
  <si>
    <t>2x8</t>
  </si>
  <si>
    <t>warehouse / storage</t>
  </si>
  <si>
    <t>lbs/ft</t>
  </si>
  <si>
    <t xml:space="preserve">https://constructionmentor.net/wood-joist-floor-assembly/ </t>
  </si>
  <si>
    <t>common joist spacing is 12, 16, 24" o.c.. Common span length allowances. Deeper joists spaced further apart is typically more desirable... Select 2x10 @ 24" spacing</t>
  </si>
  <si>
    <t>iNFADS</t>
  </si>
  <si>
    <t>assume mezzanine is 100x20'</t>
  </si>
  <si>
    <t xml:space="preserve">https://awc.org/calculators/span-options-calculator-for-wood-joists-and-rafters/ </t>
  </si>
  <si>
    <t>assume 2x8s at 24" spacing span 10'</t>
  </si>
  <si>
    <t>https://roofobservations.com/2x12-lumber-weight/</t>
  </si>
  <si>
    <t>2x12 and 2x8 lumber weight</t>
  </si>
  <si>
    <t>columns</t>
  </si>
  <si>
    <t>8x8</t>
  </si>
  <si>
    <t>2-2x12s sold in 10-20' lengths, assume 20' span -&gt; 5 beam and 6 posts along beam</t>
  </si>
  <si>
    <t>assume posts are 10' tall, 4x4 post</t>
  </si>
  <si>
    <t>floor deck</t>
  </si>
  <si>
    <r>
      <rPr>
        <sz val="11"/>
        <color theme="1"/>
        <rFont val="Calibri"/>
        <family val="2"/>
      </rPr>
      <t>(lb/ft</t>
    </r>
    <r>
      <rPr>
        <vertAlign val="superscript"/>
        <sz val="11"/>
        <color theme="1"/>
        <rFont val="Calibri"/>
        <family val="2"/>
      </rPr>
      <t>3</t>
    </r>
    <r>
      <rPr>
        <sz val="11"/>
        <color theme="1"/>
        <rFont val="Calibri"/>
        <family val="2"/>
      </rPr>
      <t>)</t>
    </r>
  </si>
  <si>
    <t>ICC Table 2304.8(4) allowable span for wood strucutral panel combination subfloor-underlayment (single floor)</t>
  </si>
  <si>
    <t>24" joist spacing -&gt; 7/8"</t>
  </si>
  <si>
    <t>UFGS 2.3.2.1 Plywood</t>
  </si>
  <si>
    <t>Provide plywood underlayment; minimum thickiness must be as listed below: 24" -&gt; 7/8"</t>
  </si>
  <si>
    <t>https://www.hunker.com/13401564/how-to-calculate-the-weight-of-plywood/</t>
  </si>
  <si>
    <t>weight of plywood</t>
  </si>
  <si>
    <t>ROOF CONSTRUCTION</t>
  </si>
  <si>
    <t>STEEL DECK,  BEAMS, AND BAR JOISTS</t>
  </si>
  <si>
    <t>girders</t>
  </si>
  <si>
    <t>W12x44</t>
  </si>
  <si>
    <t>infads</t>
  </si>
  <si>
    <t>building is 101 ft long and 89.5 ft wide</t>
  </si>
  <si>
    <r>
      <rPr>
        <b/>
        <sz val="11"/>
        <color theme="1"/>
        <rFont val="Calibri"/>
        <family val="2"/>
      </rPr>
      <t>Mass per Functional Unit (lbs/ft</t>
    </r>
    <r>
      <rPr>
        <b/>
        <vertAlign val="superscript"/>
        <sz val="11"/>
        <color theme="1"/>
        <rFont val="Calibri"/>
        <family val="2"/>
      </rPr>
      <t>2</t>
    </r>
    <r>
      <rPr>
        <b/>
        <sz val="11"/>
        <color theme="1"/>
        <rFont val="Calibri"/>
        <family val="2"/>
      </rPr>
      <t>)</t>
    </r>
  </si>
  <si>
    <t xml:space="preserve">https://vulcraft.com/learning/designing-lecture/Roof%20Design%20with%20Joists%20and%20Joist%20Girders.pdf </t>
  </si>
  <si>
    <t>k-series joist most common for roof construction</t>
  </si>
  <si>
    <t>Ammunition &amp; Explosives Storage Magazine</t>
  </si>
  <si>
    <t>https://vulcraft.com/catalogs/JoistGirder/Standard_Weights-Joist-Girders.pdf</t>
  </si>
  <si>
    <t>select 44G10N12k for 45' span (1 columns) -&gt; 64 lbs/ft</t>
  </si>
  <si>
    <t>lbs/linear ft</t>
  </si>
  <si>
    <r>
      <rPr>
        <sz val="11"/>
        <color theme="1"/>
        <rFont val="Calibri"/>
        <family val="2"/>
      </rPr>
      <t>(lb/ft</t>
    </r>
    <r>
      <rPr>
        <vertAlign val="superscript"/>
        <sz val="11"/>
        <color theme="1"/>
        <rFont val="Calibri"/>
        <family val="2"/>
      </rPr>
      <t>3</t>
    </r>
    <r>
      <rPr>
        <sz val="11"/>
        <color theme="1"/>
        <rFont val="Calibri"/>
        <family val="2"/>
      </rPr>
      <t>)</t>
    </r>
  </si>
  <si>
    <t>Medical facilities, 1985</t>
  </si>
  <si>
    <t xml:space="preserve">https://vulcraft.com/catalogs/JoistGirder/Load_Tables_ASD_K-Series.pdf </t>
  </si>
  <si>
    <r>
      <rPr>
        <sz val="11"/>
        <color theme="1"/>
        <rFont val="Calibri"/>
        <family val="2"/>
      </rPr>
      <t>ft</t>
    </r>
    <r>
      <rPr>
        <vertAlign val="superscript"/>
        <sz val="11"/>
        <color theme="1"/>
        <rFont val="Calibri"/>
        <family val="2"/>
      </rPr>
      <t>2</t>
    </r>
  </si>
  <si>
    <t>18k6 for 50' span</t>
  </si>
  <si>
    <t>American National Standard  SJI 100 standard ASD load tables</t>
  </si>
  <si>
    <t xml:space="preserve">18k6 weighs 8.4 lbs/ft </t>
  </si>
  <si>
    <t>drawing</t>
  </si>
  <si>
    <t>20 joists if 4.5' spacing</t>
  </si>
  <si>
    <t>W18x97</t>
  </si>
  <si>
    <t xml:space="preserve">UFC 3-220-01 1809.4: </t>
  </si>
  <si>
    <t>The minimum depth of footings below the finished ground surface shall be 457 mm (18 inches).</t>
  </si>
  <si>
    <r>
      <rPr>
        <sz val="11"/>
        <color theme="1"/>
        <rFont val="Calibri"/>
        <family val="2"/>
      </rPr>
      <t>(lb/ft</t>
    </r>
    <r>
      <rPr>
        <vertAlign val="superscript"/>
        <sz val="11"/>
        <color theme="1"/>
        <rFont val="Calibri"/>
        <family val="2"/>
      </rPr>
      <t>3</t>
    </r>
    <r>
      <rPr>
        <sz val="11"/>
        <color theme="1"/>
        <rFont val="Calibri"/>
        <family val="2"/>
      </rPr>
      <t>)</t>
    </r>
  </si>
  <si>
    <t>tributary area = 30x50', load = 0.3*tributary area*# of floors</t>
  </si>
  <si>
    <t>armory</t>
  </si>
  <si>
    <t>AISC Steel construction manual Table 4-1</t>
  </si>
  <si>
    <t>select W12x87 for Lc = 29 and phiPn = 421</t>
  </si>
  <si>
    <t>roof deck</t>
  </si>
  <si>
    <t xml:space="preserve">https://help.oneclicklca.com/en/articles/275888-average-quantities-of-reinforcement-in-concrete </t>
  </si>
  <si>
    <t>reinforcement averages in footings ~5.25 lbs/ft3</t>
  </si>
  <si>
    <r>
      <rPr>
        <sz val="11"/>
        <color theme="1"/>
        <rFont val="Calibri"/>
        <family val="2"/>
      </rPr>
      <t>(lb/ft</t>
    </r>
    <r>
      <rPr>
        <vertAlign val="superscript"/>
        <sz val="11"/>
        <color theme="1"/>
        <rFont val="Calibri"/>
        <family val="2"/>
      </rPr>
      <t>2</t>
    </r>
    <r>
      <rPr>
        <sz val="11"/>
        <color theme="1"/>
        <rFont val="Calibri"/>
        <family val="2"/>
      </rPr>
      <t>)</t>
    </r>
  </si>
  <si>
    <t>UFGS Section 05 30 00 page 11, 2.1</t>
  </si>
  <si>
    <t>Minumum metal thickness should be 0.014" for form decks and .0295" for roof and composite decks. However, for corrosive exposures, consider 0.0358" minimum thickness.</t>
  </si>
  <si>
    <r>
      <rPr>
        <sz val="11"/>
        <color theme="1"/>
        <rFont val="Calibri"/>
        <family val="2"/>
      </rPr>
      <t>(lb/ft</t>
    </r>
    <r>
      <rPr>
        <vertAlign val="superscript"/>
        <sz val="11"/>
        <color theme="1"/>
        <rFont val="Calibri"/>
        <family val="2"/>
      </rPr>
      <t>3</t>
    </r>
    <r>
      <rPr>
        <sz val="11"/>
        <color theme="1"/>
        <rFont val="Calibri"/>
        <family val="2"/>
      </rPr>
      <t>)</t>
    </r>
  </si>
  <si>
    <t>https://www.riversidesheetmetal.net/sheet-metal/gauge-and-weight-chart/</t>
  </si>
  <si>
    <t>Weight of 20 gauge steel</t>
  </si>
  <si>
    <r>
      <rPr>
        <sz val="11"/>
        <color theme="1"/>
        <rFont val="Calibri"/>
        <family val="2"/>
      </rPr>
      <t>(lb/ft</t>
    </r>
    <r>
      <rPr>
        <vertAlign val="superscript"/>
        <sz val="11"/>
        <color theme="1"/>
        <rFont val="Calibri"/>
        <family val="2"/>
      </rPr>
      <t>3</t>
    </r>
    <r>
      <rPr>
        <sz val="11"/>
        <color theme="1"/>
        <rFont val="Calibri"/>
        <family val="2"/>
      </rPr>
      <t>)</t>
    </r>
  </si>
  <si>
    <t>https://blog.metaldeck.com/what-gauge-metal-deck-common-thicknesses</t>
  </si>
  <si>
    <t>on the West Coast you will typically find that for 1.5” Type B and 3” Type N, your options are: 22 Gauge, 20 Gauge, 18 Gauge and 16 Gauge. 1.5” Type B is a short to medium span panel and you will find that it is available in 22, 20, 18 &amp; 16 gauge. For 3” Type N, which is a deeper panel that can span longer distances, 22 Gauge is not a common gauge. The more common gauges for 3” Type N metal deck are 20, 18 and 16 gauge. Type N is used when a stronger panel is needed, which is why the heavier gauges are normally specified.</t>
  </si>
  <si>
    <t>EXTERIOR WALLS</t>
  </si>
  <si>
    <t>CONCRETE BLOCK</t>
  </si>
  <si>
    <t>CMU block</t>
  </si>
  <si>
    <t>CIP CONCRETE CAP</t>
  </si>
  <si>
    <t>concrete slab</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</si>
  <si>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</si>
  <si>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</si>
  <si>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assume 12" thick because other similar buildings in the same archetype specify 12" thick concrete arch</t>
  </si>
  <si>
    <t xml:space="preserve">https://www.bowmancc.com/articles/what-is-cmu-veneer </t>
  </si>
  <si>
    <t>CMU walls are made of 8” x 8” x 16” hollow concrete blocks laid with mortar.  They are almost always reinforced with rebar and the hollow portions are filled with concrete</t>
  </si>
  <si>
    <r>
      <rPr>
        <sz val="11"/>
        <color theme="1"/>
        <rFont val="Calibri"/>
        <family val="2"/>
      </rPr>
      <t>(lb/ft</t>
    </r>
    <r>
      <rPr>
        <vertAlign val="superscript"/>
        <sz val="11"/>
        <color theme="1"/>
        <rFont val="Calibri"/>
        <family val="2"/>
      </rPr>
      <t>3</t>
    </r>
    <r>
      <rPr>
        <sz val="11"/>
        <color theme="1"/>
        <rFont val="Calibri"/>
        <family val="2"/>
      </rPr>
      <t>)</t>
    </r>
  </si>
  <si>
    <t xml:space="preserve">https://www.concretebuildings.org/tiltup/faq.html#:~:text=The%20minimum%20thickness%20for%20commercial,to%202.5%20psf%20of%20reinforcing). </t>
  </si>
  <si>
    <t>1.3 to 2.5 psf of reinforcing for precast concrete walls... Assume same for CIP concrete walls</t>
  </si>
  <si>
    <t>CIP CONCRETE HEAD WALL</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</si>
  <si>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</si>
  <si>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</si>
  <si>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Assume same reinforcing as CIP concrete wall</t>
  </si>
  <si>
    <t>STEEL SIDING PANEL</t>
  </si>
  <si>
    <t>steel siding panel</t>
  </si>
  <si>
    <t>IBC 1403.6</t>
  </si>
  <si>
    <t>Exterior walls of concrete construction shall be designed and constructed in accordance with Chapter 19.</t>
  </si>
  <si>
    <r>
      <rPr>
        <sz val="11"/>
        <color theme="1"/>
        <rFont val="Calibri"/>
        <family val="2"/>
      </rPr>
      <t>(lb/ft</t>
    </r>
    <r>
      <rPr>
        <vertAlign val="superscript"/>
        <sz val="11"/>
        <color theme="1"/>
        <rFont val="Calibri"/>
        <family val="2"/>
      </rPr>
      <t>3</t>
    </r>
    <r>
      <rPr>
        <sz val="11"/>
        <color theme="1"/>
        <rFont val="Calibri"/>
        <family val="2"/>
      </rPr>
      <t>)</t>
    </r>
  </si>
  <si>
    <t>WBDG building envelope design guide</t>
  </si>
  <si>
    <t>CIP concrete walls derive their thermal performance characteristics primarily from the amount of isolation placed in the cavity or within the backup wall; most common moisture protection system is a barrier system incorporating an adequate joint seal</t>
  </si>
  <si>
    <t xml:space="preserve">https://www.greenbuildingadvisor.com/cad/detail/wall-section-metal-lap-siding-1-rigid-insulation </t>
  </si>
  <si>
    <t>assembly is rigid insulation then metal panel</t>
  </si>
  <si>
    <r>
      <rPr>
        <sz val="11"/>
        <color theme="1"/>
        <rFont val="Calibri"/>
        <family val="2"/>
      </rPr>
      <t>(lb/ft</t>
    </r>
    <r>
      <rPr>
        <vertAlign val="superscript"/>
        <sz val="11"/>
        <color theme="1"/>
        <rFont val="Calibri"/>
        <family val="2"/>
      </rPr>
      <t>2</t>
    </r>
    <r>
      <rPr>
        <sz val="11"/>
        <color theme="1"/>
        <rFont val="Calibri"/>
        <family val="2"/>
      </rPr>
      <t>)</t>
    </r>
  </si>
  <si>
    <t>water resistive barrier</t>
  </si>
  <si>
    <t>organic mat, asphalt coating</t>
  </si>
  <si>
    <t>ICC TABLE 722.2.1.1MINIMUM EQUIVALENT THICKNESS OF CAST-IN-PLACE OR PRECAST CONCRETE WALLS, LOAD-BEARING OR NONLOAD-BEARING</t>
  </si>
  <si>
    <t>Minimum slab thickness based on fier-resistance rating... 2 hrs = 5, 3 hrs = 6.2, 4 hrs = 7</t>
  </si>
  <si>
    <r>
      <rPr>
        <sz val="11"/>
        <color theme="1"/>
        <rFont val="Calibri"/>
        <family val="2"/>
      </rPr>
      <t>(lb/ft</t>
    </r>
    <r>
      <rPr>
        <vertAlign val="superscript"/>
        <sz val="11"/>
        <color theme="1"/>
        <rFont val="Calibri"/>
        <family val="2"/>
      </rPr>
      <t>2</t>
    </r>
    <r>
      <rPr>
        <sz val="11"/>
        <color theme="1"/>
        <rFont val="Calibri"/>
        <family val="2"/>
      </rPr>
      <t>)</t>
    </r>
  </si>
  <si>
    <t>IBC 1403.2:</t>
  </si>
  <si>
    <t>No fewer than one layer of water-resistive barrier material (no. 15 felt) shall be attached to the studs or sheathing, with flashing as described in section 1404.4</t>
  </si>
  <si>
    <t>CIP CONCRETE</t>
  </si>
  <si>
    <t>insulation</t>
  </si>
  <si>
    <t>plastic</t>
  </si>
  <si>
    <t>polyisocyanurate foam</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</si>
  <si>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</si>
  <si>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</si>
  <si>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NREL BCL 90.1-1999 Nonres B6 Ext Wall Metal Building</t>
  </si>
  <si>
    <t>Layer 1: Metal siding, 0.0015 m thick, 7688.86 kg/m3; Layer 2: Wall insulation, 0.0598725 m thick, 265 kg/m3; Layer 3: 1/2" glass mat gypsum board, 784.9 kg/m3</t>
  </si>
  <si>
    <t>sheathing</t>
  </si>
  <si>
    <t>gypsum board</t>
  </si>
  <si>
    <r>
      <rPr>
        <sz val="11"/>
        <color theme="1"/>
        <rFont val="Calibri"/>
        <family val="2"/>
      </rPr>
      <t>(lb/ft</t>
    </r>
    <r>
      <rPr>
        <vertAlign val="superscript"/>
        <sz val="11"/>
        <color theme="1"/>
        <rFont val="Calibri"/>
        <family val="2"/>
      </rPr>
      <t>3</t>
    </r>
    <r>
      <rPr>
        <sz val="11"/>
        <color theme="1"/>
        <rFont val="Calibri"/>
        <family val="2"/>
      </rPr>
      <t>)</t>
    </r>
  </si>
  <si>
    <t xml:space="preserve">https://therm-all.com/a-guide-to-metal-building-insulation/#:~:text=The%20most%20common%20type%20of,in%20exposed%20metal%20building%20applications. </t>
  </si>
  <si>
    <t>The most common type of continuous insulation for metal buildings consists of a rigid polyisocyanurate or polyurethane foam core</t>
  </si>
  <si>
    <r>
      <rPr>
        <sz val="11"/>
        <color theme="1"/>
        <rFont val="Calibri"/>
        <family val="2"/>
      </rPr>
      <t>(lb/ft</t>
    </r>
    <r>
      <rPr>
        <vertAlign val="superscript"/>
        <sz val="11"/>
        <color theme="1"/>
        <rFont val="Calibri"/>
        <family val="2"/>
      </rPr>
      <t>2</t>
    </r>
    <r>
      <rPr>
        <sz val="11"/>
        <color theme="1"/>
        <rFont val="Calibri"/>
        <family val="2"/>
      </rPr>
      <t>)</t>
    </r>
  </si>
  <si>
    <t>DOORS, EXTERIOR METAL DOORS</t>
  </si>
  <si>
    <t>STEEL DOORS</t>
  </si>
  <si>
    <t>Steel door</t>
  </si>
  <si>
    <t>BLAST RESISTANT DOORS</t>
  </si>
  <si>
    <t>blast resistant door (steel)</t>
  </si>
  <si>
    <t>lbs/door</t>
  </si>
  <si>
    <t>https://mannleeco.com/standard-door-size/</t>
  </si>
  <si>
    <t>standard door size for commercial buildings and residential houses is 36x80"</t>
  </si>
  <si>
    <t>https://www.metalbuildingdoors.com/steel-walk-doors.html#:~:text=Steel%20Entry%20Doors,assemble%20a%20knock%20down%20door.</t>
  </si>
  <si>
    <t>standard door size for commercial/industrial buildings 3'x7'</t>
  </si>
  <si>
    <t>Materials</t>
  </si>
  <si>
    <t xml:space="preserve">DOORS, EXTERIOR </t>
  </si>
  <si>
    <r>
      <rPr>
        <b/>
        <sz val="11"/>
        <color theme="1"/>
        <rFont val="Calibri"/>
        <family val="2"/>
      </rPr>
      <t>MIC (lbs/ft</t>
    </r>
    <r>
      <rPr>
        <b/>
        <vertAlign val="superscript"/>
        <sz val="11"/>
        <color theme="1"/>
        <rFont val="Calibri"/>
        <family val="2"/>
      </rPr>
      <t>2</t>
    </r>
    <r>
      <rPr>
        <b/>
        <sz val="11"/>
        <color theme="1"/>
        <rFont val="Calibri"/>
        <family val="2"/>
      </rPr>
      <t>)</t>
    </r>
  </si>
  <si>
    <t>OVERHEAD DOORS</t>
  </si>
  <si>
    <t>Overhead door</t>
  </si>
  <si>
    <r>
      <rPr>
        <sz val="11"/>
        <color theme="1"/>
        <rFont val="Calibri"/>
        <family val="2"/>
      </rPr>
      <t>(lb/ft</t>
    </r>
    <r>
      <rPr>
        <vertAlign val="superscript"/>
        <sz val="11"/>
        <color theme="1"/>
        <rFont val="Calibri"/>
        <family val="2"/>
      </rPr>
      <t>2</t>
    </r>
    <r>
      <rPr>
        <sz val="11"/>
        <color theme="1"/>
        <rFont val="Calibri"/>
        <family val="2"/>
      </rPr>
      <t>)</t>
    </r>
  </si>
  <si>
    <t>Materials Category</t>
  </si>
  <si>
    <t xml:space="preserve">https://thegannagency.com/semi-truck-trailer-dimensions/ </t>
  </si>
  <si>
    <r>
      <rPr>
        <b/>
        <sz val="11"/>
        <color theme="1"/>
        <rFont val="Calibri"/>
        <family val="2"/>
      </rPr>
      <t>MIC (lbs/ft</t>
    </r>
    <r>
      <rPr>
        <b/>
        <vertAlign val="superscript"/>
        <sz val="11"/>
        <color theme="1"/>
        <rFont val="Calibri"/>
        <family val="2"/>
      </rPr>
      <t>2</t>
    </r>
    <r>
      <rPr>
        <b/>
        <sz val="11"/>
        <color theme="1"/>
        <rFont val="Calibri"/>
        <family val="2"/>
      </rPr>
      <t>)</t>
    </r>
  </si>
  <si>
    <t>assume 8.5'x10' doors because that is standard size in US</t>
  </si>
  <si>
    <t xml:space="preserve">https://www.vortexdoors.com/blog/commercial-roll-up-door-sizes </t>
  </si>
  <si>
    <t>Loading doors are typ8ically 8-10 ft high and 8-8.5' wide (to accomodate standard cargo trucks)</t>
  </si>
  <si>
    <t>ROOF COVERING</t>
  </si>
  <si>
    <t>PREFORMED METAL ROOF</t>
  </si>
  <si>
    <t>preformed metal roof</t>
  </si>
  <si>
    <r>
      <rPr>
        <sz val="11"/>
        <color theme="1"/>
        <rFont val="Calibri"/>
        <family val="2"/>
      </rPr>
      <t>(lb/ft</t>
    </r>
    <r>
      <rPr>
        <vertAlign val="superscript"/>
        <sz val="11"/>
        <color theme="1"/>
        <rFont val="Calibri"/>
        <family val="2"/>
      </rPr>
      <t>2</t>
    </r>
    <r>
      <rPr>
        <sz val="11"/>
        <color theme="1"/>
        <rFont val="Calibri"/>
        <family val="2"/>
      </rPr>
      <t>)</t>
    </r>
  </si>
  <si>
    <t>UFC 3-110-03 5-2.7</t>
  </si>
  <si>
    <t>When aluminum substrates are used the minimum required thickness is .032 in.</t>
  </si>
  <si>
    <t>UFGS Section 07 41 13 Page 19, 2.1.1</t>
  </si>
  <si>
    <t>Roll-form aluminum roof panels to the  to the specified profile, with fy = [ 30][ 40][ 50][ 80] ksi, [.032][.040][.050] inch thickness and depth as indicated.  Do not use less than 18-gauge (1.27 mm) 
material in humid locations or project locations 
with Environmental Severity Classifications (ESC) of 
C3 thru C5. *Naval Base Ventura City is C5 ESC.</t>
  </si>
  <si>
    <t xml:space="preserve">https://armstrongmetalcrafts.com/reference/SheetMetalGaugeWeight.aspx </t>
  </si>
  <si>
    <t>weight from manufacturer specs</t>
  </si>
  <si>
    <t>#30 felt insulation</t>
  </si>
  <si>
    <r>
      <rPr>
        <sz val="11"/>
        <color theme="1"/>
        <rFont val="Calibri"/>
        <family val="2"/>
      </rPr>
      <t>(lb/ft</t>
    </r>
    <r>
      <rPr>
        <vertAlign val="superscript"/>
        <sz val="11"/>
        <color theme="1"/>
        <rFont val="Calibri"/>
        <family val="2"/>
      </rPr>
      <t>2</t>
    </r>
    <r>
      <rPr>
        <sz val="11"/>
        <color theme="1"/>
        <rFont val="Calibri"/>
        <family val="2"/>
      </rPr>
      <t>)</t>
    </r>
  </si>
  <si>
    <t>drawings</t>
  </si>
  <si>
    <t>specified #30 felt</t>
  </si>
  <si>
    <t xml:space="preserve">https://roofonline.com/weight-of-roofing-materials/ </t>
  </si>
  <si>
    <t>felt weight</t>
  </si>
  <si>
    <r>
      <rPr>
        <sz val="11"/>
        <color theme="1"/>
        <rFont val="Calibri"/>
        <family val="2"/>
      </rPr>
      <t>(lb/ft</t>
    </r>
    <r>
      <rPr>
        <vertAlign val="superscript"/>
        <sz val="11"/>
        <color theme="1"/>
        <rFont val="Calibri"/>
        <family val="2"/>
      </rPr>
      <t>2</t>
    </r>
    <r>
      <rPr>
        <sz val="11"/>
        <color theme="1"/>
        <rFont val="Calibri"/>
        <family val="2"/>
      </rPr>
      <t>)</t>
    </r>
  </si>
  <si>
    <t xml:space="preserve">https://www.hansenpolebuildings.com/2015/08/standing-seam-steel/#:~:text=Planning%20on%20using%20a%20standing,over%205%2F8%E2%80%9D%20plywood. </t>
  </si>
  <si>
    <t>use 5/8" thick plywood under standing seam metal roofs</t>
  </si>
  <si>
    <t xml:space="preserve">https://www.soundproofingcompany.com/soundproofing_101/building-materials-weights-guide </t>
  </si>
  <si>
    <t>plywood weigth chart</t>
  </si>
  <si>
    <r>
      <rPr>
        <sz val="11"/>
        <color theme="1"/>
        <rFont val="Calibri"/>
        <family val="2"/>
      </rPr>
      <t>(lb/ft</t>
    </r>
    <r>
      <rPr>
        <vertAlign val="superscript"/>
        <sz val="11"/>
        <color theme="1"/>
        <rFont val="Calibri"/>
        <family val="2"/>
      </rPr>
      <t>3</t>
    </r>
    <r>
      <rPr>
        <sz val="11"/>
        <color theme="1"/>
        <rFont val="Calibri"/>
        <family val="2"/>
      </rPr>
      <t>)</t>
    </r>
  </si>
  <si>
    <t>UFC 3 101 01 1404.3.5</t>
  </si>
  <si>
    <t>Design low-slop roof assemblies using rigid insulation without a vapor retarder whenver possible</t>
  </si>
  <si>
    <t>NREL BCL 90.1-2004 nonres 3C roof</t>
  </si>
  <si>
    <t>Insulation R-15ci -&gt; polysio thickness = 2.5"… choose is 1.5"</t>
  </si>
  <si>
    <t>UFC 3-110-03 2-4.2.1 Steel decks:</t>
  </si>
  <si>
    <t xml:space="preserve">Two layers of insulation are 
required.  Depending on wind resistance requirements, all layers of insulation may be 
mechanically fastened or the bottom layer may be mechanically fastened and the top 
layer adhered.  Wood fiberboard may not be in direct contact with steel decks. </t>
  </si>
  <si>
    <t>UFC 3-110-03 2-5.2.3</t>
  </si>
  <si>
    <t>Polyisocyanurate foam board is the most commonly used roof insulation.</t>
  </si>
  <si>
    <r>
      <rPr>
        <b/>
        <sz val="11"/>
        <color theme="1"/>
        <rFont val="Calibri"/>
        <family val="2"/>
      </rPr>
      <t>MIC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</si>
  <si>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</si>
  <si>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</si>
  <si>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</si>
  <si>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</si>
  <si>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GSF</t>
  </si>
  <si>
    <r>
      <rPr>
        <sz val="11"/>
        <color theme="1"/>
        <rFont val="Calibri"/>
        <family val="2"/>
      </rPr>
      <t>(lb/ft</t>
    </r>
    <r>
      <rPr>
        <vertAlign val="superscript"/>
        <sz val="11"/>
        <color theme="1"/>
        <rFont val="Calibri"/>
        <family val="2"/>
      </rPr>
      <t>3</t>
    </r>
    <r>
      <rPr>
        <sz val="11"/>
        <color theme="1"/>
        <rFont val="Calibri"/>
        <family val="2"/>
      </rPr>
      <t>)</t>
    </r>
  </si>
  <si>
    <t>average reinforcing in concrete</t>
  </si>
  <si>
    <r>
      <rPr>
        <sz val="11"/>
        <color theme="1"/>
        <rFont val="Calibri"/>
        <family val="2"/>
      </rPr>
      <t>(lb/ft</t>
    </r>
    <r>
      <rPr>
        <vertAlign val="superscript"/>
        <sz val="11"/>
        <color theme="1"/>
        <rFont val="Calibri"/>
        <family val="2"/>
      </rPr>
      <t>3</t>
    </r>
    <r>
      <rPr>
        <sz val="11"/>
        <color theme="1"/>
        <rFont val="Calibri"/>
        <family val="2"/>
      </rPr>
      <t>)</t>
    </r>
  </si>
  <si>
    <t>WBDG building types: armories</t>
  </si>
  <si>
    <t>Slabs on Grade: Minimum of 6 inches of concrete reinforced with welded wire fabric 6 x 6 / W10 x W10</t>
  </si>
  <si>
    <r>
      <rPr>
        <sz val="11"/>
        <color theme="1"/>
        <rFont val="Calibri"/>
        <family val="2"/>
      </rPr>
      <t>(lb/ft</t>
    </r>
    <r>
      <rPr>
        <vertAlign val="superscript"/>
        <sz val="11"/>
        <color theme="1"/>
        <rFont val="Calibri"/>
        <family val="2"/>
      </rPr>
      <t>3</t>
    </r>
    <r>
      <rPr>
        <sz val="11"/>
        <color theme="1"/>
        <rFont val="Calibri"/>
        <family val="2"/>
      </rPr>
      <t>)</t>
    </r>
  </si>
  <si>
    <t>STEEL DECK, BEAMS AND BAR JOIST</t>
  </si>
  <si>
    <r>
      <rPr>
        <sz val="11"/>
        <color theme="1"/>
        <rFont val="Calibri"/>
        <family val="2"/>
      </rPr>
      <t>(lb/ft</t>
    </r>
    <r>
      <rPr>
        <vertAlign val="superscript"/>
        <sz val="11"/>
        <color theme="1"/>
        <rFont val="Calibri"/>
        <family val="2"/>
      </rPr>
      <t>2</t>
    </r>
    <r>
      <rPr>
        <sz val="11"/>
        <color theme="1"/>
        <rFont val="Calibri"/>
        <family val="2"/>
      </rPr>
      <t>)</t>
    </r>
  </si>
  <si>
    <t xml:space="preserve">https://www.billraganroofing.com/blog/what-roof-decking </t>
  </si>
  <si>
    <t>use OSB for roof decks</t>
  </si>
  <si>
    <r>
      <rPr>
        <b/>
        <sz val="11"/>
        <color theme="1"/>
        <rFont val="Calibri"/>
        <family val="2"/>
      </rPr>
      <t>Mass per Functional Unit (lbs/ft</t>
    </r>
    <r>
      <rPr>
        <b/>
        <vertAlign val="superscript"/>
        <sz val="11"/>
        <color theme="1"/>
        <rFont val="Calibri"/>
        <family val="2"/>
      </rPr>
      <t>2</t>
    </r>
    <r>
      <rPr>
        <b/>
        <sz val="11"/>
        <color theme="1"/>
        <rFont val="Calibri"/>
        <family val="2"/>
      </rPr>
      <t>)</t>
    </r>
  </si>
  <si>
    <t>UFC 3-110-03  2-4.2.3 low-slope roofs</t>
  </si>
  <si>
    <t>wood-plant and strucutral wood-panel decks were used in the past on many  military facilities. Generally, this material may only be used on small buildings or in reroofing when the existing material is in fair or better condition. Use of this material on new buildings must be supported with strong arguments demonstrating that neither steel nor strucutral concrete decks fulfill the specific functional requirments.</t>
  </si>
  <si>
    <t xml:space="preserve">https://montanaroofingsolutions.com/blog/roof-sheathing-thickness/ </t>
  </si>
  <si>
    <r>
      <rPr>
        <sz val="11"/>
        <color theme="1"/>
        <rFont val="Calibri"/>
        <family val="2"/>
      </rPr>
      <t>(lb/ft</t>
    </r>
    <r>
      <rPr>
        <vertAlign val="superscript"/>
        <sz val="11"/>
        <color theme="1"/>
        <rFont val="Calibri"/>
        <family val="2"/>
      </rPr>
      <t>3</t>
    </r>
    <r>
      <rPr>
        <sz val="11"/>
        <color theme="1"/>
        <rFont val="Calibri"/>
        <family val="2"/>
      </rPr>
      <t>)</t>
    </r>
  </si>
  <si>
    <t>7/16" most common OSB roof sheathing thickness</t>
  </si>
  <si>
    <t>beams</t>
  </si>
  <si>
    <t>The edge thickness of plain concrete footings supporting walls o fother than light-frame construction shall not be less than 8”</t>
  </si>
  <si>
    <t>28G6N12k</t>
  </si>
  <si>
    <t>(lb/ft)</t>
  </si>
  <si>
    <t>building is 50 ft long and 170 ft wide</t>
  </si>
  <si>
    <t>VULCRAFT steel joist institute STANDARD WEIGHT TABLES FOR JOIST GIRDERS</t>
  </si>
  <si>
    <t>48G10N12k joist girders with 48" depth with 50' span are 46 lbs/linear ft</t>
  </si>
  <si>
    <r>
      <rPr>
        <sz val="11"/>
        <color theme="1"/>
        <rFont val="Calibri"/>
        <family val="2"/>
      </rPr>
      <t>(lb/ft</t>
    </r>
    <r>
      <rPr>
        <vertAlign val="superscript"/>
        <sz val="11"/>
        <color theme="1"/>
        <rFont val="Calibri"/>
        <family val="2"/>
      </rPr>
      <t>3</t>
    </r>
    <r>
      <rPr>
        <sz val="11"/>
        <color theme="1"/>
        <rFont val="Calibri"/>
        <family val="2"/>
      </rPr>
      <t>)</t>
    </r>
  </si>
  <si>
    <t xml:space="preserve">assume girders are spaced at 21.25' and span 50' </t>
  </si>
  <si>
    <t>footing reinforcement ~ 5.25 lbs/ft3</t>
  </si>
  <si>
    <t>joists</t>
  </si>
  <si>
    <t>18k6</t>
  </si>
  <si>
    <t>(lbs/ft)</t>
  </si>
  <si>
    <r>
      <rPr>
        <sz val="11"/>
        <color theme="1"/>
        <rFont val="Calibri"/>
        <family val="2"/>
      </rPr>
      <t>(lb/ft</t>
    </r>
    <r>
      <rPr>
        <vertAlign val="superscript"/>
        <sz val="11"/>
        <color theme="1"/>
        <rFont val="Calibri"/>
        <family val="2"/>
      </rPr>
      <t>3</t>
    </r>
    <r>
      <rPr>
        <sz val="11"/>
        <color theme="1"/>
        <rFont val="Calibri"/>
        <family val="2"/>
      </rPr>
      <t>)</t>
    </r>
  </si>
  <si>
    <t>open web steel joists used for industrial and commercial buildings with long spans</t>
  </si>
  <si>
    <t>engineering judgement, IBC Table 1809.7</t>
  </si>
  <si>
    <t>Prescriptive footings supporting walls of light-frame construction: 1 floors -&gt; 6" thick footing</t>
  </si>
  <si>
    <t>12k3 for 21' span; weighs 5.7 lb/ft</t>
  </si>
  <si>
    <r>
      <rPr>
        <b/>
        <sz val="11"/>
        <color theme="1"/>
        <rFont val="Calibri"/>
        <family val="2"/>
      </rPr>
      <t>Mass per Functional Unit (lbs/ft</t>
    </r>
    <r>
      <rPr>
        <b/>
        <vertAlign val="superscript"/>
        <sz val="11"/>
        <color theme="1"/>
        <rFont val="Calibri"/>
        <family val="2"/>
      </rPr>
      <t>2</t>
    </r>
    <r>
      <rPr>
        <b/>
        <sz val="11"/>
        <color theme="1"/>
        <rFont val="Calibri"/>
        <family val="2"/>
      </rPr>
      <t>)</t>
    </r>
  </si>
  <si>
    <t>medium duty slab specified</t>
  </si>
  <si>
    <t>9 joists if 5' spacing</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</si>
  <si>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</si>
  <si>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</si>
  <si>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</si>
  <si>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t>cold-formed galvanized steel</t>
  </si>
  <si>
    <t>CMU</t>
  </si>
  <si>
    <t>concrete masonry unit</t>
  </si>
  <si>
    <r>
      <rPr>
        <sz val="11"/>
        <color theme="1"/>
        <rFont val="Calibri"/>
        <family val="2"/>
      </rPr>
      <t>(lb/ft</t>
    </r>
    <r>
      <rPr>
        <vertAlign val="superscript"/>
        <sz val="11"/>
        <color theme="1"/>
        <rFont val="Calibri"/>
        <family val="2"/>
      </rPr>
      <t>2</t>
    </r>
    <r>
      <rPr>
        <sz val="11"/>
        <color theme="1"/>
        <rFont val="Calibri"/>
        <family val="2"/>
      </rPr>
      <t>)</t>
    </r>
  </si>
  <si>
    <t>IBC Table 1809.7:</t>
  </si>
  <si>
    <t>Prescriptive footings supporting walls of light-frame construction: 2 floors -&gt; 6" thick footing</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</si>
  <si>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</si>
  <si>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</si>
  <si>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average reinforcement in concrete members</t>
  </si>
  <si>
    <r>
      <rPr>
        <sz val="11"/>
        <color theme="1"/>
        <rFont val="Calibri"/>
        <family val="2"/>
      </rPr>
      <t>(lb/ft</t>
    </r>
    <r>
      <rPr>
        <vertAlign val="superscript"/>
        <sz val="11"/>
        <color theme="1"/>
        <rFont val="Calibri"/>
        <family val="2"/>
      </rPr>
      <t>3</t>
    </r>
    <r>
      <rPr>
        <sz val="11"/>
        <color theme="1"/>
        <rFont val="Calibri"/>
        <family val="2"/>
      </rPr>
      <t>)</t>
    </r>
  </si>
  <si>
    <t>7.25" most typical thickness of CIP concrete for commercial construction (with 1.3 to 2.5 psf of reinforcing); assume same reinforcing as CIP concrete wall</t>
  </si>
  <si>
    <r>
      <rPr>
        <sz val="11"/>
        <color theme="1"/>
        <rFont val="Calibri"/>
        <family val="2"/>
      </rPr>
      <t>(lb/ft</t>
    </r>
    <r>
      <rPr>
        <vertAlign val="superscript"/>
        <sz val="11"/>
        <color theme="1"/>
        <rFont val="Calibri"/>
        <family val="2"/>
      </rPr>
      <t>3</t>
    </r>
    <r>
      <rPr>
        <sz val="11"/>
        <color theme="1"/>
        <rFont val="Calibri"/>
        <family val="2"/>
      </rPr>
      <t>)</t>
    </r>
  </si>
  <si>
    <t>Reinforcement</t>
  </si>
  <si>
    <r>
      <rPr>
        <sz val="11"/>
        <color theme="1"/>
        <rFont val="Calibri"/>
        <family val="2"/>
      </rPr>
      <t>(lb/ft</t>
    </r>
    <r>
      <rPr>
        <vertAlign val="superscript"/>
        <sz val="11"/>
        <color theme="1"/>
        <rFont val="Calibri"/>
        <family val="2"/>
      </rPr>
      <t>2</t>
    </r>
    <r>
      <rPr>
        <sz val="11"/>
        <color theme="1"/>
        <rFont val="Calibri"/>
        <family val="2"/>
      </rPr>
      <t>)</t>
    </r>
  </si>
  <si>
    <t>purlins</t>
  </si>
  <si>
    <t>cold-formed structural steel</t>
  </si>
  <si>
    <t>4x2 purlins</t>
  </si>
  <si>
    <t>WBDG armories</t>
  </si>
  <si>
    <t>Special suport areas -&gt; arms vault/armory rooms -&gt; Minimum of 8 inches of concrete reinforced with a minimum of #4 at 9 inches on center in each direction. Reinforcement shall be in each face and staggered to form a grid approximately 4½ inch square. (DOD 5100.76-M also allows 8-inch filled concrete block reinforced with #4 or 8–inch interlocked brick for DOD facilities.)</t>
  </si>
  <si>
    <t>building is 56 ft long and 25 ft wide</t>
  </si>
  <si>
    <t>EXTERIOR WINDOWS</t>
  </si>
  <si>
    <t>STEEL WINDOWS</t>
  </si>
  <si>
    <t>Steel frame</t>
  </si>
  <si>
    <t>https://www.engineersedge.com/civil_engineering/purlin_roof_structure_9898.htm</t>
  </si>
  <si>
    <t>the spacing of purlins on roofs is usually 4-6 ft... Assume 5</t>
  </si>
  <si>
    <t>lb/window</t>
  </si>
  <si>
    <t>https://www.austrinasteels.com.au/blogs/articles/c-purlin-span-table?srsltid=AfmBOoo_WXd8yMuCNqUWYHGfnq_Nw76AbwhCxG1Jie9DwO5AF5YRu_Q3</t>
  </si>
  <si>
    <t xml:space="preserve">https://www.steelwindows.com/swi_pages/specs/specs_coldrolled.asp# </t>
  </si>
  <si>
    <t>4" purlin can span 12'</t>
  </si>
  <si>
    <t>windows from cold rolled steel are defined and categorized as commercial and industrial windows with a minimum combined weight of frame and ventilator of 2.75 lbs per lineal foot</t>
  </si>
  <si>
    <t>https://www.westernstatesmetalroofing.com/blog/metal-purlins</t>
  </si>
  <si>
    <t>4x2 c-purlin common shape &amp; size</t>
  </si>
  <si>
    <t>google earth and sketchandcalc</t>
  </si>
  <si>
    <t>windows measure 3.5x3' total... 6 inside = 1.75 SF per window</t>
  </si>
  <si>
    <t xml:space="preserve">https://www.westernstatesmetalroofing.com/blog/metal-purlins </t>
  </si>
  <si>
    <t>assume 14 gauge</t>
  </si>
  <si>
    <t>Windows (IGU)</t>
  </si>
  <si>
    <t>Glass</t>
  </si>
  <si>
    <t>Laminated glass</t>
  </si>
  <si>
    <t xml:space="preserve">https://www.mbci.com/products/cees-and-zees/?srsltid=AfmBOoppsz5Rp_DBlhE_10hxjN-5OQHeUvAm6IbUh2bNboYusIovBbHx </t>
  </si>
  <si>
    <r>
      <rPr>
        <sz val="11"/>
        <color theme="1"/>
        <rFont val="Calibri"/>
        <family val="2"/>
      </rPr>
      <t>(lb/ft</t>
    </r>
    <r>
      <rPr>
        <vertAlign val="superscript"/>
        <sz val="11"/>
        <color theme="1"/>
        <rFont val="Calibri"/>
        <family val="2"/>
      </rPr>
      <t>3</t>
    </r>
    <r>
      <rPr>
        <sz val="11"/>
        <color theme="1"/>
        <rFont val="Calibri"/>
        <family val="2"/>
      </rPr>
      <t>)</t>
    </r>
  </si>
  <si>
    <t>weight of 14 gauge 4x2 cee purlin = 2.10 lb/LF</t>
  </si>
  <si>
    <t>UFC 3-101-01 1404.13.2</t>
  </si>
  <si>
    <t>Fenestration must meet both code and UFC 4-010-01 requirements.</t>
  </si>
  <si>
    <t>hot-rolled structural steel</t>
  </si>
  <si>
    <t>W12x26</t>
  </si>
  <si>
    <t>UFC 3-101-01 1404.13.9</t>
  </si>
  <si>
    <t>Exterior windows must have insulated glazing system (outer lite low E with an air space and interior lite meeting the IBC requirements for wind and windborne debris protection, where applicable, and UFC requirements for Antiterrorism protection)</t>
  </si>
  <si>
    <t xml:space="preserve">http://trantor.sheridanc.on.ca/webct/arct4001/Lesson-plans/TASC_BeamsOWSJ.pdf </t>
  </si>
  <si>
    <t xml:space="preserve">The most economical span range for conventional steel floor and roof framing is from 25 to 40 ft </t>
  </si>
  <si>
    <t xml:space="preserve">https://syracuseglass.com/E-DOCS/general/EDOCS/Approximate%20Weight%20of%20Architectural%20Flat%20Glass.pdf  </t>
  </si>
  <si>
    <t>AISC Steel construction amual Tables 3-3 And 3-2</t>
  </si>
  <si>
    <t>window glass density = 158 lb/ft^3</t>
  </si>
  <si>
    <t>used required moment of inertia and Zx to choose W12x26 for beams</t>
  </si>
  <si>
    <t>UFC 4-010-01 3-11.1</t>
  </si>
  <si>
    <t>For glazing in exterior building elements such as storefronts, doors, windows, curtain walls, clerestories, and skylights provide no less than 1/4 in. (6 mm) nominal polycarbonate or laminated glass.  The 1/4 in. (6 mm) laminated glass consists of two nominal 1/8 in. (3 mm) glass panes bonded together with a minimum of a 0.030 in. (0.75 mm) interlayer of a material \1\ that has typically been used in blast resistant window applications.  For insulated glass units (IGU), use the polycarbonate or laminated glass for the innermost pane as a minimum</t>
  </si>
  <si>
    <t>6 joists at 8' spacing (not including exterior because resting on concrete walls)</t>
  </si>
  <si>
    <t xml:space="preserve">For polycarbonate, provide a glazing frame bite of no less than 1.5 times the polycarbonate thickness.  For laminated glass, the laminated pane shall be adhered to 
its supporting frame using structural silicone sealant or adhesive glazing tape.  The structural silicone sealant bite shall be equal to the larger of 3/8-in. (10-mm) or the thickness of the laminated glass to which it adheres.  The minimum thickness of the structural silicone bead shall be 3/16-in. (5-mm).  The glazing tape bite shall be equal to two times the thickness of the laminated glass to which it adheres.  The structural silicone bead or glazing tape shall be applied to both sides of single pane laminated glass but need only be applied to the inboard (protected) side of an IGU. /1/ </t>
  </si>
  <si>
    <t>BASEMENT WALLS</t>
  </si>
  <si>
    <t>CIP CONCRETE BASEMENT WALLS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</si>
  <si>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</si>
  <si>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</si>
  <si>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</si>
  <si>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 xml:space="preserve">https://www.westcoastglass.com/wp-content/uploads/2019/03/GIB-LD-08-0814-Weight-of-Laminated-Architectural-Glass.pdf  </t>
  </si>
  <si>
    <t>PVB interlayer film weight lb/ft2</t>
  </si>
  <si>
    <t>ACI-318-14 Table 11.3.1.1</t>
  </si>
  <si>
    <t>EXTERIOR DOORS</t>
  </si>
  <si>
    <t>Minimum wall thickness for exterior basement and foundation walls = 7.5"</t>
  </si>
  <si>
    <t>12" block, stem wall</t>
  </si>
  <si>
    <t>IBC R301.5</t>
  </si>
  <si>
    <t>Habitable spaces, hallways and portions of basements containing these spaces shall have a ceiling height of not less than 7'.</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</si>
  <si>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</si>
  <si>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</si>
  <si>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STEEL VAULT DOORS</t>
  </si>
  <si>
    <t>7.25" most typical thickness is typical for commercial construction (with 1.3 to 2.5 psf of reinforcing)</t>
  </si>
  <si>
    <t>steel vault door</t>
  </si>
  <si>
    <t>CIP CONCRETE BEAM AND SLAB</t>
  </si>
  <si>
    <t>(lbs/door)</t>
  </si>
  <si>
    <r>
      <rPr>
        <sz val="11"/>
        <color theme="1"/>
        <rFont val="Calibri"/>
        <family val="2"/>
      </rPr>
      <t>(lb/ft</t>
    </r>
    <r>
      <rPr>
        <vertAlign val="superscript"/>
        <sz val="11"/>
        <color theme="1"/>
        <rFont val="Calibri"/>
        <family val="2"/>
      </rPr>
      <t>3</t>
    </r>
    <r>
      <rPr>
        <sz val="11"/>
        <color theme="1"/>
        <rFont val="Calibri"/>
        <family val="2"/>
      </rPr>
      <t>)</t>
    </r>
  </si>
  <si>
    <t>WBDG armory bulding type</t>
  </si>
  <si>
    <t>vault doors shall be class 5, federal specification AA-D-600B</t>
  </si>
  <si>
    <t>assumed same thickness as slab</t>
  </si>
  <si>
    <r>
      <rPr>
        <sz val="11"/>
        <color theme="1"/>
        <rFont val="Calibri"/>
        <family val="2"/>
      </rPr>
      <t>(lb/ft</t>
    </r>
    <r>
      <rPr>
        <vertAlign val="superscript"/>
        <sz val="11"/>
        <color theme="1"/>
        <rFont val="Calibri"/>
        <family val="2"/>
      </rPr>
      <t>3</t>
    </r>
    <r>
      <rPr>
        <sz val="11"/>
        <color theme="1"/>
        <rFont val="Calibri"/>
        <family val="2"/>
      </rPr>
      <t>)</t>
    </r>
  </si>
  <si>
    <t>concrete beams</t>
  </si>
  <si>
    <t>https://static.spacecrafted.com/d497dbc3905e424d9d7c1e27052d0633/r/f4e0945859034891a363b027f1dd5c2d/1/Class5_Vault_Doors.pdf</t>
  </si>
  <si>
    <t>GSA approced Class 5 vault door dimensions = 54-1/8" x 85-5/8"</t>
  </si>
  <si>
    <r>
      <rPr>
        <sz val="11"/>
        <color theme="1"/>
        <rFont val="Calibri"/>
        <family val="2"/>
      </rPr>
      <t>(lb/ft</t>
    </r>
    <r>
      <rPr>
        <vertAlign val="superscript"/>
        <sz val="11"/>
        <color theme="1"/>
        <rFont val="Calibri"/>
        <family val="2"/>
      </rPr>
      <t>3</t>
    </r>
    <r>
      <rPr>
        <sz val="11"/>
        <color theme="1"/>
        <rFont val="Calibri"/>
        <family val="2"/>
      </rPr>
      <t>)</t>
    </r>
  </si>
  <si>
    <t>BUILT-UP ROOF</t>
  </si>
  <si>
    <t xml:space="preserve">https://structurepoint.org/pdfs/Two-Way-Concrete-Floor-Slab-with-Beams-Design-Detailing.htm#_Toc479145359 </t>
  </si>
  <si>
    <t>assume this layout</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</si>
  <si>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</si>
  <si>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</si>
  <si>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concrete columns</t>
  </si>
  <si>
    <t xml:space="preserve">Two layers of insulation are required.  Depending on wind resistance requirements, all layers of insulation may be 
mechanically fastened or the bottom layer may be mechanically fastened and the top 
layer adhered.  Wood fiberboard may not be in direct contact with steel decks. </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</si>
  <si>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</si>
  <si>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</si>
  <si>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Similar building w/in archetype specified 4x4 windows, so use those dimensions</t>
  </si>
  <si>
    <t>https://www.roofingcontractor.com/articles/99511-how-thick-is-too-thick-when-installing-polyiso-roof-insulation#:~:text=Manufacturers%20produce%20polyiso%20roof%20insulation%20boards%20in,(25.4%20mm)%20to%204.5%20inches%20(114.3%20mm).</t>
  </si>
  <si>
    <t xml:space="preserve">Regarding popularity, 2.6-inch (66 mm) thick polyiso roof insulation boards are often specified. Two layers of 2.6-inch thick polyiso insulation deliver a total of R-30, equating to the code-required minimum for above-deck roof insulation for commercial buildings in ASHRAE Climate Zones 4-6 in the United States. </t>
  </si>
  <si>
    <t>W18x40</t>
  </si>
  <si>
    <r>
      <rPr>
        <sz val="11"/>
        <color theme="1"/>
        <rFont val="Calibri"/>
        <family val="2"/>
      </rPr>
      <t>(lb/ft</t>
    </r>
    <r>
      <rPr>
        <vertAlign val="superscript"/>
        <sz val="11"/>
        <color theme="1"/>
        <rFont val="Calibri"/>
        <family val="2"/>
      </rPr>
      <t>3</t>
    </r>
    <r>
      <rPr>
        <sz val="11"/>
        <color theme="1"/>
        <rFont val="Calibri"/>
        <family val="2"/>
      </rPr>
      <t>)</t>
    </r>
  </si>
  <si>
    <t>cover board</t>
  </si>
  <si>
    <t>assume dimensions 40x65</t>
  </si>
  <si>
    <t>assume girders spaced 21.6' apart</t>
  </si>
  <si>
    <r>
      <rPr>
        <sz val="11"/>
        <color theme="1"/>
        <rFont val="Calibri"/>
        <family val="2"/>
      </rPr>
      <t>(lb/ft</t>
    </r>
    <r>
      <rPr>
        <vertAlign val="superscript"/>
        <sz val="11"/>
        <color theme="1"/>
        <rFont val="Calibri"/>
        <family val="2"/>
      </rPr>
      <t>2</t>
    </r>
    <r>
      <rPr>
        <sz val="11"/>
        <color theme="1"/>
        <rFont val="Calibri"/>
        <family val="2"/>
      </rPr>
      <t>)</t>
    </r>
  </si>
  <si>
    <t>assume girders span 20'</t>
  </si>
  <si>
    <t>UFC 3-110-03 2-6.1</t>
  </si>
  <si>
    <t>Coverboards installed directly below the roof membrane shall be used within all roof assembles except single-ply ballasted roof systems.</t>
  </si>
  <si>
    <t>office drawings</t>
  </si>
  <si>
    <t>assume same girder size W18x40</t>
  </si>
  <si>
    <t>8x2-1/2" c - purlins</t>
  </si>
  <si>
    <t>UFC 3-110-03 2-6.2.1 Types of Cover Boards:</t>
  </si>
  <si>
    <t>Glass mat silixon-modified gypsum boards</t>
  </si>
  <si>
    <t>https://www.jm.com/content/dam/jm/global/en/commercial-roofing/Data%20sheets/Cover%20Boards/RS-5594%20DensDeck.pdf</t>
  </si>
  <si>
    <t>8" purlin can span 22'</t>
  </si>
  <si>
    <t>assume coverboard is 1/2" thickness bc sizes are 1/4,1/2, 5/8</t>
  </si>
  <si>
    <t>https://wheelermetals.com/store/products/d/17438/8-inch-x-two-and-one-half-inch-Cee-Purlin</t>
  </si>
  <si>
    <t>8x2.5" c-purlin common shape &amp; size</t>
  </si>
  <si>
    <t>membrane</t>
  </si>
  <si>
    <t>asphalt</t>
  </si>
  <si>
    <t>asphalt BUR membrane</t>
  </si>
  <si>
    <r>
      <rPr>
        <sz val="11"/>
        <color theme="1"/>
        <rFont val="Calibri"/>
        <family val="2"/>
      </rPr>
      <t>(lb/ft</t>
    </r>
    <r>
      <rPr>
        <vertAlign val="superscript"/>
        <sz val="11"/>
        <color theme="1"/>
        <rFont val="Calibri"/>
        <family val="2"/>
      </rPr>
      <t>2</t>
    </r>
    <r>
      <rPr>
        <sz val="11"/>
        <color theme="1"/>
        <rFont val="Calibri"/>
        <family val="2"/>
      </rPr>
      <t>)</t>
    </r>
  </si>
  <si>
    <t>weight of 14 gauge 4x2 cee purlin = 3.27 lb/LF</t>
  </si>
  <si>
    <r>
      <rPr>
        <sz val="11"/>
        <color theme="1"/>
        <rFont val="Calibri"/>
        <family val="2"/>
      </rPr>
      <t>(lb/ft</t>
    </r>
    <r>
      <rPr>
        <vertAlign val="superscript"/>
        <sz val="11"/>
        <color theme="1"/>
        <rFont val="Calibri"/>
        <family val="2"/>
      </rPr>
      <t>2</t>
    </r>
    <r>
      <rPr>
        <sz val="11"/>
        <color theme="1"/>
        <rFont val="Calibri"/>
        <family val="2"/>
      </rPr>
      <t>)</t>
    </r>
  </si>
  <si>
    <t>UFC 3-110-03 2-8.1</t>
  </si>
  <si>
    <t>Asphalt BUR membranes: The most common type of BUR surfacing is aggregate embedded in a bituminous flood coat.  The thickness of 400 lb. (180 kg) gravel surfacing per square of roofing is 0.5 to 0.75 in. (12 to 18 mm).</t>
  </si>
  <si>
    <r>
      <rPr>
        <sz val="11"/>
        <color theme="1"/>
        <rFont val="Calibri"/>
        <family val="2"/>
      </rPr>
      <t>(lb/ft</t>
    </r>
    <r>
      <rPr>
        <vertAlign val="superscript"/>
        <sz val="11"/>
        <color theme="1"/>
        <rFont val="Calibri"/>
        <family val="2"/>
      </rPr>
      <t>2</t>
    </r>
    <r>
      <rPr>
        <sz val="11"/>
        <color theme="1"/>
        <rFont val="Calibri"/>
        <family val="2"/>
      </rPr>
      <t>)</t>
    </r>
  </si>
  <si>
    <t>https://eliteroofing.com/roofing-101-which-membrane-option-is-right-for-you/</t>
  </si>
  <si>
    <t>assume 4 ply BUR membrane</t>
  </si>
  <si>
    <t>top surfacing</t>
  </si>
  <si>
    <t>modified bitumen</t>
  </si>
  <si>
    <r>
      <rPr>
        <sz val="11"/>
        <color theme="1"/>
        <rFont val="Calibri"/>
        <family val="2"/>
      </rPr>
      <t>(lb/ft</t>
    </r>
    <r>
      <rPr>
        <vertAlign val="superscript"/>
        <sz val="11"/>
        <color theme="1"/>
        <rFont val="Calibri"/>
        <family val="2"/>
      </rPr>
      <t>3</t>
    </r>
    <r>
      <rPr>
        <sz val="11"/>
        <color theme="1"/>
        <rFont val="Calibri"/>
        <family val="2"/>
      </rPr>
      <t>)</t>
    </r>
  </si>
  <si>
    <t>concrete deck</t>
  </si>
  <si>
    <t>https://roofonline.com/weight-of-roofing-materials/</t>
  </si>
  <si>
    <t>weight of roofing materials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</si>
  <si>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</si>
  <si>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</si>
  <si>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modified bitumen with mineral cap</t>
  </si>
  <si>
    <r>
      <rPr>
        <sz val="11"/>
        <color theme="1"/>
        <rFont val="Calibri"/>
        <family val="2"/>
      </rPr>
      <t>(lb/ft</t>
    </r>
    <r>
      <rPr>
        <vertAlign val="superscript"/>
        <sz val="11"/>
        <color theme="1"/>
        <rFont val="Calibri"/>
        <family val="2"/>
      </rPr>
      <t>3</t>
    </r>
    <r>
      <rPr>
        <sz val="11"/>
        <color theme="1"/>
        <rFont val="Calibri"/>
        <family val="2"/>
      </rPr>
      <t>)</t>
    </r>
  </si>
  <si>
    <t>https://www.homedepot.com/p/GAF-Tri-Ply-APP-Granular-Cap-Sheet-39-625-in-x-32-25-ft-100-sq-ft-net-Membrane-Roll-for-Low-Slope-Roofing-in-White-3688920/100031809</t>
  </si>
  <si>
    <t>granulated cap sheet ~ 1 lb</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</si>
  <si>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</si>
  <si>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</si>
  <si>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</si>
  <si>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</si>
  <si>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</si>
  <si>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</si>
  <si>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</si>
  <si>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building is 18' tall, assume 18' columns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</si>
  <si>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</si>
  <si>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</si>
  <si>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</si>
  <si>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IBC 1402.2</t>
  </si>
  <si>
    <t>A weather resistant exterior wall envelope shall not be required over concrete or masonly walls designed in accordance with chapters 19 and 21, respectively.</t>
  </si>
  <si>
    <r>
      <rPr>
        <sz val="11"/>
        <color theme="1"/>
        <rFont val="Calibri"/>
        <family val="2"/>
      </rPr>
      <t>(lb/ft</t>
    </r>
    <r>
      <rPr>
        <vertAlign val="superscript"/>
        <sz val="11"/>
        <color theme="1"/>
        <rFont val="Calibri"/>
        <family val="2"/>
      </rPr>
      <t>3</t>
    </r>
    <r>
      <rPr>
        <sz val="11"/>
        <color theme="1"/>
        <rFont val="Calibri"/>
        <family val="2"/>
      </rPr>
      <t>)</t>
    </r>
  </si>
  <si>
    <t>IBC Table 1404.2 Minimum thickness of weather coverings</t>
  </si>
  <si>
    <t>glass-fiber reinforced concrete panels; minimum thickness = 0.375"</t>
  </si>
  <si>
    <t>LIGHT GAUGE STEEL FLOOR SYSTEM</t>
  </si>
  <si>
    <r>
      <rPr>
        <sz val="11"/>
        <color theme="1"/>
        <rFont val="Calibri"/>
        <family val="2"/>
      </rPr>
      <t>(lb/ft</t>
    </r>
    <r>
      <rPr>
        <vertAlign val="superscript"/>
        <sz val="11"/>
        <color theme="1"/>
        <rFont val="Calibri"/>
        <family val="2"/>
      </rPr>
      <t>2</t>
    </r>
    <r>
      <rPr>
        <sz val="11"/>
        <color theme="1"/>
        <rFont val="Calibri"/>
        <family val="2"/>
      </rPr>
      <t>)</t>
    </r>
  </si>
  <si>
    <t>W8x40</t>
  </si>
  <si>
    <t>concrete masonry units</t>
  </si>
  <si>
    <t>building is 180 ft long and 80 ft wide</t>
  </si>
  <si>
    <r>
      <rPr>
        <sz val="11"/>
        <color theme="1"/>
        <rFont val="Calibri"/>
        <family val="2"/>
      </rPr>
      <t>(lb/ft</t>
    </r>
    <r>
      <rPr>
        <vertAlign val="superscript"/>
        <sz val="11"/>
        <color theme="1"/>
        <rFont val="Calibri"/>
        <family val="2"/>
      </rPr>
      <t>3</t>
    </r>
    <r>
      <rPr>
        <sz val="11"/>
        <color theme="1"/>
        <rFont val="Calibri"/>
        <family val="2"/>
      </rPr>
      <t>)</t>
    </r>
  </si>
  <si>
    <t xml:space="preserve">https://constructionmentor.net/open-web-steel-joists/ </t>
  </si>
  <si>
    <t>select 28k10 for 50' span; girder spacing 6'-8"</t>
  </si>
  <si>
    <r>
      <rPr>
        <sz val="11"/>
        <color theme="1"/>
        <rFont val="Calibri"/>
        <family val="2"/>
      </rPr>
      <t>(lb/ft</t>
    </r>
    <r>
      <rPr>
        <vertAlign val="superscript"/>
        <sz val="11"/>
        <color theme="1"/>
        <rFont val="Calibri"/>
        <family val="2"/>
      </rPr>
      <t>2</t>
    </r>
    <r>
      <rPr>
        <sz val="11"/>
        <color theme="1"/>
        <rFont val="Calibri"/>
        <family val="2"/>
      </rPr>
      <t>)</t>
    </r>
  </si>
  <si>
    <t>with a 40' span (1 columns; 80' length),6 joist spaces @ 6.67' spacing, 40" girder depth, 12 kips ASD -&gt; joist girder weighs 36 lbs/linear ft</t>
  </si>
  <si>
    <t>light gauge joists</t>
  </si>
  <si>
    <t>600S300-68</t>
  </si>
  <si>
    <t>GLAZED DOORS</t>
  </si>
  <si>
    <t>Glazed storefront door</t>
  </si>
  <si>
    <t>https://www.canam.com/en/blog/why-are-open-web-steel-joists-the-most-advantageous-option-when-building-a-warehouse/#:~:text=It%20is%20no%20coincidence%20that,joists%20offer%20various%20other%20advantages.</t>
  </si>
  <si>
    <t>open web steel joists most common option for warehouses</t>
  </si>
  <si>
    <r>
      <rPr>
        <sz val="11"/>
        <color theme="1"/>
        <rFont val="Calibri"/>
        <family val="2"/>
      </rPr>
      <t>(lb/ft</t>
    </r>
    <r>
      <rPr>
        <vertAlign val="superscript"/>
        <sz val="11"/>
        <color theme="1"/>
        <rFont val="Calibri"/>
        <family val="2"/>
      </rPr>
      <t>2</t>
    </r>
    <r>
      <rPr>
        <sz val="11"/>
        <color theme="1"/>
        <rFont val="Calibri"/>
        <family val="2"/>
      </rPr>
      <t>)</t>
    </r>
  </si>
  <si>
    <t xml:space="preserve">https://www.metalbuildingdoors.com/steel-walk-doors.html#:~:text=Steel%20Entry%20Doors,assemble%20a%20knock%20down%20door. </t>
  </si>
  <si>
    <t>28k10 for 50' span</t>
  </si>
  <si>
    <t>DOORS, EXTERIOR</t>
  </si>
  <si>
    <t>WOOD DOOR</t>
  </si>
  <si>
    <t>Wood door</t>
  </si>
  <si>
    <t xml:space="preserve">28k10 weighs 11.8 lbs/ft </t>
  </si>
  <si>
    <t>44 joists if 6.67' spacing</t>
  </si>
  <si>
    <t>W8x31</t>
  </si>
  <si>
    <t>INFADS</t>
  </si>
  <si>
    <t>column height = 44/3</t>
  </si>
  <si>
    <t>Floor deck</t>
  </si>
  <si>
    <r>
      <rPr>
        <sz val="11"/>
        <color theme="1"/>
        <rFont val="Calibri"/>
        <family val="2"/>
      </rPr>
      <t>(lb/ft</t>
    </r>
    <r>
      <rPr>
        <vertAlign val="superscript"/>
        <sz val="11"/>
        <color theme="1"/>
        <rFont val="Calibri"/>
        <family val="2"/>
      </rPr>
      <t>2</t>
    </r>
    <r>
      <rPr>
        <sz val="11"/>
        <color theme="1"/>
        <rFont val="Calibri"/>
        <family val="2"/>
      </rPr>
      <t>)</t>
    </r>
  </si>
  <si>
    <t>concrete topping</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</si>
  <si>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</si>
  <si>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</si>
  <si>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https://www.aisc.org/architecture-center/engineering-basics/preliminary-beam-girder-and-column-size-tables/</t>
  </si>
  <si>
    <t>assume 3.23" concrete topping</t>
  </si>
  <si>
    <t xml:space="preserve">https://gealanwindows.com/blog/standard-window-sizes-in-the-us/ </t>
  </si>
  <si>
    <r>
      <rPr>
        <sz val="11"/>
        <color theme="1"/>
        <rFont val="Calibri"/>
        <family val="2"/>
      </rPr>
      <t>(lb/ft</t>
    </r>
    <r>
      <rPr>
        <vertAlign val="superscript"/>
        <sz val="11"/>
        <color theme="1"/>
        <rFont val="Calibri"/>
        <family val="2"/>
      </rPr>
      <t>3</t>
    </r>
    <r>
      <rPr>
        <sz val="11"/>
        <color theme="1"/>
        <rFont val="Calibri"/>
        <family val="2"/>
      </rPr>
      <t>)</t>
    </r>
  </si>
  <si>
    <t>casement window standard sizes in US... Looks most like 41x16" in google earth and from sketchandcalc measurements</t>
  </si>
  <si>
    <t>Joist girders</t>
  </si>
  <si>
    <r>
      <rPr>
        <sz val="11"/>
        <color theme="1"/>
        <rFont val="Calibri"/>
        <family val="2"/>
      </rPr>
      <t>(lb/ft</t>
    </r>
    <r>
      <rPr>
        <vertAlign val="superscript"/>
        <sz val="11"/>
        <color theme="1"/>
        <rFont val="Calibri"/>
        <family val="2"/>
      </rPr>
      <t>3</t>
    </r>
    <r>
      <rPr>
        <sz val="11"/>
        <color theme="1"/>
        <rFont val="Calibri"/>
        <family val="2"/>
      </rPr>
      <t>)</t>
    </r>
  </si>
  <si>
    <t>1.5" insulation</t>
  </si>
  <si>
    <r>
      <rPr>
        <sz val="11"/>
        <color theme="1"/>
        <rFont val="Calibri"/>
        <family val="2"/>
      </rPr>
      <t>(lb/ft</t>
    </r>
    <r>
      <rPr>
        <vertAlign val="superscript"/>
        <sz val="11"/>
        <color theme="1"/>
        <rFont val="Calibri"/>
        <family val="2"/>
      </rPr>
      <t>2</t>
    </r>
    <r>
      <rPr>
        <sz val="11"/>
        <color theme="1"/>
        <rFont val="Calibri"/>
        <family val="2"/>
      </rPr>
      <t>)</t>
    </r>
  </si>
  <si>
    <t>24k7</t>
  </si>
  <si>
    <r>
      <rPr>
        <sz val="11"/>
        <color theme="1"/>
        <rFont val="Calibri"/>
        <family val="2"/>
      </rPr>
      <t>(lb/ft</t>
    </r>
    <r>
      <rPr>
        <vertAlign val="superscript"/>
        <sz val="11"/>
        <color theme="1"/>
        <rFont val="Calibri"/>
        <family val="2"/>
      </rPr>
      <t>2</t>
    </r>
    <r>
      <rPr>
        <sz val="11"/>
        <color theme="1"/>
        <rFont val="Calibri"/>
        <family val="2"/>
      </rPr>
      <t>)</t>
    </r>
  </si>
  <si>
    <t>ROOFING SINGLE-PLY MEMBRANE</t>
  </si>
  <si>
    <t>single ply membrane</t>
  </si>
  <si>
    <t>Columns</t>
  </si>
  <si>
    <t>W14x370</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</si>
  <si>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</si>
  <si>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</si>
  <si>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weight of roofing materials (clay tiles, modified bitumen)</t>
  </si>
  <si>
    <t>https://stoneroof.com/what-you-need-to-know-about-tpo-roofing-commercial-single-ply-roof-projects/#:~:text=WHAT%20IS%20A%20TPO%20ROOFING,of%20TPO%20roofing%20listed%20below.</t>
  </si>
  <si>
    <t>TPO is one of most popular single ply roofing choices for southern California</t>
  </si>
  <si>
    <t>UFC 3-110-03 2-8.4</t>
  </si>
  <si>
    <t>Thermoplastic systems permitted in DON are PVC and TPO. Both systems have been used successfully for over 15 years. The minumum thickness of weltable thermoplastic membranes shall be 1.52mm for PVC and 72 mil (1.8mm) for TPO.</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</si>
  <si>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</si>
  <si>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</si>
  <si>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 xml:space="preserve">https://tilt-up.org/tilt-uptoday/wp-content/uploads/2021/04/S1-2500-2.jpg </t>
  </si>
  <si>
    <t>typical roof deck is 22 gauge for warehouses</t>
  </si>
  <si>
    <t xml:space="preserve">https://www.mkmetal.net/steel/roofing-siding#:~:text=Steel%20Corrugated%20Roofing%20&amp;%20Siding%20Panels,off%20to%20their%20desired%20length. </t>
  </si>
  <si>
    <t>roof decks and siding panels are cold-formed</t>
  </si>
  <si>
    <t>assume 1/2" thick cover board bc sizes are 1/4,1/2, 5/8</t>
  </si>
  <si>
    <r>
      <rPr>
        <sz val="11"/>
        <color theme="1"/>
        <rFont val="Calibri"/>
        <family val="2"/>
      </rPr>
      <t>(lb/ft</t>
    </r>
    <r>
      <rPr>
        <vertAlign val="superscript"/>
        <sz val="11"/>
        <color theme="1"/>
        <rFont val="Calibri"/>
        <family val="2"/>
      </rPr>
      <t>3</t>
    </r>
    <r>
      <rPr>
        <sz val="11"/>
        <color theme="1"/>
        <rFont val="Calibri"/>
        <family val="2"/>
      </rPr>
      <t>)</t>
    </r>
  </si>
  <si>
    <t>METAL STRUCTURAL FRAME ROOF CONSTRUCTION</t>
  </si>
  <si>
    <t>steel cantilever masts</t>
  </si>
  <si>
    <r>
      <rPr>
        <sz val="11"/>
        <color theme="1"/>
        <rFont val="Calibri"/>
        <family val="2"/>
      </rPr>
      <t>(lb/ft</t>
    </r>
    <r>
      <rPr>
        <vertAlign val="superscript"/>
        <sz val="11"/>
        <color theme="1"/>
        <rFont val="Calibri"/>
        <family val="2"/>
      </rPr>
      <t>3</t>
    </r>
    <r>
      <rPr>
        <sz val="11"/>
        <color theme="1"/>
        <rFont val="Calibri"/>
        <family val="2"/>
      </rPr>
      <t>)</t>
    </r>
  </si>
  <si>
    <t>24x24x1/2</t>
  </si>
  <si>
    <t xml:space="preserve">https://www.extraspace.com/blog/self-storage/average-car-dimensions/ </t>
  </si>
  <si>
    <t>average car width is 5.8 ft... Used to scale sketchandcalc image with width of steel member</t>
  </si>
  <si>
    <r>
      <rPr>
        <b/>
        <sz val="11"/>
        <color theme="1"/>
        <rFont val="Calibri"/>
        <family val="2"/>
      </rPr>
      <t>MIC (lbs/ft</t>
    </r>
    <r>
      <rPr>
        <b/>
        <vertAlign val="superscript"/>
        <sz val="11"/>
        <color theme="1"/>
        <rFont val="Calibri"/>
        <family val="2"/>
      </rPr>
      <t>2</t>
    </r>
    <r>
      <rPr>
        <b/>
        <sz val="11"/>
        <color theme="1"/>
        <rFont val="Calibri"/>
        <family val="2"/>
      </rPr>
      <t>)</t>
    </r>
  </si>
  <si>
    <t>sketchandcalc</t>
  </si>
  <si>
    <t>steel member is 2' wide</t>
  </si>
  <si>
    <t>google earth</t>
  </si>
  <si>
    <t>appears to be a square hollow section (SHS)</t>
  </si>
  <si>
    <t xml:space="preserve">https://www.engineeringtoolbox.com/square-hollow-structural-sections-hss-d_1478.html </t>
  </si>
  <si>
    <t>assume 24x24x1/2" section; weight = 156.28 lbs/ft</t>
  </si>
  <si>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</si>
  <si>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</si>
  <si>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Materials category</t>
  </si>
  <si>
    <r>
      <rPr>
        <b/>
        <sz val="11"/>
        <color theme="1"/>
        <rFont val="Calibri"/>
        <family val="2"/>
      </rPr>
      <t>MIC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</si>
  <si>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</si>
  <si>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</si>
  <si>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</si>
  <si>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</si>
  <si>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METAL SIDING PANEL TRANSITE</t>
  </si>
  <si>
    <t>transite siding panel</t>
  </si>
  <si>
    <r>
      <rPr>
        <sz val="11"/>
        <color theme="1"/>
        <rFont val="Calibri"/>
        <family val="2"/>
      </rPr>
      <t>(lb/ft</t>
    </r>
    <r>
      <rPr>
        <vertAlign val="superscript"/>
        <sz val="11"/>
        <color theme="1"/>
        <rFont val="Calibri"/>
        <family val="2"/>
      </rPr>
      <t>2</t>
    </r>
    <r>
      <rPr>
        <sz val="11"/>
        <color theme="1"/>
        <rFont val="Calibri"/>
        <family val="2"/>
      </rPr>
      <t>)</t>
    </r>
  </si>
  <si>
    <t>https://www.flickr.com/photos/asbestos_pix/7760653306/in/photostream/</t>
  </si>
  <si>
    <t>Johns-Manville spec sheet states the transite siding sheets are approximately 4.1 lbs/ft2</t>
  </si>
  <si>
    <r>
      <rPr>
        <sz val="11"/>
        <color theme="1"/>
        <rFont val="Calibri"/>
        <family val="2"/>
      </rPr>
      <t>(lb/ft</t>
    </r>
    <r>
      <rPr>
        <vertAlign val="superscript"/>
        <sz val="11"/>
        <color theme="1"/>
        <rFont val="Calibri"/>
        <family val="2"/>
      </rPr>
      <t>3</t>
    </r>
    <r>
      <rPr>
        <sz val="11"/>
        <color theme="1"/>
        <rFont val="Calibri"/>
        <family val="2"/>
      </rPr>
      <t>)</t>
    </r>
  </si>
  <si>
    <t>15 felt moisture protection barrier</t>
  </si>
  <si>
    <t>#15 FELT</t>
  </si>
  <si>
    <r>
      <rPr>
        <sz val="11"/>
        <color theme="1"/>
        <rFont val="Calibri"/>
        <family val="2"/>
      </rPr>
      <t>(lb/ft</t>
    </r>
    <r>
      <rPr>
        <vertAlign val="superscript"/>
        <sz val="11"/>
        <color theme="1"/>
        <rFont val="Calibri"/>
        <family val="2"/>
      </rPr>
      <t>2</t>
    </r>
    <r>
      <rPr>
        <sz val="11"/>
        <color theme="1"/>
        <rFont val="Calibri"/>
        <family val="2"/>
      </rPr>
      <t>)</t>
    </r>
  </si>
  <si>
    <t>IBC 1403.2</t>
  </si>
  <si>
    <r>
      <rPr>
        <sz val="11"/>
        <color theme="1"/>
        <rFont val="Calibri"/>
        <family val="2"/>
      </rPr>
      <t>(lb/ft</t>
    </r>
    <r>
      <rPr>
        <vertAlign val="superscript"/>
        <sz val="11"/>
        <color theme="1"/>
        <rFont val="Calibri"/>
        <family val="2"/>
      </rPr>
      <t>3</t>
    </r>
    <r>
      <rPr>
        <sz val="11"/>
        <color theme="1"/>
        <rFont val="Calibri"/>
        <family val="2"/>
      </rPr>
      <t>)</t>
    </r>
  </si>
  <si>
    <t>OVERHEAD ROLL-UP DOORS</t>
  </si>
  <si>
    <t>Overhead roll-up doors</t>
  </si>
  <si>
    <r>
      <rPr>
        <sz val="11"/>
        <color theme="1"/>
        <rFont val="Calibri"/>
        <family val="2"/>
      </rPr>
      <t>(lb/ft</t>
    </r>
    <r>
      <rPr>
        <vertAlign val="superscript"/>
        <sz val="11"/>
        <color theme="1"/>
        <rFont val="Calibri"/>
        <family val="2"/>
      </rPr>
      <t>2</t>
    </r>
    <r>
      <rPr>
        <sz val="11"/>
        <color theme="1"/>
        <rFont val="Calibri"/>
        <family val="2"/>
      </rPr>
      <t>)</t>
    </r>
  </si>
  <si>
    <t>google earth; sketchandcalc</t>
  </si>
  <si>
    <t>doors are 100SF - measured on sketchandcalc</t>
  </si>
  <si>
    <t>Glazed door w/ metal</t>
  </si>
  <si>
    <r>
      <rPr>
        <sz val="11"/>
        <color theme="1"/>
        <rFont val="Calibri"/>
        <family val="2"/>
      </rPr>
      <t>(lb/ft</t>
    </r>
    <r>
      <rPr>
        <vertAlign val="superscript"/>
        <sz val="11"/>
        <color theme="1"/>
        <rFont val="Calibri"/>
        <family val="2"/>
      </rPr>
      <t>2</t>
    </r>
    <r>
      <rPr>
        <sz val="11"/>
        <color theme="1"/>
        <rFont val="Calibri"/>
        <family val="2"/>
      </rPr>
      <t>)</t>
    </r>
  </si>
  <si>
    <t>HANGAR DOOR</t>
  </si>
  <si>
    <t>insulated, hot-rolled sheet steel hangar doors</t>
  </si>
  <si>
    <t>UFC 4-211-01 AIRCRAFT MAINTENANCE HANGARS 3-10.2 Horizontal Sliding Steel Hangar Doors</t>
  </si>
  <si>
    <t>Hangar doors are to be a series of insulated, horizontal sliding leaves with protected, preformed metal or sheet-steel siding. Hangar doors are to be of hot-rolled steel construction</t>
  </si>
  <si>
    <t>assume same size as aluminum windows (3x4) and seems to be close to average of other steel windows in archetype</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</si>
  <si>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</si>
  <si>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</si>
  <si>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ALUMINUM WINDOWS</t>
  </si>
  <si>
    <t>Aluminum frame</t>
  </si>
  <si>
    <r>
      <rPr>
        <sz val="11"/>
        <color theme="1"/>
        <rFont val="Calibri"/>
        <family val="2"/>
      </rPr>
      <t>lb/ft</t>
    </r>
    <r>
      <rPr>
        <vertAlign val="superscript"/>
        <sz val="11"/>
        <color theme="1"/>
        <rFont val="Calibri"/>
        <family val="2"/>
      </rPr>
      <t>2</t>
    </r>
  </si>
  <si>
    <t>google earth &amp; sketchandcalc</t>
  </si>
  <si>
    <t>windows are 4x3</t>
  </si>
  <si>
    <t xml:space="preserve">https://www.starlinewindows.com/files/file/5c6de10c550b8/Aluminum-Glass-and-IGU-Design-Guidelines.pdf  </t>
  </si>
  <si>
    <t>to calculate weight, add the glass weight based on your IGU glass thickness + 1 lb/ft2 for the window framing</t>
  </si>
  <si>
    <t>UFC 3-101-01 1404.13.3</t>
  </si>
  <si>
    <t xml:space="preserve">Aluminum Windows [Addition]: Aluminum windows must be heavy-duty commercial quality systems; conforming to AAMA/WDMA/CSA 101.  For window reinforcing purposes, concealed 316L stainless steel or aluminum reinforcing inserts are required.  Internal fasteners must be 316L stainless steel.  Aluminum windows must have anodized aluminum finish and color to meet the requirements in the applicable installation exterior architectural guidelines. </t>
  </si>
  <si>
    <t>FC 1-300-09N 6-7.1:</t>
  </si>
  <si>
    <t>Blast resistant window systems</t>
  </si>
  <si>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</si>
  <si>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</si>
  <si>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t>FAMILY HOUSING</t>
  </si>
  <si>
    <r>
      <rPr>
        <sz val="11"/>
        <color theme="1"/>
        <rFont val="Calibri"/>
        <family val="2"/>
      </rPr>
      <t>(lb/ft</t>
    </r>
    <r>
      <rPr>
        <vertAlign val="superscript"/>
        <sz val="11"/>
        <color theme="1"/>
        <rFont val="Calibri"/>
        <family val="2"/>
      </rPr>
      <t>3</t>
    </r>
    <r>
      <rPr>
        <sz val="11"/>
        <color theme="1"/>
        <rFont val="Calibri"/>
        <family val="2"/>
      </rPr>
      <t>)</t>
    </r>
  </si>
  <si>
    <t>PVB Interlayer film</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</si>
  <si>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</si>
  <si>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</si>
  <si>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WOOD DECK AND RAFTERS</t>
  </si>
  <si>
    <t>wood (OSB)</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</si>
  <si>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</si>
  <si>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</si>
  <si>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</si>
  <si>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t>https://roofobservations.com/weight-of-plywood-and-osb/</t>
  </si>
  <si>
    <t>OSB weight calculator</t>
  </si>
  <si>
    <t>https://alsyedconstruction.com/rafters-in-construction-in-usa/#:~:text=Rafter%20Spacing%20and%20Load%20Considerations%20*%2016,snow%20zones%20or%20with%20heavy%20roofing%20systems.</t>
  </si>
  <si>
    <t>16" spacing is standard in most residential applications</t>
  </si>
  <si>
    <t>rafters</t>
  </si>
  <si>
    <t>2x6, 2x8</t>
  </si>
  <si>
    <t>10, 14, 16.5</t>
  </si>
  <si>
    <t>1.83, 2.42</t>
  </si>
  <si>
    <t>lb/ft</t>
  </si>
  <si>
    <r>
      <rPr>
        <sz val="11"/>
        <color theme="1"/>
        <rFont val="Calibri"/>
        <family val="2"/>
      </rPr>
      <t>(lb/ft</t>
    </r>
    <r>
      <rPr>
        <vertAlign val="superscript"/>
        <sz val="11"/>
        <color theme="1"/>
        <rFont val="Calibri"/>
        <family val="2"/>
      </rPr>
      <t>2</t>
    </r>
    <r>
      <rPr>
        <sz val="11"/>
        <color theme="1"/>
        <rFont val="Calibri"/>
        <family val="2"/>
      </rPr>
      <t>)</t>
    </r>
  </si>
  <si>
    <t>AWC STJR wood joist and rafters span options calculator (https://awc.org/calculators/span-options-calculator-for-wood-joists-and-rafters/)</t>
  </si>
  <si>
    <t>for DFL, No.1, 14', 16.5', 10' span; 16" o.c. Spacing, and standard live load, dead load, and deflection = (24) 2x8 DLF No.2, (60) 2x8 DFL No.1, (47) 2x6 DFL No. 2</t>
  </si>
  <si>
    <t>https://roofobservations.com/2x10-lumber-weight/#2x10-lumber-weight-calculator</t>
  </si>
  <si>
    <t>2x10 douglas fir, 21' weight per rafter</t>
  </si>
  <si>
    <r>
      <rPr>
        <sz val="11"/>
        <color theme="1"/>
        <rFont val="Calibri"/>
        <family val="2"/>
      </rPr>
      <t>(lb/ft</t>
    </r>
    <r>
      <rPr>
        <vertAlign val="superscript"/>
        <sz val="11"/>
        <color theme="1"/>
        <rFont val="Calibri"/>
        <family val="2"/>
      </rPr>
      <t>3</t>
    </r>
    <r>
      <rPr>
        <sz val="11"/>
        <color theme="1"/>
        <rFont val="Calibri"/>
        <family val="2"/>
      </rPr>
      <t>)</t>
    </r>
  </si>
  <si>
    <t>ceiling joists</t>
  </si>
  <si>
    <t>2x8, 2X10</t>
  </si>
  <si>
    <t>20, 33, 28</t>
  </si>
  <si>
    <r>
      <rPr>
        <sz val="11"/>
        <color theme="1"/>
        <rFont val="Calibri"/>
        <family val="2"/>
      </rPr>
      <t>ft</t>
    </r>
    <r>
      <rPr>
        <vertAlign val="superscript"/>
        <sz val="11"/>
        <color theme="1"/>
        <rFont val="Calibri"/>
        <family val="2"/>
      </rPr>
      <t>2</t>
    </r>
  </si>
  <si>
    <t>ceiling joist w/ 15 ft span and 16" spacing -&gt; 2x8s</t>
  </si>
  <si>
    <t>stick framing</t>
  </si>
  <si>
    <t>2x6</t>
  </si>
  <si>
    <r>
      <rPr>
        <sz val="11"/>
        <color theme="1"/>
        <rFont val="Calibri"/>
        <family val="2"/>
      </rPr>
      <t>(lb/ft</t>
    </r>
    <r>
      <rPr>
        <vertAlign val="superscript"/>
        <sz val="11"/>
        <color theme="1"/>
        <rFont val="Calibri"/>
        <family val="2"/>
      </rPr>
      <t>3</t>
    </r>
    <r>
      <rPr>
        <sz val="11"/>
        <color theme="1"/>
        <rFont val="Calibri"/>
        <family val="2"/>
      </rPr>
      <t>)</t>
    </r>
  </si>
  <si>
    <t xml:space="preserve">https://www.hansenpolebuildings.com/2020/08/stick-framing/ </t>
  </si>
  <si>
    <t>stick framing usually 2x4 or 2x6s -&gt; assume 2x6 for exterior walls</t>
  </si>
  <si>
    <t xml:space="preserve"> STUCCO WALLS</t>
  </si>
  <si>
    <t>STUCCO WALL</t>
  </si>
  <si>
    <t>stucco</t>
  </si>
  <si>
    <r>
      <rPr>
        <sz val="11"/>
        <color theme="1"/>
        <rFont val="Calibri"/>
        <family val="2"/>
      </rPr>
      <t>(lb/ft</t>
    </r>
    <r>
      <rPr>
        <vertAlign val="superscript"/>
        <sz val="11"/>
        <color theme="1"/>
        <rFont val="Calibri"/>
        <family val="2"/>
      </rPr>
      <t>2</t>
    </r>
    <r>
      <rPr>
        <sz val="11"/>
        <color theme="1"/>
        <rFont val="Calibri"/>
        <family val="2"/>
      </rPr>
      <t>)</t>
    </r>
  </si>
  <si>
    <t>Prescriptive footings supporting walls of light-frame construction: 3 floors -&gt; 8" thick footing</t>
  </si>
  <si>
    <t>PREFORMED METAL</t>
  </si>
  <si>
    <t>UFGS SECTION 09 24 23 3.8, page 12</t>
  </si>
  <si>
    <t xml:space="preserve"> Stucco must be applied in three coats to a thickness of not less than 1 inch as measured from the back plane of metal reinforcement</t>
  </si>
  <si>
    <t>chrome-extension://efaidnbmnnnibpcajpcglclefindmkaj/https://www.tccmaterials.com/wp-content/uploads/2020/06/TechNote-PortlandCementPlaster.pdf</t>
  </si>
  <si>
    <r>
      <rPr>
        <sz val="11"/>
        <color theme="1"/>
        <rFont val="Calibri"/>
        <family val="2"/>
      </rPr>
      <t>(lb/ft</t>
    </r>
    <r>
      <rPr>
        <vertAlign val="superscript"/>
        <sz val="11"/>
        <color theme="1"/>
        <rFont val="Calibri"/>
        <family val="2"/>
      </rPr>
      <t>2</t>
    </r>
    <r>
      <rPr>
        <sz val="11"/>
        <color theme="1"/>
        <rFont val="Calibri"/>
        <family val="2"/>
      </rPr>
      <t>)</t>
    </r>
  </si>
  <si>
    <t xml:space="preserve">THREE-COAT STUCCO is the traditional installation method, this system begins with a base or “scratch” coat of Portland  cement-based mortar applied at between ⅜-½ in. thickness over expanded metal lath or galvanized stucco netting that has been secured to the exterior sheathing with a moisture protection barrier between the lath and sheathing. Next, a “brown” coat of mortar of approximately ⅜ in. is applied over the “scratch” coat. These two base coats are hand-applied or machine sprayed (pump grade). The third coat, the finish coat, is often pigmented for color and applied by smooth trowel, hand-textured, floated to a sand finish, or sprayed. The three-coat stucco system total thickness is approximately ⅞ in., and weighs 10-12 lb. per sq. ft.  </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</si>
  <si>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</si>
  <si>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</si>
  <si>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https://armstrongmetalcrafts.com/Reference/SheetMetalGaugeWeight.aspx</t>
  </si>
  <si>
    <t>18-gauge aluminum weight</t>
  </si>
  <si>
    <r>
      <rPr>
        <sz val="11"/>
        <color theme="1"/>
        <rFont val="Calibri"/>
        <family val="2"/>
      </rPr>
      <t>(lb/ft</t>
    </r>
    <r>
      <rPr>
        <vertAlign val="superscript"/>
        <sz val="11"/>
        <color theme="1"/>
        <rFont val="Calibri"/>
        <family val="2"/>
      </rPr>
      <t>2</t>
    </r>
    <r>
      <rPr>
        <sz val="11"/>
        <color theme="1"/>
        <rFont val="Calibri"/>
        <family val="2"/>
      </rPr>
      <t>)</t>
    </r>
  </si>
  <si>
    <t>sheathing board</t>
  </si>
  <si>
    <r>
      <rPr>
        <sz val="11"/>
        <color theme="1"/>
        <rFont val="Calibri"/>
        <family val="2"/>
      </rPr>
      <t>(lb/ft</t>
    </r>
    <r>
      <rPr>
        <vertAlign val="superscript"/>
        <sz val="11"/>
        <color theme="1"/>
        <rFont val="Calibri"/>
        <family val="2"/>
      </rPr>
      <t>2</t>
    </r>
    <r>
      <rPr>
        <sz val="11"/>
        <color theme="1"/>
        <rFont val="Calibri"/>
        <family val="2"/>
      </rPr>
      <t>)</t>
    </r>
  </si>
  <si>
    <t>office building drawing</t>
  </si>
  <si>
    <t>#30 felt specified in drawing for other building, assume same</t>
  </si>
  <si>
    <r>
      <rPr>
        <sz val="11"/>
        <color theme="1"/>
        <rFont val="Calibri"/>
        <family val="2"/>
      </rPr>
      <t>(lb/ft</t>
    </r>
    <r>
      <rPr>
        <vertAlign val="superscript"/>
        <sz val="11"/>
        <color theme="1"/>
        <rFont val="Calibri"/>
        <family val="2"/>
      </rPr>
      <t>3</t>
    </r>
    <r>
      <rPr>
        <sz val="11"/>
        <color theme="1"/>
        <rFont val="Calibri"/>
        <family val="2"/>
      </rPr>
      <t>)</t>
    </r>
  </si>
  <si>
    <t>https://www.buildgp.com/product/densglass-sheathing</t>
  </si>
  <si>
    <t>manufacturer spec for weight</t>
  </si>
  <si>
    <r>
      <rPr>
        <sz val="11"/>
        <color theme="1"/>
        <rFont val="Calibri"/>
        <family val="2"/>
      </rPr>
      <t>(lb/ft</t>
    </r>
    <r>
      <rPr>
        <vertAlign val="superscript"/>
        <sz val="11"/>
        <color theme="1"/>
        <rFont val="Calibri"/>
        <family val="2"/>
      </rPr>
      <t>2</t>
    </r>
    <r>
      <rPr>
        <sz val="11"/>
        <color theme="1"/>
        <rFont val="Calibri"/>
        <family val="2"/>
      </rPr>
      <t>)</t>
    </r>
  </si>
  <si>
    <t>NREL BCL  90.1-2004 Nonres 3C Ext Wall Mass</t>
  </si>
  <si>
    <t>1/2" gypsum</t>
  </si>
  <si>
    <t>https://www.hansenpolebuildings.com/2015/08/standing-seam-steel/#:~:text=Planning%20on%20using%20a%20standing,over%205%2F8%E2%80%9D%20plywood.</t>
  </si>
  <si>
    <r>
      <rPr>
        <sz val="11"/>
        <color theme="1"/>
        <rFont val="Calibri"/>
        <family val="2"/>
      </rPr>
      <t>(lb/ft</t>
    </r>
    <r>
      <rPr>
        <vertAlign val="superscript"/>
        <sz val="11"/>
        <color theme="1"/>
        <rFont val="Calibri"/>
        <family val="2"/>
      </rPr>
      <t>3</t>
    </r>
    <r>
      <rPr>
        <sz val="11"/>
        <color theme="1"/>
        <rFont val="Calibri"/>
        <family val="2"/>
      </rPr>
      <t>)</t>
    </r>
  </si>
  <si>
    <t>https://www.soundproofingcompany.com/soundproofing_101/building-materials-weights-guide</t>
  </si>
  <si>
    <t>assembly is from the studs out</t>
  </si>
  <si>
    <r>
      <rPr>
        <sz val="11"/>
        <color theme="1"/>
        <rFont val="Calibri"/>
        <family val="2"/>
      </rPr>
      <t>(lb/ft</t>
    </r>
    <r>
      <rPr>
        <vertAlign val="superscript"/>
        <sz val="11"/>
        <color theme="1"/>
        <rFont val="Calibri"/>
        <family val="2"/>
      </rPr>
      <t>3</t>
    </r>
    <r>
      <rPr>
        <sz val="11"/>
        <color theme="1"/>
        <rFont val="Calibri"/>
        <family val="2"/>
      </rPr>
      <t>)</t>
    </r>
  </si>
  <si>
    <t>EXTERIOR ALUMINUM WINDOWS</t>
  </si>
  <si>
    <t>Framing</t>
  </si>
  <si>
    <t>Deck</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</si>
  <si>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</si>
  <si>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</si>
  <si>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</si>
  <si>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</si>
  <si>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Fire Station</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</si>
  <si>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</si>
  <si>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</si>
  <si>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t>Materials categories</t>
  </si>
  <si>
    <r>
      <rPr>
        <b/>
        <sz val="11"/>
        <color theme="1"/>
        <rFont val="Calibri"/>
        <family val="2"/>
      </rPr>
      <t>MIC (lbs/ft</t>
    </r>
    <r>
      <rPr>
        <b/>
        <vertAlign val="superscript"/>
        <sz val="11"/>
        <color theme="1"/>
        <rFont val="Calibri"/>
        <family val="2"/>
      </rPr>
      <t>2</t>
    </r>
    <r>
      <rPr>
        <b/>
        <sz val="11"/>
        <color theme="1"/>
        <rFont val="Calibri"/>
        <family val="2"/>
      </rPr>
      <t>)</t>
    </r>
  </si>
  <si>
    <t>Rafters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</si>
  <si>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</si>
  <si>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</si>
  <si>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building is 125 ft long and 95 ft wide</t>
  </si>
  <si>
    <t>average reinforcement for concrete members</t>
  </si>
  <si>
    <t xml:space="preserve">https://rmadocs.venturacounty.gov/images/pdf/bs/handouts/B-91.pdf </t>
  </si>
  <si>
    <t>use DFL #2 rafters</t>
  </si>
  <si>
    <r>
      <rPr>
        <sz val="11"/>
        <color theme="1"/>
        <rFont val="Calibri"/>
        <family val="2"/>
      </rPr>
      <t>(lb/ft</t>
    </r>
    <r>
      <rPr>
        <vertAlign val="superscript"/>
        <sz val="11"/>
        <color theme="1"/>
        <rFont val="Calibri"/>
        <family val="2"/>
      </rPr>
      <t>3</t>
    </r>
    <r>
      <rPr>
        <sz val="11"/>
        <color theme="1"/>
        <rFont val="Calibri"/>
        <family val="2"/>
      </rPr>
      <t>)</t>
    </r>
  </si>
  <si>
    <t>https://alsyedconstruction.com/rafter-boards-in-construction-usa-essential-guide-for-builders-and-homeowners/#:~:text=The%20most%20common%20material%20for%20rafter%20boards%20in,strength%20needed%20for%20residential%20and%20light%20commercial%20buildings.</t>
  </si>
  <si>
    <t>more rafter assumptions</t>
  </si>
  <si>
    <r>
      <rPr>
        <sz val="11"/>
        <color theme="1"/>
        <rFont val="Calibri"/>
        <family val="2"/>
      </rPr>
      <t>(lb/ft</t>
    </r>
    <r>
      <rPr>
        <vertAlign val="superscript"/>
        <sz val="11"/>
        <color theme="1"/>
        <rFont val="Calibri"/>
        <family val="2"/>
      </rPr>
      <t>3</t>
    </r>
    <r>
      <rPr>
        <sz val="11"/>
        <color theme="1"/>
        <rFont val="Calibri"/>
        <family val="2"/>
      </rPr>
      <t>)</t>
    </r>
  </si>
  <si>
    <t xml:space="preserve">https://pallyroofing.com/all-about-rafter-spacing-for-metal-roofs/ </t>
  </si>
  <si>
    <r>
      <rPr>
        <sz val="11"/>
        <color theme="1"/>
        <rFont val="Calibri"/>
        <family val="2"/>
      </rPr>
      <t>(lb/ft</t>
    </r>
    <r>
      <rPr>
        <vertAlign val="superscript"/>
        <sz val="11"/>
        <color theme="1"/>
        <rFont val="Calibri"/>
        <family val="2"/>
      </rPr>
      <t>2</t>
    </r>
    <r>
      <rPr>
        <sz val="11"/>
        <color theme="1"/>
        <rFont val="Calibri"/>
        <family val="2"/>
      </rPr>
      <t>)</t>
    </r>
  </si>
  <si>
    <t>Steeper roofs often use wider spacing between rafters because the load is distributed more efficiently; Commercial Buildings: Depending on the roof design and load requirements, commercial roofs may use wider spacing, such as 24 inches in the center. They often accommodate larger spans and higher loads.</t>
  </si>
  <si>
    <t>https://www.dow.com/en-us/market/mkt-building-construction/silicone-construction-calculators.html</t>
  </si>
  <si>
    <t>WOOD DECK, BEAMS, AND RAFTERS</t>
  </si>
  <si>
    <t>calculated the amount of sealant = 0.09L from bite = 3/8" &amp; thickness = 3/16" in UFC &amp; 10% waste (https://www.tremcosealants.com/blog/how-to-use-sealant-calculators-to-estimate-product-needs#:~:text=Inefficiency%20Factor%2D%20also%20referred%20to,5%25%20for%20highly%20experienced%20applicators.)</t>
  </si>
  <si>
    <t>horizontal spans are 32',36',32', 33'</t>
  </si>
  <si>
    <t>SHINGLES</t>
  </si>
  <si>
    <t>asphalt shingles</t>
  </si>
  <si>
    <r>
      <rPr>
        <sz val="11"/>
        <color theme="1"/>
        <rFont val="Calibri"/>
        <family val="2"/>
      </rPr>
      <t>(lb/ft</t>
    </r>
    <r>
      <rPr>
        <vertAlign val="superscript"/>
        <sz val="11"/>
        <color theme="1"/>
        <rFont val="Calibri"/>
        <family val="2"/>
      </rPr>
      <t>2</t>
    </r>
    <r>
      <rPr>
        <sz val="11"/>
        <color theme="1"/>
        <rFont val="Calibri"/>
        <family val="2"/>
      </rPr>
      <t>)</t>
    </r>
  </si>
  <si>
    <t>IBC 2306.1.1 Joists and Rafters</t>
  </si>
  <si>
    <t>the design of rafter spans is permitted to be in accordance with the AWC STJR</t>
  </si>
  <si>
    <r>
      <rPr>
        <sz val="11"/>
        <color theme="1"/>
        <rFont val="Calibri"/>
        <family val="2"/>
      </rPr>
      <t>(lb/ft</t>
    </r>
    <r>
      <rPr>
        <vertAlign val="superscript"/>
        <sz val="11"/>
        <color theme="1"/>
        <rFont val="Calibri"/>
        <family val="2"/>
      </rPr>
      <t>2</t>
    </r>
    <r>
      <rPr>
        <sz val="11"/>
        <color theme="1"/>
        <rFont val="Calibri"/>
        <family val="2"/>
      </rPr>
      <t>)</t>
    </r>
  </si>
  <si>
    <t>for DFL, No.2, 16' span, 18' span, 16' span, 17' span (1 purlin halfway), 24" o.c. Spacing, and standard live load, dead load, and deflection = (3) 2x10, (1) 2x12 DLF No.2 @ 24" o.c. Spacing -&gt; assume all 2x10</t>
  </si>
  <si>
    <t xml:space="preserve">Asphalt shingles are available with either fiberglass or organic reinforcement. Fiberglass-reinforced shingles provide greater fire resistance and are therefore recommended. </t>
  </si>
  <si>
    <t>stick wall framing</t>
  </si>
  <si>
    <t>shingle weight... Assumed "3-tab"</t>
  </si>
  <si>
    <t>assume rafters sit on bearing walls of stick frame construction</t>
  </si>
  <si>
    <r>
      <rPr>
        <sz val="11"/>
        <color theme="1"/>
        <rFont val="Calibri"/>
        <family val="2"/>
      </rPr>
      <t>(lb/ft</t>
    </r>
    <r>
      <rPr>
        <vertAlign val="superscript"/>
        <sz val="11"/>
        <color theme="1"/>
        <rFont val="Calibri"/>
        <family val="2"/>
      </rPr>
      <t>2</t>
    </r>
    <r>
      <rPr>
        <sz val="11"/>
        <color theme="1"/>
        <rFont val="Calibri"/>
        <family val="2"/>
      </rPr>
      <t>)</t>
    </r>
  </si>
  <si>
    <t>looks like probably less than a roof slope of 4:12; therefore from UFCs use 2 layers of underlayment</t>
  </si>
  <si>
    <t>2X12</t>
  </si>
  <si>
    <t>PATIO ROOF CONSTRUCTION</t>
  </si>
  <si>
    <t>WOOD DECK</t>
  </si>
  <si>
    <t>UFC 3-100-03 3-3-4.4 Asphalt Shingle Underlayments</t>
  </si>
  <si>
    <t>The use of underlayment requires a continuous substrate to support the underlayment material. The underlayment shall be a minimum 30-lb, non-perforated organic asphalt saturated roofing felt. The underlayment shalol be applied over the entire roof deck and the self-adhering underlayment before or during the application of shingles. On roofs with a slope less than 4:12, apply 2 layers of underlayment with staggered side laps.</t>
  </si>
  <si>
    <t>building is 110 ft long and 80 ft wide</t>
  </si>
  <si>
    <t xml:space="preserve">https://bayvalleyroofing.com/blog/what-size-plywood-for-roofing/ </t>
  </si>
  <si>
    <r>
      <rPr>
        <sz val="11"/>
        <color theme="1"/>
        <rFont val="Calibri"/>
        <family val="2"/>
      </rPr>
      <t>(lb/ft</t>
    </r>
    <r>
      <rPr>
        <vertAlign val="superscript"/>
        <sz val="11"/>
        <color theme="1"/>
        <rFont val="Calibri"/>
        <family val="2"/>
      </rPr>
      <t>2</t>
    </r>
    <r>
      <rPr>
        <sz val="11"/>
        <color theme="1"/>
        <rFont val="Calibri"/>
        <family val="2"/>
      </rPr>
      <t>)</t>
    </r>
  </si>
  <si>
    <t>The recommended thickness for your roof depends on the materials you are using and the roof’s slope. For example, an ideal thickness for roofing plywood is at least 5/8 inches for a standard asphalt shingles roof</t>
  </si>
  <si>
    <t>Plywood sheathing</t>
  </si>
  <si>
    <r>
      <rPr>
        <sz val="11"/>
        <color theme="1"/>
        <rFont val="Calibri"/>
        <family val="2"/>
      </rPr>
      <t>(lb/ft</t>
    </r>
    <r>
      <rPr>
        <vertAlign val="superscript"/>
        <sz val="11"/>
        <color theme="1"/>
        <rFont val="Calibri"/>
        <family val="2"/>
      </rPr>
      <t>2</t>
    </r>
    <r>
      <rPr>
        <sz val="11"/>
        <color theme="1"/>
        <rFont val="Calibri"/>
        <family val="2"/>
      </rPr>
      <t>)</t>
    </r>
  </si>
  <si>
    <t>plywood weight chart</t>
  </si>
  <si>
    <r>
      <rPr>
        <b/>
        <sz val="11"/>
        <color theme="1"/>
        <rFont val="Calibri"/>
        <family val="2"/>
      </rPr>
      <t>MIC (lbs/ft</t>
    </r>
    <r>
      <rPr>
        <b/>
        <vertAlign val="superscript"/>
        <sz val="11"/>
        <color theme="1"/>
        <rFont val="Calibri"/>
        <family val="2"/>
      </rPr>
      <t>2</t>
    </r>
    <r>
      <rPr>
        <b/>
        <sz val="11"/>
        <color theme="1"/>
        <rFont val="Calibri"/>
        <family val="2"/>
      </rPr>
      <t>)</t>
    </r>
  </si>
  <si>
    <t>2x12 douglas fir, 3.75</t>
  </si>
  <si>
    <t>WOOD RAFTERS</t>
  </si>
  <si>
    <t>patio is 17' wide and 120' long</t>
  </si>
  <si>
    <r>
      <rPr>
        <b/>
        <sz val="11"/>
        <color theme="1"/>
        <rFont val="Calibri"/>
        <family val="2"/>
      </rPr>
      <t>MIC (lbs/ft</t>
    </r>
    <r>
      <rPr>
        <b/>
        <vertAlign val="superscript"/>
        <sz val="11"/>
        <color theme="1"/>
        <rFont val="Calibri"/>
        <family val="2"/>
      </rPr>
      <t>2</t>
    </r>
    <r>
      <rPr>
        <b/>
        <sz val="11"/>
        <color theme="1"/>
        <rFont val="Calibri"/>
        <family val="2"/>
      </rPr>
      <t>)</t>
    </r>
  </si>
  <si>
    <t>2x6 douglas fir = 1.83 lbs/ft</t>
  </si>
  <si>
    <t>https://www.vintagewoodworks.com/roofstructure.html#:~:text=Rafters%20are%20typically%20spaced%2016,for%20every%2012%22%20it%20travels.</t>
  </si>
  <si>
    <t>Rafters are typically spaced 16" or 24" apart along the length of the porch</t>
  </si>
  <si>
    <t>horizontal span is 10'</t>
  </si>
  <si>
    <r>
      <rPr>
        <b/>
        <sz val="11"/>
        <color theme="1"/>
        <rFont val="Calibri"/>
        <family val="2"/>
      </rPr>
      <t>Mass per Functional Unit (lbs/ft</t>
    </r>
    <r>
      <rPr>
        <b/>
        <vertAlign val="superscript"/>
        <sz val="11"/>
        <color theme="1"/>
        <rFont val="Calibri"/>
        <family val="2"/>
      </rPr>
      <t>2</t>
    </r>
    <r>
      <rPr>
        <b/>
        <sz val="11"/>
        <color theme="1"/>
        <rFont val="Calibri"/>
        <family val="2"/>
      </rPr>
      <t>)</t>
    </r>
  </si>
  <si>
    <t>Industrial Utility &amp; Fire Protection Facility</t>
  </si>
  <si>
    <t xml:space="preserve">https://www.ci.port-hueneme.ca.us/DocumentCenter/View/3430/Patio-Cover-Attached </t>
  </si>
  <si>
    <r>
      <rPr>
        <sz val="11"/>
        <color theme="1"/>
        <rFont val="Calibri"/>
        <family val="2"/>
      </rPr>
      <t>(lb/ft</t>
    </r>
    <r>
      <rPr>
        <vertAlign val="superscript"/>
        <sz val="11"/>
        <color theme="1"/>
        <rFont val="Calibri"/>
        <family val="2"/>
      </rPr>
      <t>3</t>
    </r>
    <r>
      <rPr>
        <sz val="11"/>
        <color theme="1"/>
        <rFont val="Calibri"/>
        <family val="2"/>
      </rPr>
      <t>)</t>
    </r>
  </si>
  <si>
    <t>DFL #2 rafters spaced at 24" -&gt; use 2x8 for 10' span</t>
  </si>
  <si>
    <r>
      <rPr>
        <sz val="11"/>
        <color theme="1"/>
        <rFont val="Calibri"/>
        <family val="2"/>
      </rPr>
      <t>ft</t>
    </r>
    <r>
      <rPr>
        <vertAlign val="superscript"/>
        <sz val="11"/>
        <color theme="1"/>
        <rFont val="Calibri"/>
        <family val="2"/>
      </rPr>
      <t>2</t>
    </r>
  </si>
  <si>
    <t>BEAMS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</si>
  <si>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</si>
  <si>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</si>
  <si>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</si>
  <si>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</si>
  <si>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building is 20 ft long and 12 ft wide</t>
  </si>
  <si>
    <r>
      <rPr>
        <b/>
        <sz val="11"/>
        <color theme="1"/>
        <rFont val="Calibri"/>
        <family val="2"/>
      </rPr>
      <t>Mass per Functional Unit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</si>
  <si>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</si>
  <si>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</si>
  <si>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t xml:space="preserve">for DFL, No.2, 12' span, 24" o.c. Spacing, and standard live load, dead load, and deflection = (10) 2x8 DLF No.2 @ 24" o.c. Spacing </t>
  </si>
  <si>
    <t>EXTERIOR WALL FRAMING</t>
  </si>
  <si>
    <t>exterior wall framing</t>
  </si>
  <si>
    <r>
      <rPr>
        <sz val="11"/>
        <color theme="1"/>
        <rFont val="Calibri"/>
        <family val="2"/>
      </rPr>
      <t>(lb/ft</t>
    </r>
    <r>
      <rPr>
        <vertAlign val="superscript"/>
        <sz val="11"/>
        <color theme="1"/>
        <rFont val="Calibri"/>
        <family val="2"/>
      </rPr>
      <t>3</t>
    </r>
    <r>
      <rPr>
        <sz val="11"/>
        <color theme="1"/>
        <rFont val="Calibri"/>
        <family val="2"/>
      </rPr>
      <t>)</t>
    </r>
  </si>
  <si>
    <t>DFL #2 rafters spaced at 24" -&gt; 2x8 beam spans 12'; 4x4 post minimum</t>
  </si>
  <si>
    <t>average reinforcing in concrete members</t>
  </si>
  <si>
    <t>Steeper roofs often use wider spacing between rafters because the load is distributed more efficiently; Commercial Buildings: so use 16" OC spacing since flat roof</t>
  </si>
  <si>
    <t>POSTS</t>
  </si>
  <si>
    <t>posts</t>
  </si>
  <si>
    <t>2-2x4</t>
  </si>
  <si>
    <r>
      <rPr>
        <sz val="11"/>
        <color theme="1"/>
        <rFont val="Calibri"/>
        <family val="2"/>
      </rPr>
      <t>(lb/ft</t>
    </r>
    <r>
      <rPr>
        <vertAlign val="superscript"/>
        <sz val="11"/>
        <color theme="1"/>
        <rFont val="Calibri"/>
        <family val="2"/>
      </rPr>
      <t>3</t>
    </r>
    <r>
      <rPr>
        <sz val="11"/>
        <color theme="1"/>
        <rFont val="Calibri"/>
        <family val="2"/>
      </rPr>
      <t>)</t>
    </r>
  </si>
  <si>
    <t xml:space="preserve">https://www.d2rdesign.com/post/the-ultimate-flat-roof-calculator-guide?srsltid=AfmBOorVyK6m2mzBccAc0smV-KLrCr6cRntgA7ZZ9zPfZ1nU-p457Q-e </t>
  </si>
  <si>
    <t>assume posts are 10' tall</t>
  </si>
  <si>
    <r>
      <rPr>
        <sz val="11"/>
        <color theme="1"/>
        <rFont val="Calibri"/>
        <family val="2"/>
      </rPr>
      <t>(lb/ft</t>
    </r>
    <r>
      <rPr>
        <vertAlign val="superscript"/>
        <sz val="11"/>
        <color theme="1"/>
        <rFont val="Calibri"/>
        <family val="2"/>
      </rPr>
      <t>3</t>
    </r>
    <r>
      <rPr>
        <sz val="11"/>
        <color theme="1"/>
        <rFont val="Calibri"/>
        <family val="2"/>
      </rPr>
      <t>)</t>
    </r>
  </si>
  <si>
    <t>assume stick-framed flat roof because of multiple roof elevations</t>
  </si>
  <si>
    <t>building is 8' tall</t>
  </si>
  <si>
    <t>2nd roof is 72x70</t>
  </si>
  <si>
    <t>https://roofobservations.com/2x4-lumber-weight/</t>
  </si>
  <si>
    <t>2x4 DFL weighs 1.167 lb/ft</t>
  </si>
  <si>
    <t>3-2x12</t>
  </si>
  <si>
    <t>WOOD CLADDING</t>
  </si>
  <si>
    <t>STUCCO</t>
  </si>
  <si>
    <t>IBCC Table 2308.7.2(2)</t>
  </si>
  <si>
    <t>16" rafter spacing, DFL #2, 2x12 can span 25'</t>
  </si>
  <si>
    <t>Cladding</t>
  </si>
  <si>
    <t>IRC Table R602.7</t>
  </si>
  <si>
    <t>Girder spans and header spans for exterior bearing walls (DFL #2): use roof, ceiling and one center-bearing floor... Assume 24' closest to 14' spacing -&gt; 3-2x12s at 8'-5" spans</t>
  </si>
  <si>
    <t>wood cladding, softwood</t>
  </si>
  <si>
    <t>House is 43' wide -&gt; assume 2 beams break width into 3 ~14' spans... -&gt; 2x10s at 16" spacing</t>
  </si>
  <si>
    <r>
      <rPr>
        <sz val="11"/>
        <color theme="1"/>
        <rFont val="Calibri"/>
        <family val="2"/>
      </rPr>
      <t>(lb/ft</t>
    </r>
    <r>
      <rPr>
        <vertAlign val="superscript"/>
        <sz val="11"/>
        <color theme="1"/>
        <rFont val="Calibri"/>
        <family val="2"/>
      </rPr>
      <t>2</t>
    </r>
    <r>
      <rPr>
        <sz val="11"/>
        <color theme="1"/>
        <rFont val="Calibri"/>
        <family val="2"/>
      </rPr>
      <t>)</t>
    </r>
  </si>
  <si>
    <t>Built-up beams</t>
  </si>
  <si>
    <r>
      <rPr>
        <sz val="11"/>
        <color theme="1"/>
        <rFont val="Calibri"/>
        <family val="2"/>
      </rPr>
      <t>(lb/ft</t>
    </r>
    <r>
      <rPr>
        <vertAlign val="superscript"/>
        <sz val="11"/>
        <color theme="1"/>
        <rFont val="Calibri"/>
        <family val="2"/>
      </rPr>
      <t>2</t>
    </r>
    <r>
      <rPr>
        <sz val="11"/>
        <color theme="1"/>
        <rFont val="Calibri"/>
        <family val="2"/>
      </rPr>
      <t>)</t>
    </r>
  </si>
  <si>
    <t>2x12 lumber weight</t>
  </si>
  <si>
    <t xml:space="preserve">https://ecoquery.ecoinvent.org/3.11/cutoff/dataset/12738/documentation </t>
  </si>
  <si>
    <t>2x10</t>
  </si>
  <si>
    <t>wood cladding, softwood' represents a wooden layer on an exterior wall of a building. For every 1m2, there is an equivaqlent of 6.9 kg of wood cladding</t>
  </si>
  <si>
    <t>lbs/joist</t>
  </si>
  <si>
    <t>assume built-up beam is 3-2x12s</t>
  </si>
  <si>
    <t>https://rmadocs.venturacounty.gov/images/pdf/bs/handouts/B-91.pdf</t>
  </si>
  <si>
    <t>furring strip</t>
  </si>
  <si>
    <t>Howe truss</t>
  </si>
  <si>
    <t>use DFL #1 for floor joists. Floor joist span table</t>
  </si>
  <si>
    <t>1x2</t>
  </si>
  <si>
    <t>lbs/EA</t>
  </si>
  <si>
    <t>common spacing is 12", 16", or 24"; common span length typically allows for different joist sizes: 2x6 0 - 10', 2x8 8-12', 2x10 10-14', 2x12 12-18'</t>
  </si>
  <si>
    <t>lbs/truss</t>
  </si>
  <si>
    <t>https://homeinspectioninsider.com/floor-joist/ &amp; IRC Table R502.3.1</t>
  </si>
  <si>
    <t xml:space="preserve">https://www.realcedar.com/siding/pre-installation/ </t>
  </si>
  <si>
    <t>furring over sheathing is 1x2" w/ 24" spacing... 2 12' wide walls and 2 20' wide walls at 24" spacing  = 32 battens 8' long</t>
  </si>
  <si>
    <t>UFC 4-730-10 3-2.2</t>
  </si>
  <si>
    <t>Where the length of the apparatus bay is sized to accommodate one vehicle parked in each stall, provide clear spans with no intermediate columns. With the approval of the fire chief, where the length of the apparatus bay is sized to accommodate two or more behicles parked end-to-end in each stall, a single row of interior columns perpendicular to the stalls is permitted.</t>
  </si>
  <si>
    <t>2x8 douglas fir, 14' weight per joist</t>
  </si>
  <si>
    <t>moisture protection barrier</t>
  </si>
  <si>
    <t>3-2x4</t>
  </si>
  <si>
    <r>
      <rPr>
        <sz val="11"/>
        <color theme="1"/>
        <rFont val="Calibri"/>
        <family val="2"/>
      </rPr>
      <t>(lb/ft</t>
    </r>
    <r>
      <rPr>
        <vertAlign val="superscript"/>
        <sz val="11"/>
        <color theme="1"/>
        <rFont val="Calibri"/>
        <family val="2"/>
      </rPr>
      <t>2</t>
    </r>
    <r>
      <rPr>
        <sz val="11"/>
        <color theme="1"/>
        <rFont val="Calibri"/>
        <family val="2"/>
      </rPr>
      <t>)</t>
    </r>
  </si>
  <si>
    <t xml:space="preserve">https://www.jugenheimersupplies.com/itemdetail/JI105870 </t>
  </si>
  <si>
    <t>assume parallel chord roof truss for the apparatus bay (55x70')</t>
  </si>
  <si>
    <t>furring strip ways 2.25 lbs</t>
  </si>
  <si>
    <t>assume columns are 3-2x12 at 8'5" spacing</t>
  </si>
  <si>
    <t xml:space="preserve">https://rangertruss.com/blog/importance-of-truss-spacing-best-practices/#:~:text=Truss%20Spacing%20for%20Roof%20Types%20*%20Gable,based%20on%20the%20design%20and%20load%20considerations. </t>
  </si>
  <si>
    <t>15 felt moisture barrier</t>
  </si>
  <si>
    <t>flat roofs often have 24" spacing between trusses</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</si>
  <si>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</si>
  <si>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</si>
  <si>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IRC TABLE R503.1 Minimum thickness of lumber floor sheathing:</t>
  </si>
  <si>
    <r>
      <rPr>
        <sz val="11"/>
        <color theme="1"/>
        <rFont val="Calibri"/>
        <family val="2"/>
      </rPr>
      <t>(lb/ft</t>
    </r>
    <r>
      <rPr>
        <vertAlign val="superscript"/>
        <sz val="11"/>
        <color theme="1"/>
        <rFont val="Calibri"/>
        <family val="2"/>
      </rPr>
      <t>2</t>
    </r>
    <r>
      <rPr>
        <sz val="11"/>
        <color theme="1"/>
        <rFont val="Calibri"/>
        <family val="2"/>
      </rPr>
      <t>)</t>
    </r>
  </si>
  <si>
    <t>joist spacing = 16" =-&gt; minimum net thickness = 5/8"</t>
  </si>
  <si>
    <t>https://www.cascade-mfg-co.com/files/media/rooftrussspanchart.pdf</t>
  </si>
  <si>
    <t xml:space="preserve">https://www.woodfloorbusiness.com/installation/subfloor-prep/article/15124714/a-guide-to-subfloors-used-under-wood-flooring </t>
  </si>
  <si>
    <t>flatt truss span table: 20 PSF live load, 3x6 top chord &amp; 2x6 bottom chord, 48" deep flat roof truss can span 58'</t>
  </si>
  <si>
    <t>3/4" plywood most common for subfloor</t>
  </si>
  <si>
    <t xml:space="preserve">https://roofobservations.com/2x6-lumber-weight/ </t>
  </si>
  <si>
    <r>
      <rPr>
        <sz val="11"/>
        <color theme="1"/>
        <rFont val="Calibri"/>
        <family val="2"/>
      </rPr>
      <t>(lb/ft</t>
    </r>
    <r>
      <rPr>
        <vertAlign val="superscript"/>
        <sz val="11"/>
        <color theme="1"/>
        <rFont val="Calibri"/>
        <family val="2"/>
      </rPr>
      <t>2</t>
    </r>
    <r>
      <rPr>
        <sz val="11"/>
        <color theme="1"/>
        <rFont val="Calibri"/>
        <family val="2"/>
      </rPr>
      <t>)</t>
    </r>
  </si>
  <si>
    <t>2x6 weights = 1.833 lbs/ft</t>
  </si>
  <si>
    <t>calculation to estimate weight of truss = 1.833*2*55+54*4*1.833+14*5.66*1.833</t>
  </si>
  <si>
    <r>
      <rPr>
        <sz val="11"/>
        <color theme="1"/>
        <rFont val="Calibri"/>
        <family val="2"/>
      </rPr>
      <t>(lb/ft</t>
    </r>
    <r>
      <rPr>
        <vertAlign val="superscript"/>
        <sz val="11"/>
        <color theme="1"/>
        <rFont val="Calibri"/>
        <family val="2"/>
      </rPr>
      <t>2</t>
    </r>
    <r>
      <rPr>
        <sz val="11"/>
        <color theme="1"/>
        <rFont val="Calibri"/>
        <family val="2"/>
      </rPr>
      <t>)</t>
    </r>
  </si>
  <si>
    <t>IRC R905.3.1</t>
  </si>
  <si>
    <t>Concrete and clay tile shall be installed only over solid sheathing</t>
  </si>
  <si>
    <t>6x6</t>
  </si>
  <si>
    <t>GLAZED DOORS (STOREFRONT TYPE): METAL SWING</t>
  </si>
  <si>
    <t>Storefront door</t>
  </si>
  <si>
    <t>IBC Table 2304.11</t>
  </si>
  <si>
    <t>Roof lods only comuns are minimum 6x6"</t>
  </si>
  <si>
    <t xml:space="preserve">https://www.cdfdistributors.com/what-are-the-average-dimensions-of-a-commercial-door/ </t>
  </si>
  <si>
    <t>stick frame exterior construction</t>
  </si>
  <si>
    <t>average commercial door dimensions</t>
  </si>
  <si>
    <t>lb/rafter</t>
  </si>
  <si>
    <t>use DFL #2 rafters; assume 2x10 rafter at 16" spacing... SPAN TABLE -&gt; 21' SPACING... Ok bc building width = 43/2 = 21.5 span</t>
  </si>
  <si>
    <r>
      <rPr>
        <sz val="11"/>
        <color theme="1"/>
        <rFont val="Calibri"/>
        <family val="2"/>
      </rPr>
      <t>(lb/ft</t>
    </r>
    <r>
      <rPr>
        <vertAlign val="superscript"/>
        <sz val="11"/>
        <color theme="1"/>
        <rFont val="Calibri"/>
        <family val="2"/>
      </rPr>
      <t>2</t>
    </r>
    <r>
      <rPr>
        <sz val="11"/>
        <color theme="1"/>
        <rFont val="Calibri"/>
        <family val="2"/>
      </rPr>
      <t>)</t>
    </r>
  </si>
  <si>
    <t>ceiling joist w/ 21.5 ft span and 16" spacing -&gt; 2x8s</t>
  </si>
  <si>
    <t>building is 17' tall</t>
  </si>
  <si>
    <t>load-bearing wall</t>
  </si>
  <si>
    <t>assume built up member for king post</t>
  </si>
  <si>
    <t>window size</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</si>
  <si>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</si>
  <si>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</si>
  <si>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</si>
  <si>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</si>
  <si>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</si>
  <si>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</si>
  <si>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</si>
  <si>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</si>
  <si>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window sizes taken from similar building in same archetype, because not available for this building</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</si>
  <si>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</si>
  <si>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</si>
  <si>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SketchandCalc</t>
  </si>
  <si>
    <t>measured size of windows</t>
  </si>
  <si>
    <t>BRICK VENEER W/ STUD BACKUP</t>
  </si>
  <si>
    <t>bricks</t>
  </si>
  <si>
    <t>brick</t>
  </si>
  <si>
    <t xml:space="preserve">s/kawneer_files/products/4244%20-%20NX-3800%20Windows/Specifications/SPCE361EN.pdf </t>
  </si>
  <si>
    <t>aluminum framing thickness</t>
  </si>
  <si>
    <t>solid modular clay brick</t>
  </si>
  <si>
    <t>chrome-extension://efaidnbmnnnibpcajpcglclefindmkaj/https://www.starlinewindows.com/files/file/5c6de10c550b8/Aluminum-Glass-and-IGU-Design-Guidelines.pdf</t>
  </si>
  <si>
    <t>aluminum frame weight in psf</t>
  </si>
  <si>
    <t>lbs/brick</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</si>
  <si>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</si>
  <si>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</si>
  <si>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UFC 3-101-01 Architecture best practices A-5.4</t>
  </si>
  <si>
    <t>One square foot of brick masonry contains 6.75 modular brick, 6 lineal ft of mortar joint, and 12 lineal ft of brick-mortar joint interface</t>
  </si>
  <si>
    <t>UFC 3-101-01 Architecture 2115.1 - Masonry details</t>
  </si>
  <si>
    <t>Comply with the Brick Industry Association Technote 7, Technote 18a, and Technote 21 for specific brick masonry recommendations and other topic specific technotes as applicable.</t>
  </si>
  <si>
    <r>
      <rPr>
        <sz val="11"/>
        <color theme="1"/>
        <rFont val="Calibri"/>
        <family val="2"/>
      </rPr>
      <t>(lb/ft</t>
    </r>
    <r>
      <rPr>
        <vertAlign val="superscript"/>
        <sz val="11"/>
        <color theme="1"/>
        <rFont val="Calibri"/>
        <family val="2"/>
      </rPr>
      <t>2</t>
    </r>
    <r>
      <rPr>
        <sz val="11"/>
        <color theme="1"/>
        <rFont val="Calibri"/>
        <family val="2"/>
      </rPr>
      <t>)</t>
    </r>
  </si>
  <si>
    <t>For glazing in exterior building elements such as storefronts, doors, windows, curtain walls, clerestories, and skylights provide no less than 1/4 in. (6 mm) nominal polycarbonate or laminated glass.  The 1/4 in. (6 mm) laminated glass consists of two nominal 1/8 in. (3 mm) glass panes bonded together with a minimum of a 0.030 in. (0.75 mm) interlayer of a material \1\ that has typically been used in blast resistant window applications.  For insulated glass units (IGU), use the polycarbonate or laminated glass for the innermost pane as a minimum.  
For polycarbonate, provide a glazing frame bite of no less than 1.5 times the polycarbonate thickness.  For laminated glass, the laminated pane shall be adhered to its supporting frame using structural silicone sealant or adhesive glazing tape.  The structural silicone sealant bite shall be equal to the larger of 3/8-in. (10-mm) or the thickness of the laminated glass to which it adheres.  The minimum thickness of the structural silicone bead shall be 3/16-in. (5-mm).  The glazing tape bite shall be equal to two times the thickness of the laminated glass to which it adheres.  The structural silicone bead or glazing tape shall be applied to both sides of single pane laminated glass but need only be applied to the inboard (protected) side of an IGU. /1/ 
Monolithic glass or monolithic acrylic used as a single pane or as the inner pane of a multi-pane system is not allowed for the purposes of complying with this standard.</t>
  </si>
  <si>
    <t xml:space="preserve">chrome-extension://efaidnbmnnnibpcajpcglclefindmkaj/https://syracuseglass.com/E-DOCS/general/EDOCS/Approximate%20Weight%20of%20Architectural%20Flat%20Glass.pdf </t>
  </si>
  <si>
    <t>WBDG masonry wall archive</t>
  </si>
  <si>
    <t>weight psf of glass</t>
  </si>
  <si>
    <t>UFC 3-110-03 2-8.1.4.1</t>
  </si>
  <si>
    <t>The allowable types of top surfacing for BUR membranes are granulated modified bitumen cap sheet and aggregate</t>
  </si>
  <si>
    <t xml:space="preserve">clay brick units are typically used in brick masonry construction. For most exteriro walls, units categorized as solid are used. Type S mortar typically used in structrual masonry application. If single wythe exterior walls are to be installed, a barrier should be provided on the exterior surface, such as a fluid-applied, breathable masonry coating or over-cladding (EIFS, metal panels, stucco and similar) to prevent water penetration into the masonry. </t>
  </si>
  <si>
    <r>
      <rPr>
        <sz val="11"/>
        <color theme="1"/>
        <rFont val="Calibri"/>
        <family val="2"/>
      </rPr>
      <t>(lb/ft</t>
    </r>
    <r>
      <rPr>
        <vertAlign val="superscript"/>
        <sz val="11"/>
        <color theme="1"/>
        <rFont val="Calibri"/>
        <family val="2"/>
      </rPr>
      <t>2</t>
    </r>
    <r>
      <rPr>
        <sz val="11"/>
        <color theme="1"/>
        <rFont val="Calibri"/>
        <family val="2"/>
      </rPr>
      <t>)</t>
    </r>
  </si>
  <si>
    <t xml:space="preserve">chrome-extension://efaidnbmnnnibpcajpcglclefindmkaj/https://www.westcoastglass.com/wp-content/uploads/2019/03/GIB-LD-08-0814-Weight-of-Laminated-Architectural-Glass.pdf </t>
  </si>
  <si>
    <t>weight of PVB interlayer</t>
  </si>
  <si>
    <t>SLIDING GLASS PATIO DOOR</t>
  </si>
  <si>
    <t>https://interstatebrick.com/product/modular-solid-4-x-2%c2%bc-x-8/</t>
  </si>
  <si>
    <t>modular solid 4x2-1/4x8 brick weighs 4.8 lbs</t>
  </si>
  <si>
    <t>(lb/ft3)</t>
  </si>
  <si>
    <t xml:space="preserve">https://www.homedepot.com/p/MasterPiece-72-in-x-80-in-Smooth-White-Exterior-and-Interior-Right-Hand-Composite-Sliding-Patio-Door-G6068R00201/202339614#overlay </t>
  </si>
  <si>
    <t>mortar</t>
  </si>
  <si>
    <t>STOREFRONT WINDOW</t>
  </si>
  <si>
    <r>
      <rPr>
        <b/>
        <sz val="11"/>
        <color theme="1"/>
        <rFont val="Calibri"/>
        <family val="2"/>
      </rPr>
      <t>MIC (lbs/ft</t>
    </r>
    <r>
      <rPr>
        <b/>
        <vertAlign val="superscript"/>
        <sz val="11"/>
        <color theme="1"/>
        <rFont val="Calibri"/>
        <family val="2"/>
      </rPr>
      <t>2</t>
    </r>
    <r>
      <rPr>
        <b/>
        <sz val="11"/>
        <color theme="1"/>
        <rFont val="Calibri"/>
        <family val="2"/>
      </rPr>
      <t>)</t>
    </r>
  </si>
  <si>
    <t>CURTAIN WALL PANELS</t>
  </si>
  <si>
    <t>Curtain wall panels (IGU)</t>
  </si>
  <si>
    <t>assume a door like this: 72x80"</t>
  </si>
  <si>
    <t>DOOR EXTERIOR WOOD</t>
  </si>
  <si>
    <t>WOOD EXTERIOR DOORS</t>
  </si>
  <si>
    <t>IBC 2103.2.1 Masonry Mortar</t>
  </si>
  <si>
    <t xml:space="preserve">https://www.homedepot.com/c/ab/exterior-door-buying-guide/9ba683603be9fa5395fab90f82b562d </t>
  </si>
  <si>
    <t>Mortar for use in masonry construction shall conform to articles 2.1 and 2.6 of TSM 602</t>
  </si>
  <si>
    <t>standard residential exterior door dimensions: 80x36x1-3/4"</t>
  </si>
  <si>
    <t>UFGS 08 44 00 page 5</t>
  </si>
  <si>
    <t xml:space="preserve"> Curtain-wall systems may be classified by visual characteristics as follows:
 1.  Mullion type has dominant vertical lines. Vertical mullions are usually 45 millimeter 1-3/4 inches or more wide and usually extend 100 millimeter 4 inches or more beyond the exterior face of the curtain wall.  Mullions are usually not more than 1525 millimeter 5 feet on center.</t>
  </si>
  <si>
    <t>CLAY TILES</t>
  </si>
  <si>
    <t>clay</t>
  </si>
  <si>
    <t>TMS 602</t>
  </si>
  <si>
    <t>head and bed joints shall be 3/8" thick</t>
  </si>
  <si>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</si>
  <si>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</si>
  <si>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battens</t>
  </si>
  <si>
    <t>https://www.masonryandhardscapes.org/resource/cmu-tec-002/#:~:text=Mortar%20thickness:%200.375%20in.,can%20be%20calculated%20as%20follows:</t>
  </si>
  <si>
    <t>mortar density = 125 lb/ft3</t>
  </si>
  <si>
    <t>https://www.columbusbuilders.net/rule-of-thumb-figures/</t>
  </si>
  <si>
    <t>rule of thumb for brick is 7 (80lb) bags of mortar per 1000 bricks</t>
  </si>
  <si>
    <r>
      <rPr>
        <sz val="11"/>
        <color theme="1"/>
        <rFont val="Calibri"/>
        <family val="2"/>
      </rPr>
      <t>(lb/ft</t>
    </r>
    <r>
      <rPr>
        <vertAlign val="superscript"/>
        <sz val="11"/>
        <color theme="1"/>
        <rFont val="Calibri"/>
        <family val="2"/>
      </rPr>
      <t>2</t>
    </r>
    <r>
      <rPr>
        <sz val="11"/>
        <color theme="1"/>
        <rFont val="Calibri"/>
        <family val="2"/>
      </rPr>
      <t>)</t>
    </r>
  </si>
  <si>
    <t xml:space="preserve">https://riversidebrick.com/wp-content/uploads/2021/10/Masonry-Estimating-Guide-2.pdf </t>
  </si>
  <si>
    <t>for modular bricks, 8 bags for 1000 bricks</t>
  </si>
  <si>
    <t>aluminum mullions</t>
  </si>
  <si>
    <r>
      <rPr>
        <sz val="11"/>
        <color theme="1"/>
        <rFont val="Calibri"/>
        <family val="2"/>
      </rPr>
      <t>(lb/ft</t>
    </r>
    <r>
      <rPr>
        <vertAlign val="superscript"/>
        <sz val="11"/>
        <color theme="1"/>
        <rFont val="Calibri"/>
        <family val="2"/>
      </rPr>
      <t>2</t>
    </r>
    <r>
      <rPr>
        <sz val="11"/>
        <color theme="1"/>
        <rFont val="Calibri"/>
        <family val="2"/>
      </rPr>
      <t>)</t>
    </r>
  </si>
  <si>
    <t>assume insulation is batt between studs; assembly is from the studs out</t>
  </si>
  <si>
    <r>
      <rPr>
        <sz val="11"/>
        <color theme="1"/>
        <rFont val="Calibri"/>
        <family val="2"/>
      </rPr>
      <t>(lb/ft</t>
    </r>
    <r>
      <rPr>
        <vertAlign val="superscript"/>
        <sz val="11"/>
        <color theme="1"/>
        <rFont val="Calibri"/>
        <family val="2"/>
      </rPr>
      <t>3</t>
    </r>
    <r>
      <rPr>
        <sz val="11"/>
        <color theme="1"/>
        <rFont val="Calibri"/>
        <family val="2"/>
      </rPr>
      <t>)</t>
    </r>
  </si>
  <si>
    <t>assume dimensions 30x10, 5' on center = 6 mullions, 10' long</t>
  </si>
  <si>
    <r>
      <rPr>
        <sz val="11"/>
        <color theme="1"/>
        <rFont val="Calibri"/>
        <family val="2"/>
      </rPr>
      <t>(lb/ft</t>
    </r>
    <r>
      <rPr>
        <vertAlign val="superscript"/>
        <sz val="11"/>
        <color theme="1"/>
        <rFont val="Calibri"/>
        <family val="2"/>
      </rPr>
      <t>2</t>
    </r>
    <r>
      <rPr>
        <sz val="11"/>
        <color theme="1"/>
        <rFont val="Calibri"/>
        <family val="2"/>
      </rPr>
      <t>)</t>
    </r>
  </si>
  <si>
    <t xml:space="preserve">https://www.karaymetals.com/metals-density-table </t>
  </si>
  <si>
    <t>aluminum density</t>
  </si>
  <si>
    <r>
      <rPr>
        <sz val="11"/>
        <color theme="1"/>
        <rFont val="Calibri"/>
        <family val="2"/>
      </rPr>
      <t>(lb/ft</t>
    </r>
    <r>
      <rPr>
        <vertAlign val="superscript"/>
        <sz val="11"/>
        <color theme="1"/>
        <rFont val="Calibri"/>
        <family val="2"/>
      </rPr>
      <t>2</t>
    </r>
    <r>
      <rPr>
        <sz val="11"/>
        <color theme="1"/>
        <rFont val="Calibri"/>
        <family val="2"/>
      </rPr>
      <t>)</t>
    </r>
  </si>
  <si>
    <t>OVERHEAD DOOR</t>
  </si>
  <si>
    <t>overhead door</t>
  </si>
  <si>
    <t>UFC 3-5.5 Batten Boards</t>
  </si>
  <si>
    <t>Provide batten boards under tiles in cold climates to assure the coldest roof surface possible &amp; should be considered in all climates where tiles can be lug-hung.</t>
  </si>
  <si>
    <t>overhead doors are 12x22</t>
  </si>
  <si>
    <t>https://www.jlconline.com/how-to/roofing/clay-and-concrete-tile/clay-and-concrete-tile-field-guide</t>
  </si>
  <si>
    <t>battens spaced 12" OC...</t>
  </si>
  <si>
    <t>each eave is 24' long... Battens spaced 12" apart, so 24 battens on each side</t>
  </si>
  <si>
    <r>
      <rPr>
        <sz val="11"/>
        <color theme="1"/>
        <rFont val="Calibri"/>
        <family val="2"/>
      </rPr>
      <t>(lb/ft</t>
    </r>
    <r>
      <rPr>
        <vertAlign val="superscript"/>
        <sz val="11"/>
        <color theme="1"/>
        <rFont val="Calibri"/>
        <family val="2"/>
      </rPr>
      <t>2</t>
    </r>
    <r>
      <rPr>
        <sz val="11"/>
        <color theme="1"/>
        <rFont val="Calibri"/>
        <family val="2"/>
      </rPr>
      <t>)</t>
    </r>
  </si>
  <si>
    <t>https://www.jrclancy.com/battens-and-truss-battens.php</t>
  </si>
  <si>
    <t>battens weigh 4 lb/ft</t>
  </si>
  <si>
    <t>UFC 3-100-03 3-5.7 Roof Cement</t>
  </si>
  <si>
    <t>Use polymer modified bitumen roof cement</t>
  </si>
  <si>
    <t>UFC 3-5.8 Self-Adhering Underlayment</t>
  </si>
  <si>
    <t>Use a self-adhering modified bitumen membrane installed per Chapter 3, General 
Steep-slope Roofing Requirements, Self-Adhering Underlayment.  Use high 
temperature polymer modified bitumen membrane as underlayment at high altitudes 
and the extreme south and southwest regions of CONUS.</t>
  </si>
  <si>
    <t>UFC 3-100-03 3-5.9 Felt Underlayment</t>
  </si>
  <si>
    <t xml:space="preserve">Use non-self-adhering polymer modified bitumen membrane as felt underlayment installed per Chapter 3, Underlayments. </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</si>
  <si>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</si>
  <si>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(lbs/ft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</si>
  <si>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</si>
  <si>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window size &amp; count</t>
  </si>
  <si>
    <r>
      <rPr>
        <b/>
        <sz val="11"/>
        <color theme="1"/>
        <rFont val="Calibri"/>
        <family val="2"/>
      </rPr>
      <t>MIC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</si>
  <si>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</si>
  <si>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</si>
  <si>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</si>
  <si>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windows are 3x5</t>
  </si>
  <si>
    <t>Plastic</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</si>
  <si>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</si>
  <si>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</si>
  <si>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ROOFING METAL</t>
  </si>
  <si>
    <t>preformed metal</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</si>
  <si>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</si>
  <si>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</si>
  <si>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https://armstrongmetalcrafts.com/reference/SheetMetalGaugeWeight.aspx</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</si>
  <si>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</si>
  <si>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</si>
  <si>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drawings for different DoD building</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</si>
  <si>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</si>
  <si>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</si>
  <si>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assembly</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</si>
  <si>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</si>
  <si>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</si>
  <si>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</si>
  <si>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</si>
  <si>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</si>
  <si>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Materials Categories</t>
  </si>
  <si>
    <r>
      <rPr>
        <b/>
        <sz val="11"/>
        <color theme="1"/>
        <rFont val="Calibri"/>
        <family val="2"/>
      </rPr>
      <t>MIC (lbs/ft</t>
    </r>
    <r>
      <rPr>
        <b/>
        <vertAlign val="superscript"/>
        <sz val="11"/>
        <color theme="1"/>
        <rFont val="Calibri"/>
        <family val="2"/>
      </rPr>
      <t>2</t>
    </r>
    <r>
      <rPr>
        <b/>
        <sz val="11"/>
        <color theme="1"/>
        <rFont val="Calibri"/>
        <family val="2"/>
      </rPr>
      <t>)</t>
    </r>
  </si>
  <si>
    <t>glass</t>
  </si>
  <si>
    <r>
      <rPr>
        <b/>
        <sz val="11"/>
        <color theme="1"/>
        <rFont val="Calibri"/>
        <family val="2"/>
      </rPr>
      <t>Mass per Functional Unit (lbs/ft</t>
    </r>
    <r>
      <rPr>
        <b/>
        <vertAlign val="superscript"/>
        <sz val="11"/>
        <color theme="1"/>
        <rFont val="Calibri"/>
        <family val="2"/>
      </rPr>
      <t>2</t>
    </r>
    <r>
      <rPr>
        <b/>
        <sz val="11"/>
        <color theme="1"/>
        <rFont val="Calibri"/>
        <family val="2"/>
      </rPr>
      <t>)</t>
    </r>
  </si>
  <si>
    <t>Maintenance Shop</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</si>
  <si>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</si>
  <si>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</si>
  <si>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r>
      <rPr>
        <b/>
        <sz val="11"/>
        <color theme="1"/>
        <rFont val="Calibri"/>
        <family val="2"/>
      </rPr>
      <t>Mass per Functional Unit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</si>
  <si>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</si>
  <si>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Medical facility</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</si>
  <si>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</si>
  <si>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</si>
  <si>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</si>
  <si>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45, 65</t>
  </si>
  <si>
    <r>
      <rPr>
        <sz val="11"/>
        <color theme="1"/>
        <rFont val="Calibri"/>
        <family val="2"/>
      </rPr>
      <t>(lb/ft</t>
    </r>
    <r>
      <rPr>
        <vertAlign val="superscript"/>
        <sz val="11"/>
        <color theme="1"/>
        <rFont val="Calibri"/>
        <family val="2"/>
      </rPr>
      <t>3</t>
    </r>
    <r>
      <rPr>
        <sz val="11"/>
        <color theme="1"/>
        <rFont val="Calibri"/>
        <family val="2"/>
      </rPr>
      <t>)</t>
    </r>
  </si>
  <si>
    <t>with a 80' span (no columns),12 joist spaces @ 6.67' spacing, 84" girder depth, 12 kips LRFD -&gt; joist girder weighs 56 lbs/linear ft</t>
  </si>
  <si>
    <r>
      <rPr>
        <sz val="11"/>
        <color theme="1"/>
        <rFont val="Calibri"/>
        <family val="2"/>
      </rPr>
      <t>(lb/ft</t>
    </r>
    <r>
      <rPr>
        <vertAlign val="superscript"/>
        <sz val="11"/>
        <color theme="1"/>
        <rFont val="Calibri"/>
        <family val="2"/>
      </rPr>
      <t>3</t>
    </r>
    <r>
      <rPr>
        <sz val="11"/>
        <color theme="1"/>
        <rFont val="Calibri"/>
        <family val="2"/>
      </rPr>
      <t>)</t>
    </r>
  </si>
  <si>
    <t>52 joists if 6.67' spacing</t>
  </si>
  <si>
    <t>W6x20</t>
  </si>
  <si>
    <r>
      <rPr>
        <sz val="11"/>
        <color theme="1"/>
        <rFont val="Calibri"/>
        <family val="2"/>
      </rPr>
      <t>(lb/ft</t>
    </r>
    <r>
      <rPr>
        <vertAlign val="superscript"/>
        <sz val="11"/>
        <color theme="1"/>
        <rFont val="Calibri"/>
        <family val="2"/>
      </rPr>
      <t>3</t>
    </r>
    <r>
      <rPr>
        <sz val="11"/>
        <color theme="1"/>
        <rFont val="Calibri"/>
        <family val="2"/>
      </rPr>
      <t>)</t>
    </r>
  </si>
  <si>
    <t>AISC steel construction manual table 4-1a</t>
  </si>
  <si>
    <t>select W8x31</t>
  </si>
  <si>
    <t>building is 23' tall</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</si>
  <si>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</si>
  <si>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</si>
  <si>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</si>
  <si>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assume floor is 326x112</t>
  </si>
  <si>
    <t>bays are 22 x 15'</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</si>
  <si>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</si>
  <si>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</si>
  <si>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engineering rule of thumb</t>
  </si>
  <si>
    <t>concrete beam depth = span/12 = 22/12 OR 15/12 -&gt; 20"</t>
  </si>
  <si>
    <r>
      <rPr>
        <sz val="11"/>
        <color theme="1"/>
        <rFont val="Calibri"/>
        <family val="2"/>
      </rPr>
      <t>(lb/ft</t>
    </r>
    <r>
      <rPr>
        <vertAlign val="superscript"/>
        <sz val="11"/>
        <color theme="1"/>
        <rFont val="Calibri"/>
        <family val="2"/>
      </rPr>
      <t>3</t>
    </r>
    <r>
      <rPr>
        <sz val="11"/>
        <color theme="1"/>
        <rFont val="Calibri"/>
        <family val="2"/>
      </rPr>
      <t>)</t>
    </r>
  </si>
  <si>
    <t>concrete beam width &gt; 0.4(d) = 8 -&gt; use 12" to match columns</t>
  </si>
  <si>
    <r>
      <rPr>
        <sz val="11"/>
        <color theme="1"/>
        <rFont val="Calibri"/>
        <family val="2"/>
      </rPr>
      <t>(lb/ft</t>
    </r>
    <r>
      <rPr>
        <vertAlign val="superscript"/>
        <sz val="11"/>
        <color theme="1"/>
        <rFont val="Calibri"/>
        <family val="2"/>
      </rPr>
      <t>3</t>
    </r>
    <r>
      <rPr>
        <sz val="11"/>
        <color theme="1"/>
        <rFont val="Calibri"/>
        <family val="2"/>
      </rPr>
      <t>)</t>
    </r>
  </si>
  <si>
    <t>assume all columns are 12x12"</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</si>
  <si>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</si>
  <si>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</si>
  <si>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averages for reinforcement in concrete</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</si>
  <si>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</si>
  <si>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</si>
  <si>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</si>
  <si>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</si>
  <si>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</si>
  <si>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primary beams</t>
  </si>
  <si>
    <r>
      <rPr>
        <sz val="11"/>
        <color theme="1"/>
        <rFont val="Calibri"/>
        <family val="2"/>
      </rPr>
      <t>(lb/ft</t>
    </r>
    <r>
      <rPr>
        <vertAlign val="superscript"/>
        <sz val="11"/>
        <color theme="1"/>
        <rFont val="Calibri"/>
        <family val="2"/>
      </rPr>
      <t>2</t>
    </r>
    <r>
      <rPr>
        <sz val="11"/>
        <color theme="1"/>
        <rFont val="Calibri"/>
        <family val="2"/>
      </rPr>
      <t>)</t>
    </r>
  </si>
  <si>
    <t>building is 330 ft long; assume 75' wide to match SF in iNFADS</t>
  </si>
  <si>
    <r>
      <rPr>
        <sz val="11"/>
        <color theme="1"/>
        <rFont val="Calibri"/>
        <family val="2"/>
      </rPr>
      <t>(lb/ft</t>
    </r>
    <r>
      <rPr>
        <vertAlign val="superscript"/>
        <sz val="11"/>
        <color theme="1"/>
        <rFont val="Calibri"/>
        <family val="2"/>
      </rPr>
      <t>3</t>
    </r>
    <r>
      <rPr>
        <sz val="11"/>
        <color theme="1"/>
        <rFont val="Calibri"/>
        <family val="2"/>
      </rPr>
      <t>)</t>
    </r>
  </si>
  <si>
    <t>office building drawings</t>
  </si>
  <si>
    <t>assume same framing as office building: primary beams = W18x40, spaced at 20'</t>
  </si>
  <si>
    <t>assume W18x40 span 75' distance spaced at 20'</t>
  </si>
  <si>
    <r>
      <rPr>
        <sz val="11"/>
        <color theme="1"/>
        <rFont val="Calibri"/>
        <family val="2"/>
      </rPr>
      <t>(lb/ft</t>
    </r>
    <r>
      <rPr>
        <vertAlign val="superscript"/>
        <sz val="11"/>
        <color theme="1"/>
        <rFont val="Calibri"/>
        <family val="2"/>
      </rPr>
      <t>2</t>
    </r>
    <r>
      <rPr>
        <sz val="11"/>
        <color theme="1"/>
        <rFont val="Calibri"/>
        <family val="2"/>
      </rPr>
      <t>)</t>
    </r>
  </si>
  <si>
    <t>secondary beams</t>
  </si>
  <si>
    <r>
      <rPr>
        <sz val="11"/>
        <color theme="1"/>
        <rFont val="Calibri"/>
        <family val="2"/>
      </rPr>
      <t>(lb/ft</t>
    </r>
    <r>
      <rPr>
        <vertAlign val="superscript"/>
        <sz val="11"/>
        <color theme="1"/>
        <rFont val="Calibri"/>
        <family val="2"/>
      </rPr>
      <t>3</t>
    </r>
    <r>
      <rPr>
        <sz val="11"/>
        <color theme="1"/>
        <rFont val="Calibri"/>
        <family val="2"/>
      </rPr>
      <t>)</t>
    </r>
  </si>
  <si>
    <t>W16X26</t>
  </si>
  <si>
    <r>
      <rPr>
        <sz val="11"/>
        <color theme="1"/>
        <rFont val="Calibri"/>
        <family val="2"/>
      </rPr>
      <t>(lb/ft</t>
    </r>
    <r>
      <rPr>
        <vertAlign val="superscript"/>
        <sz val="11"/>
        <color theme="1"/>
        <rFont val="Calibri"/>
        <family val="2"/>
      </rPr>
      <t>2</t>
    </r>
    <r>
      <rPr>
        <sz val="11"/>
        <color theme="1"/>
        <rFont val="Calibri"/>
        <family val="2"/>
      </rPr>
      <t>)</t>
    </r>
  </si>
  <si>
    <t>Office building drawings</t>
  </si>
  <si>
    <t>assume same framing as office building: secondary beams = W16x24, spaced at 40'</t>
  </si>
  <si>
    <r>
      <rPr>
        <sz val="11"/>
        <color theme="1"/>
        <rFont val="Calibri"/>
        <family val="2"/>
      </rPr>
      <t>(lb/ft</t>
    </r>
    <r>
      <rPr>
        <vertAlign val="superscript"/>
        <sz val="11"/>
        <color theme="1"/>
        <rFont val="Calibri"/>
        <family val="2"/>
      </rPr>
      <t>3</t>
    </r>
    <r>
      <rPr>
        <sz val="11"/>
        <color theme="1"/>
        <rFont val="Calibri"/>
        <family val="2"/>
      </rPr>
      <t>)</t>
    </r>
  </si>
  <si>
    <t>W16x24 spanning 330' distance, spaced at 37.5'</t>
  </si>
  <si>
    <t>8x2-1/2" c- pulin</t>
  </si>
  <si>
    <t>(llbs/ft)</t>
  </si>
  <si>
    <t xml:space="preserve">from iNFADS assets in same archetype: </t>
  </si>
  <si>
    <t>door dimensions 3'x7'</t>
  </si>
  <si>
    <t>https://www.grainger.com/product/3NWK5?N:N:PS:Paid:GGL:CSM-2295:ZPF8P7:20800401:APZ_1&amp;gad_source=1&amp;gad_campaignid=22373307501&amp;gclid=Cj0KCQjwlMfABhCWARIsADGXdy-kfJ0P0P-POO0K58vfraEV4PY1R7Z8-bwpbPA8yEXppYMPRwMvLKYaAqueEALw_wcB&amp;gclsrc=aw.ds</t>
  </si>
  <si>
    <t>shipping weight of similar industrial steel door = 123 lbs</t>
  </si>
  <si>
    <r>
      <rPr>
        <sz val="11"/>
        <color theme="1"/>
        <rFont val="Calibri"/>
        <family val="2"/>
      </rPr>
      <t>(lb/ft</t>
    </r>
    <r>
      <rPr>
        <vertAlign val="superscript"/>
        <sz val="11"/>
        <color theme="1"/>
        <rFont val="Calibri"/>
        <family val="2"/>
      </rPr>
      <t>2</t>
    </r>
    <r>
      <rPr>
        <sz val="11"/>
        <color theme="1"/>
        <rFont val="Calibri"/>
        <family val="2"/>
      </rPr>
      <t>)</t>
    </r>
  </si>
  <si>
    <t>*assume all steel because other assets in same archetype specify steel; no other material specified</t>
  </si>
  <si>
    <t>*assume 15x18 doors from SketchandCalc and assets in same archetype</t>
  </si>
  <si>
    <t>windfow size calculated using sketch and calc and google earth</t>
  </si>
  <si>
    <r>
      <rPr>
        <sz val="11"/>
        <color theme="1"/>
        <rFont val="Calibri"/>
        <family val="2"/>
      </rPr>
      <t>(lb/ft</t>
    </r>
    <r>
      <rPr>
        <vertAlign val="superscript"/>
        <sz val="11"/>
        <color theme="1"/>
        <rFont val="Calibri"/>
        <family val="2"/>
      </rPr>
      <t>3</t>
    </r>
    <r>
      <rPr>
        <sz val="11"/>
        <color theme="1"/>
        <rFont val="Calibri"/>
        <family val="2"/>
      </rPr>
      <t>)</t>
    </r>
  </si>
  <si>
    <t>W8X18</t>
  </si>
  <si>
    <t>columns at all intersections (including exterior)</t>
  </si>
  <si>
    <r>
      <rPr>
        <sz val="11"/>
        <color theme="1"/>
        <rFont val="Calibri"/>
        <family val="2"/>
      </rPr>
      <t>(lb/ft</t>
    </r>
    <r>
      <rPr>
        <vertAlign val="superscript"/>
        <sz val="11"/>
        <color theme="1"/>
        <rFont val="Calibri"/>
        <family val="2"/>
      </rPr>
      <t>2</t>
    </r>
    <r>
      <rPr>
        <sz val="11"/>
        <color theme="1"/>
        <rFont val="Calibri"/>
        <family val="2"/>
      </rPr>
      <t>)</t>
    </r>
  </si>
  <si>
    <t>building is 28' tall -&gt; columns are 28' long</t>
  </si>
  <si>
    <t>ICC Table 722.5.1(1) W/D Ratios for steel columns</t>
  </si>
  <si>
    <t>typical column sizes... Choose w14x68 for 2 storey building</t>
  </si>
  <si>
    <r>
      <rPr>
        <sz val="11"/>
        <color theme="1"/>
        <rFont val="Calibri"/>
        <family val="2"/>
      </rPr>
      <t>(lb/ft</t>
    </r>
    <r>
      <rPr>
        <vertAlign val="superscript"/>
        <sz val="11"/>
        <color theme="1"/>
        <rFont val="Calibri"/>
        <family val="2"/>
      </rPr>
      <t>2</t>
    </r>
    <r>
      <rPr>
        <sz val="11"/>
        <color theme="1"/>
        <rFont val="Calibri"/>
        <family val="2"/>
      </rPr>
      <t>)</t>
    </r>
  </si>
  <si>
    <t xml:space="preserve"> PRECAST CONCRETE PANELS</t>
  </si>
  <si>
    <r>
      <rPr>
        <sz val="11"/>
        <color theme="1"/>
        <rFont val="Calibri"/>
        <family val="2"/>
      </rPr>
      <t>(lb/ft</t>
    </r>
    <r>
      <rPr>
        <vertAlign val="superscript"/>
        <sz val="11"/>
        <color theme="1"/>
        <rFont val="Calibri"/>
        <family val="2"/>
      </rPr>
      <t>3</t>
    </r>
    <r>
      <rPr>
        <sz val="11"/>
        <color theme="1"/>
        <rFont val="Calibri"/>
        <family val="2"/>
      </rPr>
      <t>)</t>
    </r>
  </si>
  <si>
    <t>https://www.rmax.com/blog/2024/3/1/concrete-sandwich-panel-insulation#:~:text=The%20overall%20thickness%20of%20a,between%202%20and%204%20inches.</t>
  </si>
  <si>
    <t>assume interior layer is 6" thick, insulation is 3" thick, and exterior layer is 3" thick</t>
  </si>
  <si>
    <r>
      <rPr>
        <sz val="11"/>
        <color theme="1"/>
        <rFont val="Calibri"/>
        <family val="2"/>
      </rPr>
      <t>(lb/ft</t>
    </r>
    <r>
      <rPr>
        <vertAlign val="superscript"/>
        <sz val="11"/>
        <color theme="1"/>
        <rFont val="Calibri"/>
        <family val="2"/>
      </rPr>
      <t>2</t>
    </r>
    <r>
      <rPr>
        <sz val="11"/>
        <color theme="1"/>
        <rFont val="Calibri"/>
        <family val="2"/>
      </rPr>
      <t>)</t>
    </r>
  </si>
  <si>
    <t>measured perimeter of building; multiplied by height of building</t>
  </si>
  <si>
    <t>https://hansonsilo.com/precast/structural-precast-wall-panels-buildings/#:~:text=Solid%20panels%20are%20uninsulated%20flat,beds%20within%20controlled%20factory%20conditions.</t>
  </si>
  <si>
    <t>solid panels are often interior panels, so assumme sandwich insulated panels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</si>
  <si>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</si>
  <si>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</si>
  <si>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https://oneclicklca.zendesk.com/hc/en-us/articles/360020943800-Average-Quantities-of-Reinforcement-in-Concrete</t>
  </si>
  <si>
    <t>6 lb/ft3 of reinforcement still good estimate for walls</t>
  </si>
  <si>
    <t>expanded polystyrene foam</t>
  </si>
  <si>
    <r>
      <rPr>
        <sz val="11"/>
        <color theme="1"/>
        <rFont val="Calibri"/>
        <family val="2"/>
      </rPr>
      <t>(lb/ft</t>
    </r>
    <r>
      <rPr>
        <vertAlign val="superscript"/>
        <sz val="11"/>
        <color theme="1"/>
        <rFont val="Calibri"/>
        <family val="2"/>
      </rPr>
      <t>3</t>
    </r>
    <r>
      <rPr>
        <sz val="11"/>
        <color theme="1"/>
        <rFont val="Calibri"/>
        <family val="2"/>
      </rPr>
      <t>)</t>
    </r>
  </si>
  <si>
    <t>Material category</t>
  </si>
  <si>
    <t>https://www.tiltwall.ca/what-we-do/the-tilt-up-process/</t>
  </si>
  <si>
    <t>polystyrene insulation</t>
  </si>
  <si>
    <r>
      <rPr>
        <sz val="11"/>
        <color theme="1"/>
        <rFont val="Calibri"/>
        <family val="2"/>
      </rPr>
      <t>(lb/ft</t>
    </r>
    <r>
      <rPr>
        <vertAlign val="superscript"/>
        <sz val="11"/>
        <color theme="1"/>
        <rFont val="Calibri"/>
        <family val="2"/>
      </rPr>
      <t>3</t>
    </r>
    <r>
      <rPr>
        <sz val="11"/>
        <color theme="1"/>
        <rFont val="Calibri"/>
        <family val="2"/>
      </rPr>
      <t>)</t>
    </r>
  </si>
  <si>
    <t>https://www.dupont.com/content/dam/dupont/amer/us/en/performance-building-solutions/public/documents/en/styrofoam-panel-core-20-xps-pis-43-d100943-enus.pdf</t>
  </si>
  <si>
    <t>Extruded polystyrene foam insulation density = 1.5 lb/ft3</t>
  </si>
  <si>
    <t>GLAZED DOOR</t>
  </si>
  <si>
    <r>
      <rPr>
        <b/>
        <sz val="11"/>
        <color theme="1"/>
        <rFont val="Calibri"/>
        <family val="2"/>
      </rPr>
      <t>Mass per Functional Unit (lbs/ft</t>
    </r>
    <r>
      <rPr>
        <b/>
        <vertAlign val="superscript"/>
        <sz val="11"/>
        <color theme="1"/>
        <rFont val="Calibri"/>
        <family val="2"/>
      </rPr>
      <t>2</t>
    </r>
    <r>
      <rPr>
        <b/>
        <sz val="11"/>
        <color theme="1"/>
        <rFont val="Calibri"/>
        <family val="2"/>
      </rPr>
      <t>)</t>
    </r>
  </si>
  <si>
    <t>Glazed door</t>
  </si>
  <si>
    <t>lb/door</t>
  </si>
  <si>
    <t>RDT&amp;E Facilities (laboratories)</t>
  </si>
  <si>
    <r>
      <rPr>
        <b/>
        <sz val="11"/>
        <color theme="1"/>
        <rFont val="Calibri"/>
        <family val="2"/>
      </rPr>
      <t>Mass per Functional Unit (lbs/ft</t>
    </r>
    <r>
      <rPr>
        <b/>
        <vertAlign val="superscript"/>
        <sz val="11"/>
        <color theme="1"/>
        <rFont val="Calibri"/>
        <family val="2"/>
      </rPr>
      <t>2</t>
    </r>
    <r>
      <rPr>
        <b/>
        <sz val="11"/>
        <color theme="1"/>
        <rFont val="Calibri"/>
        <family val="2"/>
      </rPr>
      <t>)</t>
    </r>
  </si>
  <si>
    <t>ROOFING TRANSITE FORMED METAL</t>
  </si>
  <si>
    <t>transite metal roof</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</si>
  <si>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</si>
  <si>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</si>
  <si>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 xml:space="preserve">https://www.satterleylaw.com/asbestos-mesothelioma/asbestos-products/asbestos-and-transite-mesothelioma-lawsuits/#:~:text=Strength%20and%20Durability:%20Asbestos%20fibers,those%20creating%20and%20using%20transite </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</si>
  <si>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</si>
  <si>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</si>
  <si>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transite had inulating properties, so assume no insulation underlayment</t>
  </si>
  <si>
    <r>
      <rPr>
        <sz val="11"/>
        <color theme="1"/>
        <rFont val="Calibri"/>
        <family val="2"/>
      </rPr>
      <t>ft</t>
    </r>
    <r>
      <rPr>
        <vertAlign val="superscript"/>
        <sz val="11"/>
        <color theme="1"/>
        <rFont val="Calibri"/>
        <family val="2"/>
      </rPr>
      <t>2</t>
    </r>
  </si>
  <si>
    <t xml:space="preserve">https://www.thermal-tec.com/transite-asbestos-4-identifiable-characteristics/#:~:text=Visible%20Asbestos%20Fibers%20on%20Transite,%22%20%2D%2010'6%22. </t>
  </si>
  <si>
    <t>most common transite panels were corrugated panels of 7/16" thick; weigh ~145 lbs/10' panel</t>
  </si>
  <si>
    <r>
      <rPr>
        <sz val="11"/>
        <color theme="1"/>
        <rFont val="Calibri"/>
        <family val="2"/>
      </rPr>
      <t>ft</t>
    </r>
    <r>
      <rPr>
        <vertAlign val="superscript"/>
        <sz val="11"/>
        <color theme="1"/>
        <rFont val="Calibri"/>
        <family val="2"/>
      </rPr>
      <t>2</t>
    </r>
  </si>
  <si>
    <t>Johns-Manville spec sheet states the transite roofing/siding sheets are approximately 4.1 lbs/ft2</t>
  </si>
  <si>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</si>
  <si>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</si>
  <si>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</si>
  <si>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</si>
  <si>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</si>
  <si>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</si>
  <si>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</si>
  <si>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</si>
  <si>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</si>
  <si>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</si>
  <si>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bays are 21.7 x 16'</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</si>
  <si>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</si>
  <si>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</si>
  <si>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concrete beam depth = span/12 = 21.7/12 -&gt; 20"</t>
  </si>
  <si>
    <r>
      <rPr>
        <sz val="11"/>
        <color theme="1"/>
        <rFont val="Calibri"/>
        <family val="2"/>
      </rPr>
      <t>(lb/ft</t>
    </r>
    <r>
      <rPr>
        <vertAlign val="superscript"/>
        <sz val="11"/>
        <color theme="1"/>
        <rFont val="Calibri"/>
        <family val="2"/>
      </rPr>
      <t>3</t>
    </r>
    <r>
      <rPr>
        <sz val="11"/>
        <color theme="1"/>
        <rFont val="Calibri"/>
        <family val="2"/>
      </rPr>
      <t>)</t>
    </r>
  </si>
  <si>
    <t>concrete beam width &gt; 0.4(d) = 8 -&gt; use 10"</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</si>
  <si>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</si>
  <si>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</si>
  <si>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</si>
  <si>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</si>
  <si>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steel deck</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</si>
  <si>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</si>
  <si>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</si>
  <si>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Specify coated steel for most floor decks and all 
roof decks. Use Z275 (G90) galvanized coating or 
galvalume ASTM A792/A792M for severe corrosive 
conditions</t>
  </si>
  <si>
    <t>1184 ft of W18x40 beams</t>
  </si>
  <si>
    <t>2x12</t>
  </si>
  <si>
    <t xml:space="preserve">https://www.engineeringtoolbox.com/american-wide-flange-steel-beams-d_1319.html </t>
  </si>
  <si>
    <t>beam weight/ft</t>
  </si>
  <si>
    <t>building is 67 ft long and 67 ft wide</t>
  </si>
  <si>
    <r>
      <rPr>
        <b/>
        <sz val="11"/>
        <color theme="1"/>
        <rFont val="Calibri"/>
        <family val="2"/>
      </rPr>
      <t>MIC (lbs/ft</t>
    </r>
    <r>
      <rPr>
        <b/>
        <vertAlign val="superscript"/>
        <sz val="11"/>
        <color theme="1"/>
        <rFont val="Calibri"/>
        <family val="2"/>
      </rPr>
      <t>2</t>
    </r>
    <r>
      <rPr>
        <b/>
        <sz val="11"/>
        <color theme="1"/>
        <rFont val="Calibri"/>
        <family val="2"/>
      </rPr>
      <t>)</t>
    </r>
  </si>
  <si>
    <t>office buiding drawings</t>
  </si>
  <si>
    <t>assume same layout: wood rafters on top of steel framing: 2x12 #1 DF rafters @ 16" cc</t>
  </si>
  <si>
    <t>1312 ft of W16x26 beams</t>
  </si>
  <si>
    <t>2x12 DF weighs 3.75 lb/ft</t>
  </si>
  <si>
    <r>
      <rPr>
        <b/>
        <sz val="11"/>
        <color theme="1"/>
        <rFont val="Calibri"/>
        <family val="2"/>
      </rPr>
      <t>MIC (lbs/ft</t>
    </r>
    <r>
      <rPr>
        <b/>
        <vertAlign val="superscript"/>
        <sz val="11"/>
        <color theme="1"/>
        <rFont val="Calibri"/>
        <family val="2"/>
      </rPr>
      <t>2</t>
    </r>
    <r>
      <rPr>
        <b/>
        <sz val="11"/>
        <color theme="1"/>
        <rFont val="Calibri"/>
        <family val="2"/>
      </rPr>
      <t>)</t>
    </r>
  </si>
  <si>
    <t>counted ~60 columns; drawings specify 6" x18 GA steel studs</t>
  </si>
  <si>
    <t>building is 36' tall -&gt; columns are 36' long</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</si>
  <si>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</si>
  <si>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</si>
  <si>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 15 felt</t>
  </si>
  <si>
    <r>
      <rPr>
        <sz val="11"/>
        <color theme="1"/>
        <rFont val="Calibri"/>
        <family val="2"/>
      </rPr>
      <t>(lb/ft</t>
    </r>
    <r>
      <rPr>
        <vertAlign val="superscript"/>
        <sz val="11"/>
        <color theme="1"/>
        <rFont val="Calibri"/>
        <family val="2"/>
      </rPr>
      <t>2</t>
    </r>
    <r>
      <rPr>
        <sz val="11"/>
        <color theme="1"/>
        <rFont val="Calibri"/>
        <family val="2"/>
      </rPr>
      <t>)</t>
    </r>
  </si>
  <si>
    <t>W18X40</t>
  </si>
  <si>
    <t>building is 68 ft long and 68 ft wide</t>
  </si>
  <si>
    <r>
      <rPr>
        <sz val="11"/>
        <color theme="1"/>
        <rFont val="Calibri"/>
        <family val="2"/>
      </rPr>
      <t>(lb/ft</t>
    </r>
    <r>
      <rPr>
        <vertAlign val="superscript"/>
        <sz val="11"/>
        <color theme="1"/>
        <rFont val="Calibri"/>
        <family val="2"/>
      </rPr>
      <t>2</t>
    </r>
    <r>
      <rPr>
        <sz val="11"/>
        <color theme="1"/>
        <rFont val="Calibri"/>
        <family val="2"/>
      </rPr>
      <t>)</t>
    </r>
  </si>
  <si>
    <t>22.7x34' bays -&gt; assume same beams as office building: W18x40 spans 34' at 22' spacing, and W16x26 spans 22' at 34' spacing, wood purlins on top</t>
  </si>
  <si>
    <t>assume girder spans 34' (1 row of columns</t>
  </si>
  <si>
    <r>
      <rPr>
        <sz val="11"/>
        <color theme="1"/>
        <rFont val="Calibri"/>
        <family val="2"/>
      </rPr>
      <t>(lb/ft</t>
    </r>
    <r>
      <rPr>
        <vertAlign val="superscript"/>
        <sz val="11"/>
        <color theme="1"/>
        <rFont val="Calibri"/>
        <family val="2"/>
      </rPr>
      <t>2</t>
    </r>
    <r>
      <rPr>
        <sz val="11"/>
        <color theme="1"/>
        <rFont val="Calibri"/>
        <family val="2"/>
      </rPr>
      <t>)</t>
    </r>
  </si>
  <si>
    <t>UFC 1-201-02</t>
  </si>
  <si>
    <t>Means of Escape: A way out of the building other than by the use of enclosed exit stairs, exterior stairs, or exterior doors.  For purposes of this document, two methods are allowed, subject to detailed evaluations: a. Means of escape consisting of an operable window sized at no less than 6 sq. ft. (0.56 sq. m.)</t>
  </si>
  <si>
    <t>W16x26</t>
  </si>
  <si>
    <r>
      <rPr>
        <sz val="11"/>
        <color theme="1"/>
        <rFont val="Calibri"/>
        <family val="2"/>
      </rPr>
      <t>(lb/ft</t>
    </r>
    <r>
      <rPr>
        <vertAlign val="superscript"/>
        <sz val="11"/>
        <color theme="1"/>
        <rFont val="Calibri"/>
        <family val="2"/>
      </rPr>
      <t>3</t>
    </r>
    <r>
      <rPr>
        <sz val="11"/>
        <color theme="1"/>
        <rFont val="Calibri"/>
        <family val="2"/>
      </rPr>
      <t>)</t>
    </r>
  </si>
  <si>
    <t>W16x26 spans 22' spaced at 34'</t>
  </si>
  <si>
    <t>W8x24</t>
  </si>
  <si>
    <t>assume W8x31 for 22' tall column</t>
  </si>
  <si>
    <t>building height is 22 -&gt; column is 22' tall</t>
  </si>
  <si>
    <r>
      <rPr>
        <sz val="11"/>
        <color theme="1"/>
        <rFont val="Calibri"/>
        <family val="2"/>
      </rPr>
      <t>(lb/ft</t>
    </r>
    <r>
      <rPr>
        <vertAlign val="superscript"/>
        <sz val="11"/>
        <color theme="1"/>
        <rFont val="Calibri"/>
        <family val="2"/>
      </rPr>
      <t>2</t>
    </r>
    <r>
      <rPr>
        <sz val="11"/>
        <color theme="1"/>
        <rFont val="Calibri"/>
        <family val="2"/>
      </rPr>
      <t>)</t>
    </r>
  </si>
  <si>
    <t>CURTAIN WALLS</t>
  </si>
  <si>
    <t>curtain wall panel (IGU)</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</si>
  <si>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</si>
  <si>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</si>
  <si>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 xml:space="preserve">UFC 4-010-01 3-11.1; chrome-extension://efaidnbmnnnibpcajpcglclefindmkaj/https://syracuseglass.com/E-DOCS/general/EDOCS/Approximate%20Weight%20of%20Architectural%20Flat%20Glass.pdf </t>
  </si>
  <si>
    <t>same assumptions as window glass</t>
  </si>
  <si>
    <r>
      <rPr>
        <b/>
        <sz val="11"/>
        <color theme="1"/>
        <rFont val="Calibri"/>
        <family val="2"/>
      </rPr>
      <t>Mass per Functional Unit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</si>
  <si>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</si>
  <si>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 xml:space="preserve">UFC 4-010-01 3-11.1; chrome-extension://efaidnbmnnnibpcajpcglclefindmkaj/https://www.westcoastglass.com/wp-content/uploads/2019/03/GIB-LD-08-0814-Weight-of-Laminated-Architectural-Glass.pdf </t>
  </si>
  <si>
    <t>same assumptions as window PVB interlayer</t>
  </si>
  <si>
    <t>RDT&amp;E (laboratory)</t>
  </si>
  <si>
    <t>mullions</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</si>
  <si>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</si>
  <si>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</si>
  <si>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</si>
  <si>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Engineering judgement</t>
  </si>
  <si>
    <t>assume dimensions 50x10, 5' on center = 10 mullions, 10' long</t>
  </si>
  <si>
    <r>
      <rPr>
        <sz val="11"/>
        <color theme="1"/>
        <rFont val="Calibri"/>
        <family val="2"/>
      </rPr>
      <t>(lb/ft</t>
    </r>
    <r>
      <rPr>
        <vertAlign val="superscript"/>
        <sz val="11"/>
        <color theme="1"/>
        <rFont val="Calibri"/>
        <family val="2"/>
      </rPr>
      <t>2</t>
    </r>
    <r>
      <rPr>
        <sz val="11"/>
        <color theme="1"/>
        <rFont val="Calibri"/>
        <family val="2"/>
      </rPr>
      <t>)</t>
    </r>
  </si>
  <si>
    <t>DOORS, GLAZED DOOR W/METAL</t>
  </si>
  <si>
    <t>glazed door w/ metal</t>
  </si>
  <si>
    <t>ROOFING BUILT UP</t>
  </si>
  <si>
    <t>BUILT-UP</t>
  </si>
  <si>
    <t>Insulation</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</si>
  <si>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</si>
  <si>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</si>
  <si>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Sliding glass door electric</t>
  </si>
  <si>
    <t>BCL 90.1 2004 nonres 3C roof metal building</t>
  </si>
  <si>
    <t>thickness assumption</t>
  </si>
  <si>
    <t>https://glassdoctor.com/expert-tips/all-about-glass-doors/sliding-glass-door-sizes-standard</t>
  </si>
  <si>
    <t>Average size sliding glass door</t>
  </si>
  <si>
    <t xml:space="preserve">Density </t>
  </si>
  <si>
    <t xml:space="preserve">GLAZED DOORS </t>
  </si>
  <si>
    <t>coverboards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</si>
  <si>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</si>
  <si>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</si>
  <si>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ALUMINUM GLAZED DOOR</t>
  </si>
  <si>
    <t>Aluminum sliding window door</t>
  </si>
  <si>
    <t>assume 1/2" thickness bc sizes are 1/4,1/2, 5/8; density</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</si>
  <si>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</si>
  <si>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</si>
  <si>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Asphalt BUR membranes</t>
  </si>
  <si>
    <r>
      <rPr>
        <sz val="11"/>
        <color theme="1"/>
        <rFont val="Calibri"/>
        <family val="2"/>
      </rPr>
      <t>(lbs/ft</t>
    </r>
    <r>
      <rPr>
        <vertAlign val="superscript"/>
        <sz val="11"/>
        <color theme="1"/>
        <rFont val="Calibri"/>
        <family val="2"/>
      </rPr>
      <t>2</t>
    </r>
    <r>
      <rPr>
        <sz val="11"/>
        <color theme="1"/>
        <rFont val="Calibri"/>
        <family val="2"/>
      </rPr>
      <t>)</t>
    </r>
  </si>
  <si>
    <t>UFC 3-110-03 2-8.1.4.2</t>
  </si>
  <si>
    <t>The most common type of BUR surfacing is aggregate embedded in a bituminous flood coat.  The thickness of 400 lb. (180 kg) gravel surfacing per square of roofing is 0.5 to 0.75 in. (12 to 18 mm).</t>
  </si>
  <si>
    <t>assume 3 ply BUR membrane</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</si>
  <si>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</si>
  <si>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</si>
  <si>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</si>
  <si>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</si>
  <si>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30# felt</t>
  </si>
  <si>
    <r>
      <rPr>
        <sz val="11"/>
        <color theme="1"/>
        <rFont val="Calibri"/>
        <family val="2"/>
      </rPr>
      <t>(lb/ft</t>
    </r>
    <r>
      <rPr>
        <vertAlign val="superscript"/>
        <sz val="11"/>
        <color theme="1"/>
        <rFont val="Calibri"/>
        <family val="2"/>
      </rPr>
      <t>2</t>
    </r>
    <r>
      <rPr>
        <sz val="11"/>
        <color theme="1"/>
        <rFont val="Calibri"/>
        <family val="2"/>
      </rPr>
      <t>)</t>
    </r>
  </si>
  <si>
    <t>columns at end of each OWSJ</t>
  </si>
  <si>
    <t>choose W8x31 for 29' length</t>
  </si>
  <si>
    <t>4x2</t>
  </si>
  <si>
    <r>
      <rPr>
        <sz val="11"/>
        <color theme="1"/>
        <rFont val="Calibri"/>
        <family val="2"/>
      </rPr>
      <t>(lb/ft</t>
    </r>
    <r>
      <rPr>
        <vertAlign val="superscript"/>
        <sz val="11"/>
        <color theme="1"/>
        <rFont val="Calibri"/>
        <family val="2"/>
      </rPr>
      <t>2</t>
    </r>
    <r>
      <rPr>
        <sz val="11"/>
        <color theme="1"/>
        <rFont val="Calibri"/>
        <family val="2"/>
      </rPr>
      <t>)</t>
    </r>
  </si>
  <si>
    <t>building is 61 ft long and 53 ft wide</t>
  </si>
  <si>
    <r>
      <rPr>
        <sz val="11"/>
        <color theme="1"/>
        <rFont val="Calibri"/>
        <family val="2"/>
      </rPr>
      <t>(lb/ft</t>
    </r>
    <r>
      <rPr>
        <vertAlign val="superscript"/>
        <sz val="11"/>
        <color theme="1"/>
        <rFont val="Calibri"/>
        <family val="2"/>
      </rPr>
      <t>2</t>
    </r>
    <r>
      <rPr>
        <sz val="11"/>
        <color theme="1"/>
        <rFont val="Calibri"/>
        <family val="2"/>
      </rPr>
      <t>)</t>
    </r>
  </si>
  <si>
    <t>28G6N12k joist girders with 28" depth with 25' span are 28 lbs/linear ft</t>
  </si>
  <si>
    <r>
      <rPr>
        <sz val="11"/>
        <color theme="1"/>
        <rFont val="Calibri"/>
        <family val="2"/>
      </rPr>
      <t>(lb/ft</t>
    </r>
    <r>
      <rPr>
        <vertAlign val="superscript"/>
        <sz val="11"/>
        <color theme="1"/>
        <rFont val="Calibri"/>
        <family val="2"/>
      </rPr>
      <t>3</t>
    </r>
    <r>
      <rPr>
        <sz val="11"/>
        <color theme="1"/>
        <rFont val="Calibri"/>
        <family val="2"/>
      </rPr>
      <t>)</t>
    </r>
  </si>
  <si>
    <t>assume girders are spaced at 30.5' and span 26.5' (1 columns to each girder)</t>
  </si>
  <si>
    <t>28k10</t>
  </si>
  <si>
    <r>
      <rPr>
        <b/>
        <sz val="11"/>
        <color theme="1"/>
        <rFont val="Calibri"/>
        <family val="2"/>
      </rPr>
      <t>MIC (lbs/ft</t>
    </r>
    <r>
      <rPr>
        <b/>
        <vertAlign val="superscript"/>
        <sz val="11"/>
        <color theme="1"/>
        <rFont val="Calibri"/>
        <family val="2"/>
      </rPr>
      <t>2</t>
    </r>
    <r>
      <rPr>
        <b/>
        <sz val="11"/>
        <color theme="1"/>
        <rFont val="Calibri"/>
        <family val="2"/>
      </rPr>
      <t>)</t>
    </r>
  </si>
  <si>
    <t>18k6 for 30' span; weighs 8.4 lb/ft</t>
  </si>
  <si>
    <t>12 joists if 4' spacing</t>
  </si>
  <si>
    <r>
      <rPr>
        <sz val="11"/>
        <color theme="1"/>
        <rFont val="Calibri"/>
        <family val="2"/>
      </rPr>
      <t>(lb/ft</t>
    </r>
    <r>
      <rPr>
        <vertAlign val="superscript"/>
        <sz val="11"/>
        <color theme="1"/>
        <rFont val="Calibri"/>
        <family val="2"/>
      </rPr>
      <t>2</t>
    </r>
    <r>
      <rPr>
        <sz val="11"/>
        <color theme="1"/>
        <rFont val="Calibri"/>
        <family val="2"/>
      </rPr>
      <t>)</t>
    </r>
  </si>
  <si>
    <t xml:space="preserve">select 12k6 for 30' span </t>
  </si>
  <si>
    <r>
      <rPr>
        <sz val="11"/>
        <color theme="1"/>
        <rFont val="Calibri"/>
        <family val="2"/>
      </rPr>
      <t>(lb/ft</t>
    </r>
    <r>
      <rPr>
        <vertAlign val="superscript"/>
        <sz val="11"/>
        <color theme="1"/>
        <rFont val="Calibri"/>
        <family val="2"/>
      </rPr>
      <t>3</t>
    </r>
    <r>
      <rPr>
        <sz val="11"/>
        <color theme="1"/>
        <rFont val="Calibri"/>
        <family val="2"/>
      </rPr>
      <t>)</t>
    </r>
  </si>
  <si>
    <t>assume curtain panel is 1 storey ~12 ft -&gt; 3 horizontal mullions</t>
  </si>
  <si>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</si>
  <si>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</si>
  <si>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</si>
  <si>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</si>
  <si>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 xml:space="preserve"> PRECAST CONCRETE WALLS (TILT UP)</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</si>
  <si>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</si>
  <si>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</si>
  <si>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</si>
  <si>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</si>
  <si>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metal siding panel</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</si>
  <si>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</si>
  <si>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</si>
  <si>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assume steel because all other metal siding in archetype when specified is steel</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</si>
  <si>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</si>
  <si>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</si>
  <si>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</si>
  <si>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</si>
  <si>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</si>
  <si>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</si>
  <si>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</si>
  <si>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</si>
  <si>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</si>
  <si>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3x4</t>
  </si>
  <si>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</si>
  <si>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</si>
  <si>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</si>
  <si>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</si>
  <si>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Religious &amp; Cultural facility</t>
  </si>
  <si>
    <r>
      <rPr>
        <b/>
        <sz val="11"/>
        <color theme="1"/>
        <rFont val="Calibri"/>
        <family val="2"/>
      </rPr>
      <t>Mass per Functional Unit (lbs/ft</t>
    </r>
    <r>
      <rPr>
        <b/>
        <vertAlign val="superscript"/>
        <sz val="11"/>
        <color theme="1"/>
        <rFont val="Calibri"/>
        <family val="2"/>
      </rPr>
      <t>2</t>
    </r>
    <r>
      <rPr>
        <b/>
        <sz val="11"/>
        <color theme="1"/>
        <rFont val="Calibri"/>
        <family val="2"/>
      </rPr>
      <t>)</t>
    </r>
  </si>
  <si>
    <t>SECURITY</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</si>
  <si>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</si>
  <si>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</si>
  <si>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</si>
  <si>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</si>
  <si>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</si>
  <si>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</si>
  <si>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</si>
  <si>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average reinforcement in concrete</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</si>
  <si>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</si>
  <si>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</si>
  <si>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</si>
  <si>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</si>
  <si>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</si>
  <si>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</si>
  <si>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</si>
  <si>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</si>
  <si>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ceiling joist w/ 22.5 ft span and 16" spacing -&gt; 2x12s</t>
  </si>
  <si>
    <r>
      <rPr>
        <b/>
        <sz val="11"/>
        <color theme="1"/>
        <rFont val="Calibri"/>
        <family val="2"/>
      </rPr>
      <t>MIC (lbs/ft</t>
    </r>
    <r>
      <rPr>
        <b/>
        <vertAlign val="superscript"/>
        <sz val="11"/>
        <color theme="1"/>
        <rFont val="Calibri"/>
        <family val="2"/>
      </rPr>
      <t>2</t>
    </r>
    <r>
      <rPr>
        <b/>
        <sz val="11"/>
        <color theme="1"/>
        <rFont val="Calibri"/>
        <family val="2"/>
      </rPr>
      <t>)</t>
    </r>
  </si>
  <si>
    <t>assume king post same height as building</t>
  </si>
  <si>
    <t>varies</t>
  </si>
  <si>
    <t>stick framing usually 2x4 or 2x6s -&gt; assume 2x6 for exterior walls spaced at same spacing as rafters</t>
  </si>
  <si>
    <t>building is 224 ft long and 140 ft wide</t>
  </si>
  <si>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</si>
  <si>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</si>
  <si>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</si>
  <si>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https://roofobservations.com/2x8-lumber-weight/</t>
  </si>
  <si>
    <t>weights of all rafters</t>
  </si>
  <si>
    <r>
      <rPr>
        <sz val="11"/>
        <color theme="1"/>
        <rFont val="Calibri"/>
        <family val="2"/>
      </rPr>
      <t>(lb/ft</t>
    </r>
    <r>
      <rPr>
        <vertAlign val="superscript"/>
        <sz val="11"/>
        <color theme="1"/>
        <rFont val="Calibri"/>
        <family val="2"/>
      </rPr>
      <t>2</t>
    </r>
    <r>
      <rPr>
        <sz val="11"/>
        <color theme="1"/>
        <rFont val="Calibri"/>
        <family val="2"/>
      </rPr>
      <t>)</t>
    </r>
  </si>
  <si>
    <t xml:space="preserve">Steeper roofs often use wider spacing between rafters because the load is distributed more efficiently; Commercial Buildings: Depending on the roof design and load requirements, commercial roofs may use wider spacing, such as 24 inches in the center. </t>
  </si>
  <si>
    <t>horizontal spans are 35',38'</t>
  </si>
  <si>
    <t>SOLID BRICK - SINGLE WYTHE</t>
  </si>
  <si>
    <t xml:space="preserve">for DFL, No.2, 17.5' span, 21' span, 15' span,  8' span, 24" o.c. Spacing, and standard live load, dead load, and deflection = 2x8, 2x12, 2x10, 2x6 DLF No.2 @ 24" o.c. Spacing </t>
  </si>
  <si>
    <t>lb/brick</t>
  </si>
  <si>
    <r>
      <rPr>
        <sz val="11"/>
        <color theme="1"/>
        <rFont val="Calibri"/>
        <family val="2"/>
      </rPr>
      <t>(lb/ft</t>
    </r>
    <r>
      <rPr>
        <vertAlign val="superscript"/>
        <sz val="11"/>
        <color theme="1"/>
        <rFont val="Calibri"/>
        <family val="2"/>
      </rPr>
      <t>2</t>
    </r>
    <r>
      <rPr>
        <sz val="11"/>
        <color theme="1"/>
        <rFont val="Calibri"/>
        <family val="2"/>
      </rPr>
      <t>)</t>
    </r>
  </si>
  <si>
    <t>BIA Technote 7</t>
  </si>
  <si>
    <t xml:space="preserve">Single-wythe masonry walls can be considered a variation of a barrier wall system. Single-wythe brick masonry construction can be designed with either solid or hollow units. In single wythe walls, the masonry wythe usually exceeds the thickness of a nominal 4 in. (102 mm) exterior brick wythe. In addition to the added thickness, grouted cells help to prevent water from penetrating to the interior of the wall system. For example, vertically reinforced and grouted brickwork often provides good water penetration resistance. </t>
  </si>
  <si>
    <t>BIA Technote 26 Single Wythe Bearing Walls</t>
  </si>
  <si>
    <t xml:space="preserve">In a single wythe brick bearing wall system, the brick masonry serves as both the structural system and the exterior facing. A wood, steel, or masonry backing system is not necessary. </t>
  </si>
  <si>
    <t>W21x83; W21x44</t>
  </si>
  <si>
    <t>32.5; 45</t>
  </si>
  <si>
    <t>83; 44</t>
  </si>
  <si>
    <t>used W18x40 for 40' span and W16x26 for 20' span -&gt; choose W18x35 for 33' span and W21x44 for 45' span</t>
  </si>
  <si>
    <t>28l12; 24k10</t>
  </si>
  <si>
    <t>50; 45</t>
  </si>
  <si>
    <t>14.5; 11.7</t>
  </si>
  <si>
    <t>assume insulation is batt between studs</t>
  </si>
  <si>
    <t>SJI load tables</t>
  </si>
  <si>
    <t>28k12 for 51' span; weighs 14.5 lb/ft;; 24k10 for 46' span, weighs 11.7 lbs/ft</t>
  </si>
  <si>
    <t>4' joist spacing</t>
  </si>
  <si>
    <t>W10x60</t>
  </si>
  <si>
    <t>AISC Steel construction manual Table 4-1a</t>
  </si>
  <si>
    <t>choose W10x60 for 36' length</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</si>
  <si>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</si>
  <si>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</si>
  <si>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</si>
  <si>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</si>
  <si>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</si>
  <si>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</si>
  <si>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counted 45 windows, measured 6x4 window size... Override iNFADS # of windows (152)</t>
  </si>
  <si>
    <t>GLAZED STOREFRONT DOOR</t>
  </si>
  <si>
    <t>glazed storefront door</t>
  </si>
  <si>
    <t>https://storefrontdoorsusa.com/commercial-storefront-doors/commercial-single-doors/standard-size-single-doors/</t>
  </si>
  <si>
    <t>commercial storefront door dimensions</t>
  </si>
  <si>
    <t>STEEL DOOR</t>
  </si>
  <si>
    <t>https://www.homedepot.com/p/Armor-Door-36-in-x-80-in-Fire-Rated-Gray-Right-Hand-Flush-Steel-Commercial-Door-with-Panic-bar-Knock-Down-FrameandHardware-VSDFRKD3680ER/307720607?source=shoppingads&amp;locale=en- US&amp;srsltid=AfmBOoqO4NQufJchdd_7NDMcLbJDeb7OMUgh0u_mgsU0YjwaNQ0pKgZVa50&amp;gQT=1</t>
  </si>
  <si>
    <t>sf</t>
  </si>
  <si>
    <t>steel commercial 36x80 door; product weight = 118 lbs/door</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</si>
  <si>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</si>
  <si>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(lbs/ft</t>
    </r>
    <r>
      <rPr>
        <vertAlign val="superscript"/>
        <sz val="11"/>
        <color theme="1"/>
        <rFont val="Calibri"/>
        <family val="2"/>
      </rPr>
      <t>2</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</si>
  <si>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</si>
  <si>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t>Ship operational building</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</si>
  <si>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</si>
  <si>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</si>
  <si>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</si>
  <si>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</si>
  <si>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</si>
  <si>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</si>
  <si>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</si>
  <si>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</si>
  <si>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</si>
  <si>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building is 240 ft long and 100 ft wide</t>
  </si>
  <si>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</si>
  <si>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</si>
  <si>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 xml:space="preserve">another building in archetype specifies steel joists and purlins </t>
  </si>
  <si>
    <t>WOOD WINDOWS</t>
  </si>
  <si>
    <t>Wood frame</t>
  </si>
  <si>
    <t>https://constructionmentor.net/open-web-steel-joists/</t>
  </si>
  <si>
    <t>joist spacing is typically 4'-10'... Assume 8</t>
  </si>
  <si>
    <t>45 joists if 8' spacing</t>
  </si>
  <si>
    <t>windows are 4.25X4.25</t>
  </si>
  <si>
    <t>WW8x24</t>
  </si>
  <si>
    <t>Ecoquery window frame production, wood, U=1.5W/m2k</t>
  </si>
  <si>
    <t>a wooden window frame with 1m2 of visible area weighs 80.2 kg -&gt; 16.4 lbs/ft2</t>
  </si>
  <si>
    <t>tributary area = 25x10'</t>
  </si>
  <si>
    <t>select W8x24 for Lc = 21 and phiPn = 14</t>
  </si>
  <si>
    <t>https://openupwindows.com/wood-vs-metal-which-is-best-for-window-frames/#:~:text=Pine%20is%20the%20most%20common%20wood%20used,wood%20framed%20window%20stronger%20and%20longer%20lasting.</t>
  </si>
  <si>
    <t>softwoods most common</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</si>
  <si>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</si>
  <si>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</si>
  <si>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</si>
  <si>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</si>
  <si>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</si>
  <si>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</si>
  <si>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</si>
  <si>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</si>
  <si>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IBC 1403.2`</t>
  </si>
  <si>
    <t>No fewer than one layer of water-resistive barrier material (no. 15 felt) shall be attached to the studs or sheathing</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</si>
  <si>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</si>
  <si>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</si>
  <si>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</si>
  <si>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</si>
  <si>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</si>
  <si>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FRP DOOR</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</si>
  <si>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</si>
  <si>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</si>
  <si>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assume doors are 10x12</t>
  </si>
  <si>
    <r>
      <rPr>
        <sz val="11"/>
        <color theme="1"/>
        <rFont val="Calibri"/>
        <family val="2"/>
      </rPr>
      <t>(lb/ft</t>
    </r>
    <r>
      <rPr>
        <vertAlign val="superscript"/>
        <sz val="11"/>
        <color theme="1"/>
        <rFont val="Calibri"/>
        <family val="2"/>
      </rPr>
      <t>3</t>
    </r>
    <r>
      <rPr>
        <sz val="11"/>
        <color theme="1"/>
        <rFont val="Calibri"/>
        <family val="2"/>
      </rPr>
      <t>)</t>
    </r>
  </si>
  <si>
    <t>windfow size calculated using sketch and calc and google earth to be 3x5'</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</si>
  <si>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</si>
  <si>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</si>
  <si>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</si>
  <si>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select 22k9 for 40' span (1 girder in center); girder spacing 4'-10'</t>
  </si>
  <si>
    <t>with a 45' span (4 columns; 180' length),6 joists @ 7.5' spacing, 36" girder depth, 18 kips ASD -&gt; joist girder weighs 58 lbs/linear ft</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</si>
  <si>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</si>
  <si>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</si>
  <si>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</si>
  <si>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</si>
  <si>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assume this layout; 6x7 columns</t>
  </si>
  <si>
    <r>
      <rPr>
        <sz val="11"/>
        <color theme="1"/>
        <rFont val="Calibri"/>
        <family val="2"/>
      </rPr>
      <t>(lb/ft</t>
    </r>
    <r>
      <rPr>
        <vertAlign val="superscript"/>
        <sz val="11"/>
        <color theme="1"/>
        <rFont val="Calibri"/>
        <family val="2"/>
      </rPr>
      <t>3</t>
    </r>
    <r>
      <rPr>
        <sz val="11"/>
        <color theme="1"/>
        <rFont val="Calibri"/>
        <family val="2"/>
      </rPr>
      <t>)</t>
    </r>
  </si>
  <si>
    <t>assume 110x100' layout</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</si>
  <si>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</si>
  <si>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</si>
  <si>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</si>
  <si>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</si>
  <si>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t>56G15N10k</t>
  </si>
  <si>
    <t>building is 720 ft long and 236 ft wide</t>
  </si>
  <si>
    <r>
      <rPr>
        <sz val="11"/>
        <color theme="1"/>
        <rFont val="Calibri"/>
        <family val="2"/>
      </rPr>
      <t>(lb/ft</t>
    </r>
    <r>
      <rPr>
        <vertAlign val="superscript"/>
        <sz val="11"/>
        <color theme="1"/>
        <rFont val="Calibri"/>
        <family val="2"/>
      </rPr>
      <t>3</t>
    </r>
    <r>
      <rPr>
        <sz val="11"/>
        <color theme="1"/>
        <rFont val="Calibri"/>
        <family val="2"/>
      </rPr>
      <t>)</t>
    </r>
  </si>
  <si>
    <t>select 56G15N10k for 60' span (3 columns) -&gt; 83 lbs/ft</t>
  </si>
  <si>
    <t>24k10</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</si>
  <si>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</si>
  <si>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</si>
  <si>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24k10 for 45' span</t>
  </si>
  <si>
    <t xml:space="preserve">24k10 weighs 11.7 lbs/ft </t>
  </si>
  <si>
    <r>
      <rPr>
        <sz val="11"/>
        <color theme="1"/>
        <rFont val="Calibri"/>
        <family val="2"/>
      </rPr>
      <t>(lb/ft</t>
    </r>
    <r>
      <rPr>
        <vertAlign val="superscript"/>
        <sz val="11"/>
        <color theme="1"/>
        <rFont val="Calibri"/>
        <family val="2"/>
      </rPr>
      <t>3</t>
    </r>
    <r>
      <rPr>
        <sz val="11"/>
        <color theme="1"/>
        <rFont val="Calibri"/>
        <family val="2"/>
      </rPr>
      <t>)</t>
    </r>
  </si>
  <si>
    <t>59 joists if 4' spacing</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</si>
  <si>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</si>
  <si>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</si>
  <si>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</si>
  <si>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</si>
  <si>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W14x68</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</si>
  <si>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</si>
  <si>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</si>
  <si>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choose W10x60 for 36' tall column</t>
  </si>
  <si>
    <r>
      <rPr>
        <sz val="11"/>
        <color theme="1"/>
        <rFont val="Calibri"/>
        <family val="2"/>
      </rPr>
      <t>(lb/ft</t>
    </r>
    <r>
      <rPr>
        <vertAlign val="superscript"/>
        <sz val="11"/>
        <color theme="1"/>
        <rFont val="Calibri"/>
        <family val="2"/>
      </rPr>
      <t>3</t>
    </r>
    <r>
      <rPr>
        <sz val="11"/>
        <color theme="1"/>
        <rFont val="Calibri"/>
        <family val="2"/>
      </rPr>
      <t>)</t>
    </r>
  </si>
  <si>
    <t>A weather resistant exterior wall envelope shall not be required over concrete or masonry walls designed in accordance with chapters 19 and 21, respectively.</t>
  </si>
  <si>
    <r>
      <rPr>
        <sz val="11"/>
        <color theme="1"/>
        <rFont val="Calibri"/>
        <family val="2"/>
      </rPr>
      <t>(lb/ft</t>
    </r>
    <r>
      <rPr>
        <vertAlign val="superscript"/>
        <sz val="11"/>
        <color theme="1"/>
        <rFont val="Calibri"/>
        <family val="2"/>
      </rPr>
      <t>3</t>
    </r>
    <r>
      <rPr>
        <sz val="11"/>
        <color theme="1"/>
        <rFont val="Calibri"/>
        <family val="2"/>
      </rPr>
      <t>)</t>
    </r>
  </si>
  <si>
    <t>CIP concrete walls derive their thermal performance characteristics primarily from the amoun tof isolation placed in the cavity or within the backup wall; most common moisture protection system is a barrier system incorporating an adequate joint seal</t>
  </si>
  <si>
    <t>bar joists</t>
  </si>
  <si>
    <t>26k12</t>
  </si>
  <si>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</si>
  <si>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</si>
  <si>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building is 137 ft long and 211 ft wide</t>
  </si>
  <si>
    <t>45G10N6k joist girders with 36" depth with 45' span are 38 lbs/linear ft</t>
  </si>
  <si>
    <r>
      <rPr>
        <sz val="11"/>
        <color theme="1"/>
        <rFont val="Calibri"/>
        <family val="2"/>
      </rPr>
      <t>(lb/ft</t>
    </r>
    <r>
      <rPr>
        <vertAlign val="superscript"/>
        <sz val="11"/>
        <color theme="1"/>
        <rFont val="Calibri"/>
        <family val="2"/>
      </rPr>
      <t>2</t>
    </r>
    <r>
      <rPr>
        <sz val="11"/>
        <color theme="1"/>
        <rFont val="Calibri"/>
        <family val="2"/>
      </rPr>
      <t>)</t>
    </r>
  </si>
  <si>
    <t>assume girders are spaced at 35' and span 45' (2 columns to each girder)</t>
  </si>
  <si>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</si>
  <si>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</si>
  <si>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multiple lengths</t>
  </si>
  <si>
    <r>
      <rPr>
        <sz val="11"/>
        <color theme="1"/>
        <rFont val="Calibri"/>
        <family val="2"/>
      </rPr>
      <t>(lb/ft</t>
    </r>
    <r>
      <rPr>
        <vertAlign val="superscript"/>
        <sz val="11"/>
        <color theme="1"/>
        <rFont val="Calibri"/>
        <family val="2"/>
      </rPr>
      <t>2</t>
    </r>
    <r>
      <rPr>
        <sz val="11"/>
        <color theme="1"/>
        <rFont val="Calibri"/>
        <family val="2"/>
      </rPr>
      <t>)</t>
    </r>
  </si>
  <si>
    <t>AISC steel construction manual table 3-3</t>
  </si>
  <si>
    <t>w/ 45' span spaced 50' apart and DL = 10 and LL = 40, required Ix = 37112 -&gt; W30x99</t>
  </si>
  <si>
    <t>calculated length of eaves and # and length of battens from google earth</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</si>
  <si>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</si>
  <si>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</si>
  <si>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</si>
  <si>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</si>
  <si>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assume the walls are CMU</t>
  </si>
  <si>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</si>
  <si>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</si>
  <si>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2022 california energy code, title 24, part 6 section 160.1</t>
  </si>
  <si>
    <t>Heavy mass walls - An 8" or greater hollow core concrete masonry unit shall have a U-factor not to exceed 0.650.</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</si>
  <si>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</si>
  <si>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</si>
  <si>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GLAZED DOORS W/ METAL</t>
  </si>
  <si>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</si>
  <si>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</si>
  <si>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</si>
  <si>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FRP DOORS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</si>
  <si>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</si>
  <si>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</si>
  <si>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</si>
  <si>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</si>
  <si>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</si>
  <si>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EXTERIOR GLAZED OPENING</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</si>
  <si>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</si>
  <si>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</si>
  <si>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</si>
  <si>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</si>
  <si>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assume curtain panel is 1 storey ~12 ft -&gt; 3 horizontal mullions and 9 vertical mullions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</si>
  <si>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</si>
  <si>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</si>
  <si>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ft</t>
    </r>
    <r>
      <rPr>
        <vertAlign val="superscript"/>
        <sz val="11"/>
        <color theme="1"/>
        <rFont val="Calibri"/>
        <family val="2"/>
      </rPr>
      <t>2</t>
    </r>
  </si>
  <si>
    <t>TUBULAR ALUMINUM FRAMING - STOREFRONT</t>
  </si>
  <si>
    <t>aluminum frame</t>
  </si>
  <si>
    <t>aluminum, 20% recycled</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</si>
  <si>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</si>
  <si>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</si>
  <si>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reinforcement in concrete members averages</t>
  </si>
  <si>
    <t>UFGS Section 08 41 13 Aluminum-framed entrances and storefronts, 2.1.1.1 Material standard</t>
  </si>
  <si>
    <t>provide door stile and rail face dimensions of the enterance doors as follows: vertical stile = 3.5", top rail = 3.5", bottom rail = 6.5"... Provide major portions of the door members at 0.125" thick</t>
  </si>
  <si>
    <t>UFGS Section 08 41 13 Aluminum-framed entrances and storefronts, 2.1.1.2 Recycled Content</t>
  </si>
  <si>
    <t>Provide aluminum framed entrances and storefronts that have a minimum of 20% recycled content</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</si>
  <si>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</si>
  <si>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</si>
  <si>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</si>
  <si>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</si>
  <si>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 xml:space="preserve">https://www.buildingenclosureonline.com/articles/85428-curtainwalls-vs-storefronts-selecting-architectural-aluminum </t>
  </si>
  <si>
    <t>Frame heights of 10 to 12 feet can be expected of most aluminum-framed storefront systems</t>
  </si>
  <si>
    <r>
      <rPr>
        <sz val="11"/>
        <color theme="1"/>
        <rFont val="Calibri"/>
        <family val="2"/>
      </rPr>
      <t>(lb/ft</t>
    </r>
    <r>
      <rPr>
        <vertAlign val="superscript"/>
        <sz val="11"/>
        <color theme="1"/>
        <rFont val="Calibri"/>
        <family val="2"/>
      </rPr>
      <t>3</t>
    </r>
    <r>
      <rPr>
        <sz val="11"/>
        <color theme="1"/>
        <rFont val="Calibri"/>
        <family val="2"/>
      </rPr>
      <t>)</t>
    </r>
  </si>
  <si>
    <t>https://constructionmentor.net/storefronts-curtainwalls-and-window-walls/</t>
  </si>
  <si>
    <t xml:space="preserve">  Storefront typically should not span more than 10′; A popular style includes 2″ x 4-1/2″ framing members with insulated glass set in the center of the plane</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</si>
  <si>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</si>
  <si>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</si>
  <si>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</si>
  <si>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</si>
  <si>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building has 3 floors, assume 50,000 = 2x25,000 floors (100x250)</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</si>
  <si>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</si>
  <si>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</si>
  <si>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</si>
  <si>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assume this layout (22.7x16.7 bays)</t>
  </si>
  <si>
    <r>
      <rPr>
        <sz val="11"/>
        <color theme="1"/>
        <rFont val="Calibri"/>
        <family val="2"/>
      </rPr>
      <t>(lb/ft</t>
    </r>
    <r>
      <rPr>
        <vertAlign val="superscript"/>
        <sz val="11"/>
        <color theme="1"/>
        <rFont val="Calibri"/>
        <family val="2"/>
      </rPr>
      <t>3</t>
    </r>
    <r>
      <rPr>
        <sz val="11"/>
        <color theme="1"/>
        <rFont val="Calibri"/>
        <family val="2"/>
      </rPr>
      <t>)</t>
    </r>
  </si>
  <si>
    <t>building is 35' tall w/ 3 stories -&gt; columns are 11.67' tall</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</si>
  <si>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</si>
  <si>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</si>
  <si>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</si>
  <si>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</si>
  <si>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</si>
  <si>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</si>
  <si>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</si>
  <si>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</si>
  <si>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building is 278 x 92</t>
  </si>
  <si>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</si>
  <si>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</si>
  <si>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t>assume this layout (25x20 bays)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</si>
  <si>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</si>
  <si>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</si>
  <si>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</si>
  <si>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</si>
  <si>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</si>
  <si>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</si>
  <si>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WOOD DOORS</t>
  </si>
  <si>
    <r>
      <rPr>
        <sz val="11"/>
        <color theme="1"/>
        <rFont val="Calibri"/>
        <family val="2"/>
      </rPr>
      <t>(lb/ft</t>
    </r>
    <r>
      <rPr>
        <vertAlign val="superscript"/>
        <sz val="11"/>
        <color theme="1"/>
        <rFont val="Calibri"/>
        <family val="2"/>
      </rPr>
      <t>2</t>
    </r>
    <r>
      <rPr>
        <sz val="11"/>
        <color theme="1"/>
        <rFont val="Calibri"/>
        <family val="2"/>
      </rPr>
      <t>)</t>
    </r>
  </si>
  <si>
    <t xml:space="preserve">https://www.porte-fenetre-dicaire.com/en/news/712/different-kinds-of-windows-for-your-apartment </t>
  </si>
  <si>
    <t>single and double hung windows are the most popular windows</t>
  </si>
  <si>
    <t xml:space="preserve">https://www.usqualityconstruction.com/blog/average-window-size/#:~:text=A%20majority%20of%20standard%20sliding,and%2014%2D96%20inches%20high. </t>
  </si>
  <si>
    <t>single and double hung windows measure about 24-28" wide x 36-17" high -&gt; average ~ 36x 54"</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</si>
  <si>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</si>
  <si>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</si>
  <si>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</si>
  <si>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</si>
  <si>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b/>
        <sz val="11"/>
        <color theme="1"/>
        <rFont val="Calibri"/>
        <family val="2"/>
      </rPr>
      <t>Mass per Functional Unit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</si>
  <si>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</si>
  <si>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Warehouse &amp; Storage</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</si>
  <si>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</si>
  <si>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</si>
  <si>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ft</t>
    </r>
    <r>
      <rPr>
        <vertAlign val="superscript"/>
        <sz val="11"/>
        <color theme="1"/>
        <rFont val="Calibri"/>
        <family val="2"/>
      </rPr>
      <t>2</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</si>
  <si>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</si>
  <si>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</si>
  <si>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</si>
  <si>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</si>
  <si>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</si>
  <si>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</si>
  <si>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90G15N12k</t>
  </si>
  <si>
    <t xml:space="preserve">https://tilt-up.org/tilt-uptoday/2021/04/27/replacing-joists-at-office-warehouse-and-distribution-buildings/ </t>
  </si>
  <si>
    <t>TYPICAL ROOF PLAN! Assume 40G10n9k joist girders</t>
  </si>
  <si>
    <t>40G10N9k joist girders with 50' span are 38 lbs/linear ft</t>
  </si>
  <si>
    <t>building is 700 ft long and 170 ft wide</t>
  </si>
  <si>
    <t>bays are 48' approximately; 15 joist girders, 170' long</t>
  </si>
  <si>
    <t>30k9 weighs 10.6 lbs/ft</t>
  </si>
  <si>
    <t>assume most joists are 30kp spaced 5.6' apart -&gt; 33 joists</t>
  </si>
  <si>
    <r>
      <rPr>
        <sz val="11"/>
        <color theme="1"/>
        <rFont val="Calibri"/>
        <family val="2"/>
      </rPr>
      <t>(lb/ft</t>
    </r>
    <r>
      <rPr>
        <vertAlign val="superscript"/>
        <sz val="11"/>
        <color theme="1"/>
        <rFont val="Calibri"/>
        <family val="2"/>
      </rPr>
      <t>2</t>
    </r>
    <r>
      <rPr>
        <sz val="11"/>
        <color theme="1"/>
        <rFont val="Calibri"/>
        <family val="2"/>
      </rPr>
      <t>)</t>
    </r>
  </si>
  <si>
    <t>columns every 56' wide and 50' long -&gt; 15 rows of 2 columns</t>
  </si>
  <si>
    <t>typical column sizes... Choose w10x54 for 1 floor building with larger bays</t>
  </si>
  <si>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</si>
  <si>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</si>
  <si>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</si>
  <si>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</si>
  <si>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t>*assume 18x20 doors from SketchandCalc and assets in same archetype</t>
  </si>
  <si>
    <t xml:space="preserve">https://www.overheaddoor.com/commercial/commercial-details/rolling-steel-service-doors-610 </t>
  </si>
  <si>
    <t>16-24 gauge thickness... Assume 20 gauge</t>
  </si>
  <si>
    <t xml:space="preserve">https://www.overheaddoorco.com/blog/different-types-of-commercial-and-industrial-overhead-doors </t>
  </si>
  <si>
    <t>most overhead doors are made from galvanized steel</t>
  </si>
  <si>
    <t>*assume no insulation</t>
  </si>
  <si>
    <t xml:space="preserve">https://www.riversidesheetmetal.net/sheet-metal/gauge-and-weight-chart/ </t>
  </si>
  <si>
    <t>weight of 20-gauge galvanized steel in lbs/ft2</t>
  </si>
  <si>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</si>
  <si>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2</t>
    </r>
    <r>
      <rPr>
        <sz val="11"/>
        <color theme="1"/>
        <rFont val="Calibri"/>
        <family val="2"/>
      </rPr>
      <t>)</t>
    </r>
  </si>
  <si>
    <r>
      <rPr>
        <sz val="11"/>
        <color theme="1"/>
        <rFont val="Calibri"/>
        <family val="2"/>
      </rPr>
      <t>(lb/ft</t>
    </r>
    <r>
      <rPr>
        <vertAlign val="superscript"/>
        <sz val="11"/>
        <color theme="1"/>
        <rFont val="Calibri"/>
        <family val="2"/>
      </rPr>
      <t>3</t>
    </r>
    <r>
      <rPr>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</si>
  <si>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</si>
  <si>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r>
      <rPr>
        <b/>
        <sz val="11"/>
        <color theme="1"/>
        <rFont val="Calibri"/>
        <family val="2"/>
      </rPr>
      <t>MIC (lbs/ft</t>
    </r>
    <r>
      <rPr>
        <b/>
        <vertAlign val="superscript"/>
        <sz val="11"/>
        <color theme="1"/>
        <rFont val="Calibri"/>
        <family val="2"/>
      </rPr>
      <t>2</t>
    </r>
    <r>
      <rPr>
        <b/>
        <sz val="11"/>
        <color theme="1"/>
        <rFont val="Calibri"/>
        <family val="2"/>
      </rPr>
      <t>)</t>
    </r>
  </si>
  <si>
    <t>Cast-in-place concrete</t>
  </si>
  <si>
    <t>Oriented strand board</t>
  </si>
  <si>
    <t>Softwood</t>
  </si>
  <si>
    <t>Plywood</t>
  </si>
  <si>
    <t>Cold-formed, galvanized steel</t>
  </si>
  <si>
    <t>Hot-rolled, structural steel</t>
  </si>
  <si>
    <t>Cold-formed, structural steel</t>
  </si>
  <si>
    <t>Polyisocyanurate foam board</t>
  </si>
  <si>
    <t>Glass mat gypsum board</t>
  </si>
  <si>
    <t>Aluminum, 20% recycled content</t>
  </si>
  <si>
    <t>Transite</t>
  </si>
  <si>
    <t>Thermoplastic olefin</t>
  </si>
  <si>
    <t>Polyvinyl butyral interlayer film</t>
  </si>
  <si>
    <t>Solid modular brick</t>
  </si>
  <si>
    <t>Asphalt built-up roof membrane</t>
  </si>
  <si>
    <t>Granulated modified bitumen cap sheet</t>
  </si>
  <si>
    <t>Wood cladding (softwood)</t>
  </si>
  <si>
    <t>Clay tiles</t>
  </si>
  <si>
    <t>Modified bitumen membrane</t>
  </si>
  <si>
    <t>Carbon steel (rebar)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</si>
</sst>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
    <numFmt numFmtId="165" formatCode="0.0000"/>
    <numFmt numFmtId="166" formatCode="_(* #,##0.0000_);_(* \(#,##0.0000\);_(* &quot;-&quot;??_);_(@_)"/>
    <numFmt numFmtId="167" formatCode="_(* #,##0.000_);_(* \(#,##0.000\);_(* &quot;-&quot;??_);_(@_)"/>
    <numFmt numFmtId="168" formatCode="_(* #,##0_);_(* \(#,##0\);_(* &quot;-&quot;??_);_(@_)"/>
    <numFmt numFmtId="169" formatCode="0.0"/>
    <numFmt numFmtId="170" formatCode="_(* #,##0.0_);_(* \(#,##0.0\);_(* &quot;-&quot;??_);_(@_)"/>
  </numFmts>
  <fonts count="15" x14ac:knownFonts="1">
    <font>
      <sz val="11"/>
      <color theme="1"/>
      <name val="Calibri"/>
      <scheme val="minor"/>
    </font>
    <font>
      <b/>
      <sz val="11"/>
      <color theme="1"/>
      <name val="Calibri"/>
      <family val="2"/>
    </font>
    <font>
      <sz val="11"/>
      <name val="Calibri"/>
      <family val="2"/>
    </font>
    <font>
      <sz val="11"/>
      <color theme="1"/>
      <name val="Calibri"/>
      <family val="2"/>
    </font>
    <font>
      <u/>
      <sz val="11"/>
      <color theme="10"/>
      <name val="Calibri"/>
      <family val="2"/>
    </font>
    <font>
      <sz val="11"/>
      <color theme="1"/>
      <name val="Calibri"/>
      <family val="2"/>
      <scheme val="minor"/>
    </font>
    <font>
      <sz val="11"/>
      <color theme="1"/>
      <name val="Courier New"/>
      <family val="1"/>
    </font>
    <font>
      <sz val="11"/>
      <color theme="9"/>
      <name val="Calibri"/>
      <family val="2"/>
    </font>
    <font>
      <u/>
      <sz val="11"/>
      <color theme="10"/>
      <name val="Calibri"/>
      <family val="2"/>
    </font>
    <font>
      <u/>
      <sz val="11"/>
      <color theme="10"/>
      <name val="Calibri"/>
      <family val="2"/>
    </font>
    <font>
      <sz val="11"/>
      <color rgb="FFFF0000"/>
      <name val="Calibri"/>
      <family val="2"/>
    </font>
    <font>
      <u/>
      <sz val="11"/>
      <color theme="10"/>
      <name val="Calibri"/>
      <family val="2"/>
    </font>
    <font>
      <b/>
      <vertAlign val="superscript"/>
      <sz val="11"/>
      <color theme="1"/>
      <name val="Calibri"/>
      <family val="2"/>
    </font>
    <font>
      <vertAlign val="superscript"/>
      <sz val="11"/>
      <color theme="1"/>
      <name val="Calibri"/>
      <family val="2"/>
    </font>
    <font>
      <sz val="11"/>
      <color theme="1"/>
      <name val="Calibri"/>
      <family val="2"/>
    </font>
  </fonts>
  <fills count="9">
    <fill>
      <patternFill patternType="none"/>
    </fill>
    <fill>
      <patternFill patternType="gray125"/>
    </fill>
    <fill>
      <patternFill patternType="solid">
        <fgColor rgb="FFE2EFD9"/>
        <bgColor rgb="FFE2EFD9"/>
      </patternFill>
    </fill>
    <fill>
      <patternFill patternType="solid">
        <fgColor rgb="FFB8EAAC"/>
        <bgColor rgb="FFB8EAAC"/>
      </patternFill>
    </fill>
    <fill>
      <patternFill patternType="solid">
        <fgColor rgb="FF00B050"/>
        <bgColor rgb="FF00B050"/>
      </patternFill>
    </fill>
    <fill>
      <patternFill patternType="solid">
        <fgColor rgb="FFFFC081"/>
        <bgColor rgb="FFFFC081"/>
      </patternFill>
    </fill>
    <fill>
      <patternFill patternType="solid">
        <fgColor rgb="FFFFFF99"/>
        <bgColor rgb="FFFFFF99"/>
      </patternFill>
    </fill>
    <fill>
      <patternFill patternType="solid">
        <fgColor rgb="FFFF5D5D"/>
        <bgColor rgb="FFFF5D5D"/>
      </patternFill>
    </fill>
    <fill>
      <patternFill patternType="solid">
        <fgColor theme="0"/>
        <bgColor theme="0"/>
      </patternFill>
    </fill>
  </fills>
  <borders count="42">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s>
  <cellStyleXfs count="1">
    <xf numFmtId="0" fontId="0" fillId="0" borderId="0"/>
  </cellStyleXfs>
  <cellXfs count="241">
    <xf numFmtId="0" fontId="0" fillId="0" borderId="0" xfId="0"/>
    <xf numFmtId="0" fontId="3" fillId="0" borderId="5" xfId="0" applyFont="1" applyBorder="1"/>
    <xf numFmtId="0" fontId="3" fillId="0" borderId="6" xfId="0" applyFont="1" applyBorder="1"/>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xf numFmtId="2" fontId="3" fillId="0" borderId="8" xfId="0" applyNumberFormat="1" applyFont="1" applyBorder="1" applyAlignment="1">
      <alignment horizontal="right"/>
    </xf>
    <xf numFmtId="164" fontId="3" fillId="0" borderId="8" xfId="0" applyNumberFormat="1" applyFont="1" applyBorder="1" applyAlignment="1">
      <alignment horizontal="right"/>
    </xf>
    <xf numFmtId="2" fontId="3" fillId="0" borderId="9" xfId="0" applyNumberFormat="1" applyFont="1" applyBorder="1" applyAlignment="1">
      <alignment horizontal="right"/>
    </xf>
    <xf numFmtId="2" fontId="3" fillId="0" borderId="8" xfId="0" applyNumberFormat="1" applyFont="1" applyBorder="1" applyAlignment="1">
      <alignment horizontal="right" vertical="center"/>
    </xf>
    <xf numFmtId="0" fontId="3" fillId="0" borderId="11" xfId="0" applyFont="1" applyBorder="1"/>
    <xf numFmtId="2" fontId="3" fillId="0" borderId="12" xfId="0" applyNumberFormat="1" applyFont="1" applyBorder="1" applyAlignment="1">
      <alignment horizontal="right"/>
    </xf>
    <xf numFmtId="164" fontId="3" fillId="0" borderId="12" xfId="0" applyNumberFormat="1" applyFont="1" applyBorder="1" applyAlignment="1">
      <alignment horizontal="right"/>
    </xf>
    <xf numFmtId="2" fontId="3" fillId="0" borderId="13" xfId="0" applyNumberFormat="1" applyFont="1" applyBorder="1" applyAlignment="1">
      <alignment horizontal="right"/>
    </xf>
    <xf numFmtId="0" fontId="3" fillId="0" borderId="8" xfId="0" applyFont="1" applyBorder="1"/>
    <xf numFmtId="0" fontId="3" fillId="2" borderId="8" xfId="0" applyFont="1" applyFill="1" applyBorder="1" applyAlignment="1">
      <alignment vertical="center"/>
    </xf>
    <xf numFmtId="0" fontId="3" fillId="0" borderId="9" xfId="0" applyFont="1" applyBorder="1"/>
    <xf numFmtId="0" fontId="3" fillId="2" borderId="8" xfId="0" applyFont="1" applyFill="1" applyBorder="1" applyAlignment="1">
      <alignment vertical="center" wrapText="1"/>
    </xf>
    <xf numFmtId="164" fontId="3" fillId="0" borderId="9" xfId="0" applyNumberFormat="1" applyFont="1" applyBorder="1" applyAlignment="1">
      <alignment horizontal="right"/>
    </xf>
    <xf numFmtId="165" fontId="3" fillId="0" borderId="8" xfId="0" applyNumberFormat="1" applyFont="1" applyBorder="1"/>
    <xf numFmtId="10" fontId="3" fillId="0" borderId="8" xfId="0" applyNumberFormat="1" applyFont="1" applyBorder="1"/>
    <xf numFmtId="166" fontId="3" fillId="0" borderId="8" xfId="0" applyNumberFormat="1" applyFont="1" applyBorder="1"/>
    <xf numFmtId="2" fontId="3" fillId="0" borderId="0" xfId="0" applyNumberFormat="1" applyFont="1"/>
    <xf numFmtId="10" fontId="3" fillId="0" borderId="0" xfId="0" applyNumberFormat="1" applyFont="1"/>
    <xf numFmtId="164" fontId="3" fillId="0" borderId="13" xfId="0" applyNumberFormat="1" applyFont="1" applyBorder="1" applyAlignment="1">
      <alignment horizontal="right"/>
    </xf>
    <xf numFmtId="167" fontId="3" fillId="0" borderId="8" xfId="0" applyNumberFormat="1" applyFont="1" applyBorder="1"/>
    <xf numFmtId="164" fontId="3" fillId="0" borderId="8" xfId="0" applyNumberFormat="1" applyFont="1" applyBorder="1"/>
    <xf numFmtId="0" fontId="3" fillId="2" borderId="8" xfId="0" applyFont="1" applyFill="1" applyBorder="1" applyAlignment="1">
      <alignment horizontal="center" vertical="center"/>
    </xf>
    <xf numFmtId="0" fontId="1" fillId="0" borderId="8" xfId="0" applyFont="1" applyBorder="1" applyAlignment="1">
      <alignment wrapText="1"/>
    </xf>
    <xf numFmtId="0" fontId="1" fillId="0" borderId="17" xfId="0" applyFont="1" applyBorder="1" applyAlignment="1">
      <alignment wrapText="1"/>
    </xf>
    <xf numFmtId="0" fontId="1" fillId="0" borderId="8" xfId="0" applyFont="1" applyBorder="1"/>
    <xf numFmtId="0" fontId="1" fillId="0" borderId="15" xfId="0" applyFont="1" applyBorder="1" applyAlignment="1">
      <alignment wrapText="1"/>
    </xf>
    <xf numFmtId="0" fontId="1" fillId="0" borderId="18" xfId="0" applyFont="1" applyBorder="1" applyAlignment="1">
      <alignment wrapText="1"/>
    </xf>
    <xf numFmtId="0" fontId="1" fillId="0" borderId="0" xfId="0" applyFont="1" applyAlignment="1">
      <alignment wrapText="1"/>
    </xf>
    <xf numFmtId="0" fontId="3" fillId="0" borderId="19" xfId="0" applyFont="1" applyBorder="1" applyAlignment="1">
      <alignment horizontal="left" vertical="center"/>
    </xf>
    <xf numFmtId="0" fontId="3" fillId="0" borderId="19" xfId="0" applyFont="1" applyBorder="1" applyAlignment="1">
      <alignment horizontal="right" vertical="center"/>
    </xf>
    <xf numFmtId="165" fontId="3" fillId="0" borderId="19" xfId="0" applyNumberFormat="1" applyFont="1" applyBorder="1" applyAlignment="1">
      <alignment horizontal="right" vertical="center"/>
    </xf>
    <xf numFmtId="1" fontId="3" fillId="0" borderId="19" xfId="0" applyNumberFormat="1" applyFont="1" applyBorder="1" applyAlignment="1">
      <alignment horizontal="center" vertical="center"/>
    </xf>
    <xf numFmtId="168" fontId="3" fillId="0" borderId="8" xfId="0" applyNumberFormat="1" applyFont="1" applyBorder="1"/>
    <xf numFmtId="1" fontId="3" fillId="0" borderId="8" xfId="0" applyNumberFormat="1" applyFont="1" applyBorder="1" applyAlignment="1">
      <alignment horizontal="center"/>
    </xf>
    <xf numFmtId="0" fontId="4" fillId="0" borderId="8" xfId="0" applyFont="1" applyBorder="1"/>
    <xf numFmtId="0" fontId="3" fillId="0" borderId="8" xfId="0" applyFont="1" applyBorder="1" applyAlignment="1">
      <alignment vertical="center"/>
    </xf>
    <xf numFmtId="0" fontId="1" fillId="0" borderId="0" xfId="0" applyFont="1"/>
    <xf numFmtId="9" fontId="3" fillId="0" borderId="0" xfId="0" applyNumberFormat="1" applyFont="1"/>
    <xf numFmtId="0" fontId="5" fillId="0" borderId="0" xfId="0" applyFont="1"/>
    <xf numFmtId="10" fontId="3" fillId="0" borderId="0" xfId="0" applyNumberFormat="1" applyFont="1" applyAlignment="1">
      <alignment horizontal="center"/>
    </xf>
    <xf numFmtId="0" fontId="6" fillId="0" borderId="0" xfId="0" applyFont="1"/>
    <xf numFmtId="168" fontId="3" fillId="0" borderId="19" xfId="0" applyNumberFormat="1" applyFont="1" applyBorder="1" applyAlignment="1">
      <alignment horizontal="right" vertical="center"/>
    </xf>
    <xf numFmtId="1" fontId="3" fillId="3" borderId="8" xfId="0" applyNumberFormat="1" applyFont="1" applyFill="1" applyBorder="1" applyAlignment="1">
      <alignment horizontal="center"/>
    </xf>
    <xf numFmtId="1" fontId="3" fillId="4" borderId="8" xfId="0" applyNumberFormat="1" applyFont="1" applyFill="1" applyBorder="1" applyAlignment="1">
      <alignment horizontal="center"/>
    </xf>
    <xf numFmtId="0" fontId="3" fillId="0" borderId="8" xfId="0" applyFont="1" applyBorder="1" applyAlignment="1">
      <alignment horizontal="left" vertical="center"/>
    </xf>
    <xf numFmtId="165" fontId="3" fillId="0" borderId="8" xfId="0" applyNumberFormat="1" applyFont="1" applyBorder="1" applyAlignment="1">
      <alignment horizontal="right" vertical="center"/>
    </xf>
    <xf numFmtId="1" fontId="3" fillId="0" borderId="19" xfId="0" applyNumberFormat="1" applyFont="1" applyBorder="1" applyAlignment="1">
      <alignment horizontal="right" vertical="center"/>
    </xf>
    <xf numFmtId="0" fontId="3" fillId="0" borderId="8" xfId="0" applyFont="1" applyBorder="1" applyAlignment="1">
      <alignment horizontal="right" vertical="center"/>
    </xf>
    <xf numFmtId="168" fontId="3" fillId="0" borderId="8" xfId="0" applyNumberFormat="1" applyFont="1" applyBorder="1" applyAlignment="1">
      <alignment horizontal="right" vertical="center"/>
    </xf>
    <xf numFmtId="168" fontId="3" fillId="0" borderId="19" xfId="0" applyNumberFormat="1" applyFont="1" applyBorder="1" applyAlignment="1">
      <alignment horizontal="left" vertical="center"/>
    </xf>
    <xf numFmtId="1" fontId="3" fillId="5" borderId="22" xfId="0" applyNumberFormat="1" applyFont="1" applyFill="1" applyBorder="1" applyAlignment="1">
      <alignment horizontal="center" vertical="center"/>
    </xf>
    <xf numFmtId="166" fontId="3" fillId="0" borderId="8" xfId="0" applyNumberFormat="1" applyFont="1" applyBorder="1" applyAlignment="1">
      <alignment horizontal="right" vertical="center"/>
    </xf>
    <xf numFmtId="1" fontId="3" fillId="0" borderId="8" xfId="0" applyNumberFormat="1" applyFont="1" applyBorder="1" applyAlignment="1">
      <alignment horizontal="center" vertical="center"/>
    </xf>
    <xf numFmtId="1" fontId="3" fillId="0" borderId="8" xfId="0" applyNumberFormat="1" applyFont="1" applyBorder="1" applyAlignment="1">
      <alignment horizontal="right" vertical="center"/>
    </xf>
    <xf numFmtId="0" fontId="3" fillId="0" borderId="17" xfId="0" applyFont="1" applyBorder="1" applyAlignment="1">
      <alignment vertical="top" wrapText="1"/>
    </xf>
    <xf numFmtId="0" fontId="3" fillId="0" borderId="8" xfId="0" applyFont="1" applyBorder="1" applyAlignment="1">
      <alignment vertical="top" wrapText="1"/>
    </xf>
    <xf numFmtId="1" fontId="3" fillId="5" borderId="8" xfId="0" applyNumberFormat="1" applyFont="1" applyFill="1" applyBorder="1" applyAlignment="1">
      <alignment horizontal="center" vertical="center"/>
    </xf>
    <xf numFmtId="0" fontId="3" fillId="0" borderId="0" xfId="0" applyFont="1" applyAlignment="1">
      <alignment vertical="top" wrapText="1"/>
    </xf>
    <xf numFmtId="165" fontId="5" fillId="0" borderId="0" xfId="0" applyNumberFormat="1" applyFont="1"/>
    <xf numFmtId="166" fontId="5" fillId="0" borderId="0" xfId="0" applyNumberFormat="1" applyFont="1"/>
    <xf numFmtId="164" fontId="5" fillId="0" borderId="0" xfId="0" applyNumberFormat="1" applyFont="1"/>
    <xf numFmtId="168" fontId="7" fillId="0" borderId="8" xfId="0" applyNumberFormat="1" applyFont="1" applyBorder="1" applyAlignment="1">
      <alignment horizontal="right" vertical="center"/>
    </xf>
    <xf numFmtId="0" fontId="3" fillId="2" borderId="8" xfId="0" applyFont="1" applyFill="1" applyBorder="1" applyAlignment="1">
      <alignment horizontal="left" vertical="center" wrapText="1"/>
    </xf>
    <xf numFmtId="0" fontId="3" fillId="2" borderId="8" xfId="0" applyFont="1" applyFill="1" applyBorder="1" applyAlignment="1">
      <alignment horizontal="left" vertical="center"/>
    </xf>
    <xf numFmtId="0" fontId="3" fillId="2" borderId="8" xfId="0" applyFont="1" applyFill="1" applyBorder="1" applyAlignment="1">
      <alignment horizontal="right" vertical="center"/>
    </xf>
    <xf numFmtId="1" fontId="3" fillId="3" borderId="8" xfId="0" applyNumberFormat="1" applyFont="1" applyFill="1" applyBorder="1" applyAlignment="1">
      <alignment horizontal="center" vertical="center"/>
    </xf>
    <xf numFmtId="168" fontId="3" fillId="0" borderId="8" xfId="0" applyNumberFormat="1" applyFont="1" applyBorder="1" applyAlignment="1">
      <alignment horizontal="left" vertical="center"/>
    </xf>
    <xf numFmtId="43" fontId="3" fillId="0" borderId="8" xfId="0" applyNumberFormat="1" applyFont="1" applyBorder="1" applyAlignment="1">
      <alignment horizontal="left" vertical="center"/>
    </xf>
    <xf numFmtId="0" fontId="3" fillId="0" borderId="23" xfId="0" applyFont="1" applyBorder="1" applyAlignment="1">
      <alignment horizontal="left" vertical="center"/>
    </xf>
    <xf numFmtId="168" fontId="3" fillId="0" borderId="0" xfId="0" applyNumberFormat="1" applyFont="1" applyAlignment="1">
      <alignment horizontal="left" vertical="center"/>
    </xf>
    <xf numFmtId="0" fontId="3" fillId="0" borderId="24" xfId="0" applyFont="1" applyBorder="1" applyAlignment="1">
      <alignment horizontal="left" vertical="center"/>
    </xf>
    <xf numFmtId="0" fontId="1" fillId="0" borderId="21" xfId="0" applyFont="1" applyBorder="1" applyAlignment="1">
      <alignment horizontal="left" vertical="center"/>
    </xf>
    <xf numFmtId="0" fontId="3" fillId="0" borderId="17" xfId="0" applyFont="1" applyBorder="1"/>
    <xf numFmtId="0" fontId="3" fillId="0" borderId="0" xfId="0" applyFont="1" applyAlignment="1">
      <alignment horizontal="left" vertical="center"/>
    </xf>
    <xf numFmtId="0" fontId="1" fillId="0" borderId="19" xfId="0" applyFont="1" applyBorder="1" applyAlignment="1">
      <alignment wrapText="1"/>
    </xf>
    <xf numFmtId="0" fontId="1" fillId="0" borderId="25" xfId="0" applyFont="1" applyBorder="1" applyAlignment="1">
      <alignment wrapText="1"/>
    </xf>
    <xf numFmtId="0" fontId="1" fillId="0" borderId="19" xfId="0" applyFont="1" applyBorder="1"/>
    <xf numFmtId="0" fontId="1" fillId="0" borderId="26" xfId="0" applyFont="1" applyBorder="1" applyAlignment="1">
      <alignment wrapText="1"/>
    </xf>
    <xf numFmtId="0" fontId="3" fillId="0" borderId="0" xfId="0" applyFont="1" applyAlignment="1">
      <alignment wrapText="1"/>
    </xf>
    <xf numFmtId="0" fontId="3" fillId="0" borderId="8" xfId="0" applyFont="1" applyBorder="1" applyAlignment="1">
      <alignment wrapText="1"/>
    </xf>
    <xf numFmtId="0" fontId="8" fillId="0" borderId="0" xfId="0" applyFont="1"/>
    <xf numFmtId="1" fontId="3" fillId="4" borderId="22" xfId="0" applyNumberFormat="1" applyFont="1" applyFill="1" applyBorder="1" applyAlignment="1">
      <alignment horizontal="center" vertical="center"/>
    </xf>
    <xf numFmtId="1" fontId="3" fillId="4" borderId="28" xfId="0" applyNumberFormat="1" applyFont="1" applyFill="1" applyBorder="1" applyAlignment="1">
      <alignment horizontal="center"/>
    </xf>
    <xf numFmtId="164" fontId="3" fillId="0" borderId="8" xfId="0" applyNumberFormat="1" applyFont="1" applyBorder="1" applyAlignment="1">
      <alignment vertical="center"/>
    </xf>
    <xf numFmtId="0" fontId="3" fillId="0" borderId="19" xfId="0" applyFont="1" applyBorder="1" applyAlignment="1">
      <alignment horizontal="left" vertical="center" wrapText="1"/>
    </xf>
    <xf numFmtId="165" fontId="3" fillId="0" borderId="8" xfId="0" applyNumberFormat="1" applyFont="1" applyBorder="1" applyAlignment="1">
      <alignment vertical="center"/>
    </xf>
    <xf numFmtId="0" fontId="3" fillId="0" borderId="8" xfId="0" applyFont="1" applyBorder="1" applyAlignment="1">
      <alignment horizontal="left" vertical="center" wrapText="1"/>
    </xf>
    <xf numFmtId="0" fontId="1" fillId="0" borderId="8" xfId="0" applyFont="1" applyBorder="1" applyAlignment="1">
      <alignment horizontal="left" vertical="center"/>
    </xf>
    <xf numFmtId="0" fontId="3" fillId="2" borderId="22" xfId="0" applyFont="1" applyFill="1" applyBorder="1" applyAlignment="1">
      <alignment horizontal="left" vertical="center"/>
    </xf>
    <xf numFmtId="0" fontId="3" fillId="2" borderId="22" xfId="0" applyFont="1" applyFill="1" applyBorder="1" applyAlignment="1">
      <alignment horizontal="right" vertical="center"/>
    </xf>
    <xf numFmtId="168" fontId="3" fillId="0" borderId="8" xfId="0" applyNumberFormat="1" applyFont="1" applyBorder="1" applyAlignment="1">
      <alignment vertical="center"/>
    </xf>
    <xf numFmtId="0" fontId="3" fillId="0" borderId="0" xfId="0" applyFont="1"/>
    <xf numFmtId="167" fontId="3" fillId="0" borderId="8" xfId="0" applyNumberFormat="1" applyFont="1" applyBorder="1" applyAlignment="1">
      <alignment horizontal="left" vertical="center"/>
    </xf>
    <xf numFmtId="167" fontId="3" fillId="0" borderId="0" xfId="0" applyNumberFormat="1" applyFont="1"/>
    <xf numFmtId="165" fontId="3" fillId="0" borderId="8" xfId="0" applyNumberFormat="1" applyFont="1" applyBorder="1" applyAlignment="1">
      <alignment horizontal="right"/>
    </xf>
    <xf numFmtId="0" fontId="3" fillId="0" borderId="8" xfId="0" applyFont="1" applyBorder="1" applyAlignment="1">
      <alignment horizontal="left"/>
    </xf>
    <xf numFmtId="1" fontId="3" fillId="7" borderId="8" xfId="0" applyNumberFormat="1" applyFont="1" applyFill="1" applyBorder="1" applyAlignment="1">
      <alignment horizontal="center" vertical="center"/>
    </xf>
    <xf numFmtId="164" fontId="3" fillId="0" borderId="19" xfId="0" applyNumberFormat="1" applyFont="1" applyBorder="1" applyAlignment="1">
      <alignment horizontal="right" vertical="center"/>
    </xf>
    <xf numFmtId="165" fontId="3" fillId="0" borderId="25" xfId="0" applyNumberFormat="1" applyFont="1" applyBorder="1" applyAlignment="1">
      <alignment horizontal="right" vertical="center"/>
    </xf>
    <xf numFmtId="0" fontId="3" fillId="0" borderId="19" xfId="0" applyFont="1" applyBorder="1"/>
    <xf numFmtId="0" fontId="3" fillId="0" borderId="19" xfId="0" applyFont="1" applyBorder="1" applyAlignment="1">
      <alignment vertical="top" wrapText="1"/>
    </xf>
    <xf numFmtId="168" fontId="3" fillId="0" borderId="15" xfId="0" applyNumberFormat="1" applyFont="1" applyBorder="1"/>
    <xf numFmtId="165" fontId="3" fillId="0" borderId="17" xfId="0" applyNumberFormat="1" applyFont="1" applyBorder="1"/>
    <xf numFmtId="168" fontId="3" fillId="0" borderId="26" xfId="0" applyNumberFormat="1" applyFont="1" applyBorder="1" applyAlignment="1">
      <alignment horizontal="right" vertical="center"/>
    </xf>
    <xf numFmtId="1" fontId="3" fillId="0" borderId="8" xfId="0" applyNumberFormat="1" applyFont="1" applyBorder="1"/>
    <xf numFmtId="43" fontId="3" fillId="0" borderId="0" xfId="0" applyNumberFormat="1" applyFont="1" applyAlignment="1">
      <alignment horizontal="left" vertical="center"/>
    </xf>
    <xf numFmtId="0" fontId="1" fillId="0" borderId="21" xfId="0" applyFont="1" applyBorder="1"/>
    <xf numFmtId="168" fontId="3" fillId="0" borderId="15" xfId="0" applyNumberFormat="1" applyFont="1" applyBorder="1" applyAlignment="1">
      <alignment horizontal="right" vertical="center"/>
    </xf>
    <xf numFmtId="165" fontId="3" fillId="0" borderId="17" xfId="0" applyNumberFormat="1" applyFont="1" applyBorder="1" applyAlignment="1">
      <alignment horizontal="right" vertical="center"/>
    </xf>
    <xf numFmtId="0" fontId="10" fillId="0" borderId="8" xfId="0" applyFont="1" applyBorder="1"/>
    <xf numFmtId="166" fontId="3" fillId="0" borderId="8" xfId="0" applyNumberFormat="1" applyFont="1" applyBorder="1" applyAlignment="1">
      <alignment vertical="center"/>
    </xf>
    <xf numFmtId="0" fontId="3" fillId="0" borderId="8" xfId="0" quotePrefix="1" applyFont="1" applyBorder="1"/>
    <xf numFmtId="0" fontId="3" fillId="0" borderId="20" xfId="0" applyFont="1" applyBorder="1" applyAlignment="1">
      <alignment horizontal="left" vertical="center"/>
    </xf>
    <xf numFmtId="0" fontId="3" fillId="0" borderId="20" xfId="0" applyFont="1" applyBorder="1" applyAlignment="1">
      <alignment horizontal="right" vertical="center"/>
    </xf>
    <xf numFmtId="165" fontId="3" fillId="0" borderId="21" xfId="0" applyNumberFormat="1" applyFont="1" applyBorder="1" applyAlignment="1">
      <alignment horizontal="right" vertical="center"/>
    </xf>
    <xf numFmtId="166" fontId="3" fillId="0" borderId="17" xfId="0" applyNumberFormat="1" applyFont="1" applyBorder="1" applyAlignment="1">
      <alignment horizontal="right" vertical="center"/>
    </xf>
    <xf numFmtId="1" fontId="3" fillId="0" borderId="20" xfId="0" applyNumberFormat="1" applyFont="1" applyBorder="1" applyAlignment="1">
      <alignment horizontal="center" vertical="center"/>
    </xf>
    <xf numFmtId="0" fontId="3" fillId="0" borderId="21" xfId="0" applyFont="1" applyBorder="1" applyAlignment="1">
      <alignment horizontal="left" vertical="center"/>
    </xf>
    <xf numFmtId="0" fontId="3" fillId="0" borderId="21" xfId="0" applyFont="1" applyBorder="1" applyAlignment="1">
      <alignment horizontal="right" vertical="center"/>
    </xf>
    <xf numFmtId="1" fontId="3" fillId="0" borderId="21" xfId="0" applyNumberFormat="1" applyFont="1" applyBorder="1" applyAlignment="1">
      <alignment horizontal="right" vertical="center"/>
    </xf>
    <xf numFmtId="0" fontId="3" fillId="2" borderId="35" xfId="0" applyFont="1" applyFill="1" applyBorder="1" applyAlignment="1">
      <alignment horizontal="left" vertical="center" wrapText="1"/>
    </xf>
    <xf numFmtId="0" fontId="3" fillId="2" borderId="22" xfId="0" applyFont="1" applyFill="1" applyBorder="1" applyAlignment="1">
      <alignment horizontal="left" vertical="center" wrapText="1"/>
    </xf>
    <xf numFmtId="168" fontId="3" fillId="0" borderId="21" xfId="0" applyNumberFormat="1" applyFont="1" applyBorder="1" applyAlignment="1">
      <alignment horizontal="right" vertical="center"/>
    </xf>
    <xf numFmtId="1" fontId="3" fillId="5" borderId="28" xfId="0" applyNumberFormat="1" applyFont="1" applyFill="1" applyBorder="1" applyAlignment="1">
      <alignment horizontal="center" vertical="center"/>
    </xf>
    <xf numFmtId="0" fontId="3" fillId="2" borderId="36" xfId="0" applyFont="1" applyFill="1" applyBorder="1" applyAlignment="1">
      <alignment horizontal="left" vertical="center" wrapText="1"/>
    </xf>
    <xf numFmtId="168" fontId="3" fillId="0" borderId="15" xfId="0" applyNumberFormat="1" applyFont="1" applyBorder="1" applyAlignment="1">
      <alignment horizontal="left" vertical="center"/>
    </xf>
    <xf numFmtId="0" fontId="3" fillId="0" borderId="8" xfId="0" applyFont="1" applyBorder="1" applyAlignment="1">
      <alignment horizontal="left" vertical="top" wrapText="1"/>
    </xf>
    <xf numFmtId="0" fontId="3" fillId="0" borderId="0" xfId="0" applyFont="1" applyAlignment="1">
      <alignment horizontal="left" vertical="top" wrapText="1"/>
    </xf>
    <xf numFmtId="0" fontId="3" fillId="2" borderId="8" xfId="0" applyFont="1" applyFill="1" applyBorder="1"/>
    <xf numFmtId="0" fontId="3" fillId="0" borderId="19" xfId="0" applyFont="1" applyBorder="1" applyAlignment="1">
      <alignment vertical="center"/>
    </xf>
    <xf numFmtId="170" fontId="3" fillId="0" borderId="8" xfId="0" applyNumberFormat="1" applyFont="1" applyBorder="1" applyAlignment="1">
      <alignment horizontal="left" vertical="center"/>
    </xf>
    <xf numFmtId="0" fontId="3" fillId="0" borderId="8" xfId="0" applyFont="1" applyBorder="1" applyAlignment="1">
      <alignment vertical="top"/>
    </xf>
    <xf numFmtId="0" fontId="3" fillId="0" borderId="31" xfId="0" applyFont="1" applyBorder="1"/>
    <xf numFmtId="0" fontId="3" fillId="0" borderId="0" xfId="0" applyFont="1" applyAlignment="1">
      <alignment vertical="center"/>
    </xf>
    <xf numFmtId="43" fontId="3" fillId="0" borderId="8" xfId="0" applyNumberFormat="1" applyFont="1" applyBorder="1"/>
    <xf numFmtId="0" fontId="3" fillId="0" borderId="17" xfId="0" applyFont="1" applyBorder="1" applyAlignment="1">
      <alignment wrapText="1"/>
    </xf>
    <xf numFmtId="1" fontId="3" fillId="0" borderId="15" xfId="0" applyNumberFormat="1" applyFont="1" applyBorder="1"/>
    <xf numFmtId="168" fontId="3" fillId="0" borderId="15" xfId="0" applyNumberFormat="1" applyFont="1" applyBorder="1" applyAlignment="1">
      <alignment horizontal="left"/>
    </xf>
    <xf numFmtId="0" fontId="3" fillId="0" borderId="15" xfId="0" applyFont="1" applyBorder="1"/>
    <xf numFmtId="0" fontId="3" fillId="2" borderId="36" xfId="0" applyFont="1" applyFill="1" applyBorder="1"/>
    <xf numFmtId="1" fontId="3" fillId="3" borderId="28" xfId="0" applyNumberFormat="1" applyFont="1" applyFill="1" applyBorder="1" applyAlignment="1">
      <alignment horizontal="center" vertical="center"/>
    </xf>
    <xf numFmtId="0" fontId="3" fillId="0" borderId="21" xfId="0" applyFont="1" applyBorder="1"/>
    <xf numFmtId="0" fontId="3" fillId="2" borderId="41" xfId="0" applyFont="1" applyFill="1" applyBorder="1" applyAlignment="1">
      <alignment horizontal="left" vertical="center" wrapText="1"/>
    </xf>
    <xf numFmtId="168" fontId="3" fillId="0" borderId="8" xfId="0" applyNumberFormat="1" applyFont="1" applyBorder="1" applyAlignment="1">
      <alignment horizontal="center" vertical="center"/>
    </xf>
    <xf numFmtId="0" fontId="3" fillId="0" borderId="0" xfId="0" quotePrefix="1" applyFont="1"/>
    <xf numFmtId="1" fontId="3" fillId="0" borderId="8" xfId="0" applyNumberFormat="1" applyFont="1" applyBorder="1" applyAlignment="1">
      <alignment vertical="center"/>
    </xf>
    <xf numFmtId="1" fontId="3" fillId="0" borderId="19" xfId="0" applyNumberFormat="1" applyFont="1" applyBorder="1" applyAlignment="1">
      <alignment vertical="center"/>
    </xf>
    <xf numFmtId="165" fontId="3" fillId="0" borderId="19" xfId="0" applyNumberFormat="1" applyFont="1" applyBorder="1" applyAlignment="1">
      <alignment vertical="center"/>
    </xf>
    <xf numFmtId="0" fontId="3" fillId="0" borderId="24" xfId="0" applyFont="1" applyBorder="1"/>
    <xf numFmtId="0" fontId="11" fillId="0" borderId="21" xfId="0" applyFont="1" applyBorder="1"/>
    <xf numFmtId="1" fontId="3" fillId="3" borderId="22" xfId="0" applyNumberFormat="1" applyFont="1" applyFill="1" applyBorder="1" applyAlignment="1">
      <alignment horizontal="center" vertical="center"/>
    </xf>
    <xf numFmtId="0" fontId="3" fillId="0" borderId="8" xfId="0" applyFont="1" applyBorder="1" applyAlignment="1">
      <alignment horizontal="left" wrapText="1"/>
    </xf>
    <xf numFmtId="168" fontId="3" fillId="0" borderId="19" xfId="0" applyNumberFormat="1" applyFont="1" applyBorder="1"/>
    <xf numFmtId="0" fontId="3" fillId="8" borderId="8" xfId="0" applyFont="1" applyFill="1" applyBorder="1" applyAlignment="1">
      <alignment horizontal="left" vertical="center"/>
    </xf>
    <xf numFmtId="0" fontId="3" fillId="8" borderId="22" xfId="0" applyFont="1" applyFill="1" applyBorder="1" applyAlignment="1">
      <alignment horizontal="left" vertical="center"/>
    </xf>
    <xf numFmtId="0" fontId="14" fillId="0" borderId="8" xfId="0" applyFont="1" applyBorder="1" applyAlignment="1">
      <alignment vertical="center" wrapText="1"/>
    </xf>
    <xf numFmtId="0" fontId="1" fillId="0" borderId="1" xfId="0" applyFont="1" applyBorder="1" applyAlignment="1">
      <alignment horizontal="center" vertical="center"/>
    </xf>
    <xf numFmtId="0" fontId="2" fillId="0" borderId="7" xfId="0" applyFont="1" applyBorder="1"/>
    <xf numFmtId="0" fontId="1" fillId="0" borderId="2" xfId="0" applyFont="1" applyBorder="1" applyAlignment="1">
      <alignment horizontal="left"/>
    </xf>
    <xf numFmtId="0" fontId="2" fillId="0" borderId="3" xfId="0" applyFont="1" applyBorder="1"/>
    <xf numFmtId="0" fontId="2" fillId="0" borderId="4" xfId="0" applyFont="1" applyBorder="1"/>
    <xf numFmtId="0" fontId="1" fillId="0" borderId="2" xfId="0" applyFont="1" applyBorder="1" applyAlignment="1">
      <alignment horizontal="center"/>
    </xf>
    <xf numFmtId="0" fontId="2" fillId="0" borderId="14" xfId="0" applyFont="1" applyBorder="1"/>
    <xf numFmtId="0" fontId="1" fillId="0" borderId="0" xfId="0" applyFont="1" applyAlignment="1">
      <alignment horizontal="center"/>
    </xf>
    <xf numFmtId="0" fontId="0" fillId="0" borderId="0" xfId="0"/>
    <xf numFmtId="0" fontId="3" fillId="2" borderId="15" xfId="0" applyFont="1" applyFill="1" applyBorder="1" applyAlignment="1">
      <alignment horizontal="center" vertical="center"/>
    </xf>
    <xf numFmtId="0" fontId="2" fillId="0" borderId="16" xfId="0" applyFont="1" applyBorder="1"/>
    <xf numFmtId="0" fontId="2" fillId="0" borderId="17" xfId="0" applyFont="1" applyBorder="1"/>
    <xf numFmtId="10" fontId="3" fillId="0" borderId="0" xfId="0" applyNumberFormat="1" applyFont="1" applyAlignment="1">
      <alignment horizontal="center"/>
    </xf>
    <xf numFmtId="165" fontId="3" fillId="0" borderId="19" xfId="0" applyNumberFormat="1" applyFont="1" applyBorder="1" applyAlignment="1">
      <alignment horizontal="right" vertical="center"/>
    </xf>
    <xf numFmtId="0" fontId="2" fillId="0" borderId="21" xfId="0" applyFont="1" applyBorder="1"/>
    <xf numFmtId="1" fontId="3" fillId="0" borderId="19" xfId="0" applyNumberFormat="1" applyFont="1" applyBorder="1" applyAlignment="1">
      <alignment horizontal="center" vertical="center"/>
    </xf>
    <xf numFmtId="0" fontId="3" fillId="0" borderId="19" xfId="0" applyFont="1" applyBorder="1" applyAlignment="1">
      <alignment horizontal="right" vertical="center"/>
    </xf>
    <xf numFmtId="0" fontId="3" fillId="0" borderId="19" xfId="0" applyFont="1" applyBorder="1" applyAlignment="1">
      <alignment horizontal="left" vertical="center"/>
    </xf>
    <xf numFmtId="168" fontId="3" fillId="0" borderId="19" xfId="0" applyNumberFormat="1" applyFont="1" applyBorder="1" applyAlignment="1">
      <alignment horizontal="right" vertical="center"/>
    </xf>
    <xf numFmtId="0" fontId="2" fillId="0" borderId="20" xfId="0" applyFont="1" applyBorder="1"/>
    <xf numFmtId="0" fontId="3" fillId="2" borderId="19" xfId="0" applyFont="1" applyFill="1" applyBorder="1" applyAlignment="1">
      <alignment horizontal="right" vertical="center"/>
    </xf>
    <xf numFmtId="0" fontId="3" fillId="2" borderId="19" xfId="0" applyFont="1" applyFill="1" applyBorder="1" applyAlignment="1">
      <alignment horizontal="left" vertical="center"/>
    </xf>
    <xf numFmtId="0" fontId="3" fillId="2" borderId="19" xfId="0" applyFont="1" applyFill="1" applyBorder="1" applyAlignment="1">
      <alignment horizontal="left" vertical="center" wrapText="1"/>
    </xf>
    <xf numFmtId="0" fontId="3" fillId="0" borderId="19" xfId="0" applyFont="1" applyBorder="1" applyAlignment="1">
      <alignment horizontal="center" vertical="center" wrapText="1"/>
    </xf>
    <xf numFmtId="168" fontId="3" fillId="2" borderId="19" xfId="0" applyNumberFormat="1" applyFont="1" applyFill="1" applyBorder="1" applyAlignment="1">
      <alignment horizontal="center" vertical="center"/>
    </xf>
    <xf numFmtId="0" fontId="3" fillId="2" borderId="19" xfId="0" applyFont="1" applyFill="1" applyBorder="1" applyAlignment="1">
      <alignment horizontal="center" vertical="center"/>
    </xf>
    <xf numFmtId="168" fontId="3" fillId="0" borderId="19" xfId="0" applyNumberFormat="1" applyFont="1" applyBorder="1" applyAlignment="1">
      <alignment horizontal="center"/>
    </xf>
    <xf numFmtId="168" fontId="7" fillId="0" borderId="19" xfId="0" applyNumberFormat="1" applyFont="1" applyBorder="1" applyAlignment="1">
      <alignment horizontal="right" vertical="center"/>
    </xf>
    <xf numFmtId="1" fontId="3" fillId="5" borderId="19" xfId="0" applyNumberFormat="1" applyFont="1" applyFill="1" applyBorder="1" applyAlignment="1">
      <alignment horizontal="center" vertical="center"/>
    </xf>
    <xf numFmtId="1" fontId="3" fillId="3" borderId="19" xfId="0" applyNumberFormat="1" applyFont="1" applyFill="1" applyBorder="1" applyAlignment="1">
      <alignment horizontal="center" vertical="center"/>
    </xf>
    <xf numFmtId="1" fontId="3" fillId="6" borderId="19" xfId="0" applyNumberFormat="1" applyFont="1" applyFill="1" applyBorder="1" applyAlignment="1">
      <alignment horizontal="center" vertical="center"/>
    </xf>
    <xf numFmtId="165" fontId="3" fillId="0" borderId="19" xfId="0" applyNumberFormat="1" applyFont="1" applyBorder="1" applyAlignment="1">
      <alignment horizontal="left" vertical="center"/>
    </xf>
    <xf numFmtId="1" fontId="3" fillId="0" borderId="19" xfId="0" applyNumberFormat="1" applyFont="1" applyBorder="1" applyAlignment="1">
      <alignment horizontal="right" vertical="center"/>
    </xf>
    <xf numFmtId="168" fontId="3" fillId="0" borderId="19" xfId="0" applyNumberFormat="1" applyFont="1" applyBorder="1" applyAlignment="1">
      <alignment horizontal="left" vertical="center"/>
    </xf>
    <xf numFmtId="0" fontId="3" fillId="0" borderId="19" xfId="0" applyFont="1" applyBorder="1" applyAlignment="1">
      <alignment horizontal="left" vertical="center" wrapText="1"/>
    </xf>
    <xf numFmtId="0" fontId="2" fillId="0" borderId="27" xfId="0" applyFont="1" applyBorder="1"/>
    <xf numFmtId="167" fontId="3" fillId="0" borderId="19" xfId="0" applyNumberFormat="1" applyFont="1" applyBorder="1" applyAlignment="1">
      <alignment horizontal="right" vertical="center"/>
    </xf>
    <xf numFmtId="169" fontId="3" fillId="0" borderId="19" xfId="0" applyNumberFormat="1" applyFont="1" applyBorder="1" applyAlignment="1">
      <alignment horizontal="right" vertical="center"/>
    </xf>
    <xf numFmtId="2" fontId="3" fillId="0" borderId="19" xfId="0" applyNumberFormat="1" applyFont="1" applyBorder="1" applyAlignment="1">
      <alignment horizontal="right" vertical="center"/>
    </xf>
    <xf numFmtId="168" fontId="3" fillId="0" borderId="19" xfId="0" applyNumberFormat="1" applyFont="1" applyBorder="1" applyAlignment="1">
      <alignment horizontal="center" vertical="center"/>
    </xf>
    <xf numFmtId="1" fontId="3" fillId="4" borderId="19" xfId="0" applyNumberFormat="1" applyFont="1" applyFill="1" applyBorder="1" applyAlignment="1">
      <alignment horizontal="center" vertical="center"/>
    </xf>
    <xf numFmtId="165" fontId="3" fillId="0" borderId="19" xfId="0" applyNumberFormat="1" applyFont="1" applyBorder="1" applyAlignment="1">
      <alignment horizontal="right" vertical="center" wrapText="1"/>
    </xf>
    <xf numFmtId="165" fontId="3" fillId="0" borderId="19" xfId="0" applyNumberFormat="1" applyFont="1" applyBorder="1" applyAlignment="1">
      <alignment horizontal="right"/>
    </xf>
    <xf numFmtId="1" fontId="3" fillId="4" borderId="19" xfId="0" applyNumberFormat="1" applyFont="1" applyFill="1" applyBorder="1" applyAlignment="1">
      <alignment horizontal="center"/>
    </xf>
    <xf numFmtId="0" fontId="9" fillId="0" borderId="19" xfId="0" applyFont="1" applyBorder="1" applyAlignment="1">
      <alignment horizontal="left" vertical="center"/>
    </xf>
    <xf numFmtId="168" fontId="3" fillId="0" borderId="19" xfId="0" applyNumberFormat="1" applyFont="1" applyBorder="1" applyAlignment="1">
      <alignment horizontal="right"/>
    </xf>
    <xf numFmtId="0" fontId="3" fillId="0" borderId="15" xfId="0" applyFont="1" applyBorder="1" applyAlignment="1">
      <alignment horizontal="left" vertical="top" wrapText="1"/>
    </xf>
    <xf numFmtId="164" fontId="3" fillId="0" borderId="19" xfId="0" applyNumberFormat="1" applyFont="1" applyBorder="1" applyAlignment="1">
      <alignment horizontal="right" vertical="center"/>
    </xf>
    <xf numFmtId="0" fontId="3" fillId="0" borderId="15" xfId="0" applyFont="1" applyBorder="1" applyAlignment="1">
      <alignment horizontal="left" wrapText="1"/>
    </xf>
    <xf numFmtId="168" fontId="3" fillId="0" borderId="26" xfId="0" applyNumberFormat="1" applyFont="1" applyBorder="1" applyAlignment="1">
      <alignment horizontal="right" vertical="center"/>
    </xf>
    <xf numFmtId="0" fontId="2" fillId="0" borderId="18" xfId="0" applyFont="1" applyBorder="1"/>
    <xf numFmtId="0" fontId="2" fillId="0" borderId="31" xfId="0" applyFont="1" applyBorder="1"/>
    <xf numFmtId="165" fontId="3" fillId="0" borderId="25" xfId="0" applyNumberFormat="1" applyFont="1" applyBorder="1" applyAlignment="1">
      <alignment horizontal="right" vertical="center"/>
    </xf>
    <xf numFmtId="0" fontId="2" fillId="0" borderId="34" xfId="0" applyFont="1" applyBorder="1"/>
    <xf numFmtId="0" fontId="2" fillId="0" borderId="32" xfId="0" applyFont="1" applyBorder="1"/>
    <xf numFmtId="166" fontId="3" fillId="0" borderId="25" xfId="0" applyNumberFormat="1" applyFont="1" applyBorder="1" applyAlignment="1">
      <alignment horizontal="right" vertical="center"/>
    </xf>
    <xf numFmtId="0" fontId="3" fillId="2" borderId="29" xfId="0" applyFont="1" applyFill="1" applyBorder="1" applyAlignment="1">
      <alignment horizontal="left" vertical="center"/>
    </xf>
    <xf numFmtId="0" fontId="2" fillId="0" borderId="30" xfId="0" applyFont="1" applyBorder="1"/>
    <xf numFmtId="0" fontId="2" fillId="0" borderId="33" xfId="0" applyFont="1" applyBorder="1"/>
    <xf numFmtId="168" fontId="3" fillId="0" borderId="26" xfId="0" applyNumberFormat="1" applyFont="1" applyBorder="1" applyAlignment="1">
      <alignment horizontal="left" vertical="center"/>
    </xf>
    <xf numFmtId="0" fontId="3" fillId="0" borderId="25" xfId="0" applyFont="1" applyBorder="1" applyAlignment="1">
      <alignment horizontal="right" vertical="center"/>
    </xf>
    <xf numFmtId="168" fontId="3" fillId="0" borderId="26" xfId="0" applyNumberFormat="1" applyFont="1" applyBorder="1" applyAlignment="1">
      <alignment horizontal="center"/>
    </xf>
    <xf numFmtId="168" fontId="3" fillId="0" borderId="26" xfId="0" applyNumberFormat="1" applyFont="1" applyBorder="1" applyAlignment="1">
      <alignment horizontal="center" vertical="center"/>
    </xf>
    <xf numFmtId="0" fontId="3" fillId="0" borderId="25" xfId="0" applyFont="1" applyBorder="1" applyAlignment="1">
      <alignment horizontal="left" vertical="center"/>
    </xf>
    <xf numFmtId="0" fontId="3" fillId="2" borderId="37" xfId="0" applyFont="1" applyFill="1" applyBorder="1" applyAlignment="1">
      <alignment horizontal="right" vertical="center"/>
    </xf>
    <xf numFmtId="0" fontId="2" fillId="0" borderId="38" xfId="0" applyFont="1" applyBorder="1"/>
    <xf numFmtId="0" fontId="2" fillId="0" borderId="39" xfId="0" applyFont="1" applyBorder="1"/>
    <xf numFmtId="0" fontId="3" fillId="2" borderId="29" xfId="0" applyFont="1" applyFill="1" applyBorder="1" applyAlignment="1">
      <alignment horizontal="left" vertical="center" wrapText="1"/>
    </xf>
    <xf numFmtId="166" fontId="3" fillId="0" borderId="19" xfId="0" applyNumberFormat="1" applyFont="1" applyBorder="1" applyAlignment="1">
      <alignment horizontal="right" vertical="center"/>
    </xf>
    <xf numFmtId="1" fontId="3" fillId="7" borderId="19" xfId="0" applyNumberFormat="1" applyFont="1" applyFill="1" applyBorder="1" applyAlignment="1">
      <alignment horizontal="center" vertical="center"/>
    </xf>
    <xf numFmtId="0" fontId="3" fillId="2" borderId="40" xfId="0" applyFont="1" applyFill="1" applyBorder="1" applyAlignment="1">
      <alignment horizontal="left" vertical="center"/>
    </xf>
    <xf numFmtId="166" fontId="3" fillId="0" borderId="25" xfId="0" applyNumberFormat="1" applyFont="1" applyBorder="1" applyAlignment="1">
      <alignment horizontal="center" vertical="center"/>
    </xf>
    <xf numFmtId="1" fontId="3" fillId="0" borderId="26" xfId="0" applyNumberFormat="1" applyFont="1" applyBorder="1" applyAlignment="1">
      <alignment horizontal="right" vertical="center"/>
    </xf>
    <xf numFmtId="164" fontId="3" fillId="0" borderId="25" xfId="0" applyNumberFormat="1" applyFont="1" applyBorder="1" applyAlignment="1">
      <alignment horizontal="right" vertical="center"/>
    </xf>
    <xf numFmtId="168" fontId="3" fillId="2" borderId="19" xfId="0" applyNumberFormat="1" applyFont="1" applyFill="1" applyBorder="1" applyAlignment="1">
      <alignment horizontal="right" vertical="center"/>
    </xf>
    <xf numFmtId="0" fontId="3" fillId="2" borderId="19" xfId="0" applyFont="1" applyFill="1" applyBorder="1" applyAlignment="1">
      <alignment vertical="center"/>
    </xf>
    <xf numFmtId="0" fontId="3" fillId="0" borderId="23" xfId="0" applyFont="1" applyBorder="1" applyAlignment="1">
      <alignment horizontal="center" vertical="center" wrapText="1"/>
    </xf>
    <xf numFmtId="0" fontId="3" fillId="8" borderId="19" xfId="0" applyFont="1" applyFill="1" applyBorder="1" applyAlignment="1">
      <alignment horizontal="left" vertical="center"/>
    </xf>
    <xf numFmtId="0" fontId="3" fillId="0" borderId="19"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5"/></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2"/></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9"/></Relationships>
</file>

<file path=xl/_rels/comments9.xml.rels><?xml version="1.0" encoding="UTF-8" standalone="yes"?>
<Relationships xmlns="http://schemas.openxmlformats.org/package/2006/relationships"><Relationship Id="rId1" Type="http://customschemas.google.com/relationships/workbookmetadata" Target="commentsmeta10"/></Relationships>
</file>

<file path=xl/_rels/comments10.xml.rels><?xml version="1.0" encoding="UTF-8" standalone="yes"?>
<Relationships xmlns="http://schemas.openxmlformats.org/package/2006/relationships"><Relationship Id="rId1" Type="http://customschemas.google.com/relationships/workbookmetadata" Target="commentsmeta8"/></Relationships>
</file>

<file path=xl/_rels/comments11.xml.rels><?xml version="1.0" encoding="UTF-8" standalone="yes"?>
<Relationships xmlns="http://schemas.openxmlformats.org/package/2006/relationships"><Relationship Id="rId1" Type="http://customschemas.google.com/relationships/workbookmetadata" Target="commentsmeta7"/></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8"/></Relationships>
</file>

<file path=xl/_rels/comments18.xml.rels><?xml version="1.0" encoding="UTF-8" standalone="yes"?>
<Relationships xmlns="http://schemas.openxmlformats.org/package/2006/relationships"><Relationship Id="rId1" Type="http://customschemas.google.com/relationships/workbookmetadata" Target="commentsmeta16"/></Relationships>
</file>

<file path=xl/_rels/comments19.xml.rels><?xml version="1.0" encoding="UTF-8" standalone="yes"?>
<Relationships xmlns="http://schemas.openxmlformats.org/package/2006/relationships"><Relationship Id="rId1" Type="http://customschemas.google.com/relationships/workbookmetadata" Target="commentsmeta17"/></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Where are materials stocked in the buildings?</a:t>
            </a:r>
          </a:p>
        </c:rich>
      </c:tx>
      <c:overlay val="0"/>
    </c:title>
    <c:autoTitleDeleted val="0"/>
    <c:plotArea>
      <c:layout>
        <c:manualLayout>
          <c:xMode val="edge"/>
          <c:yMode val="edge"/>
          <c:x val="0.11523787852432335"/>
          <c:y val="8.1278295982664978E-2"/>
          <c:w val="0.87007913781351764"/>
          <c:h val="0.61889635875415028"/>
        </c:manualLayout>
      </c:layout>
      <c:barChart>
        <c:barDir val="col"/>
        <c:grouping val="percentStacked"/>
        <c:varyColors val="1"/>
        <c:ser>
          <c:idx val="0"/>
          <c:order val="0"/>
          <c:tx>
            <c:v>Strip footing</c:v>
          </c:tx>
          <c:spPr>
            <a:solidFill>
              <a:srgbClr val="5B9BD5"/>
            </a:solidFill>
            <a:ln cmpd="sng">
              <a:noFill/>
            </a:ln>
          </c:spPr>
          <c:invertIfNegative val="1"/>
          <c:cat>
            <c:strRef>
              <c:f>'MIC % by location graph'!$A$3:$A$25</c:f>
              <c:strCache>
                <c:ptCount val="23"/>
                <c:pt idx="0">
                  <c:v>Aircraft traffic control &amp; operations</c:v>
                </c:pt>
                <c:pt idx="1">
                  <c:v>Ammunition &amp; explosives storage magazine</c:v>
                </c:pt>
                <c:pt idx="2">
                  <c:v>Aircraft maintenance hangar</c:v>
                </c:pt>
                <c:pt idx="3">
                  <c:v>Communications</c:v>
                </c:pt>
                <c:pt idx="4">
                  <c:v>Family Housing</c:v>
                </c:pt>
                <c:pt idx="5">
                  <c:v>Family service center</c:v>
                </c:pt>
                <c:pt idx="6">
                  <c:v>Industrial utilities</c:v>
                </c:pt>
                <c:pt idx="7">
                  <c:v>Lodging</c:v>
                </c:pt>
                <c:pt idx="8">
                  <c:v>Maintenance shop</c:v>
                </c:pt>
                <c:pt idx="9">
                  <c:v>Office</c:v>
                </c:pt>
                <c:pt idx="10">
                  <c:v>RDT&amp;E (laboratories)</c:v>
                </c:pt>
                <c:pt idx="11">
                  <c:v>Recreation &amp; culture</c:v>
                </c:pt>
                <c:pt idx="12">
                  <c:v>Store (retail &amp; grocery)</c:v>
                </c:pt>
                <c:pt idx="13">
                  <c:v>Training &amp; academic instruction</c:v>
                </c:pt>
                <c:pt idx="14">
                  <c:v>Unaccompanied housing (barracks)</c:v>
                </c:pt>
                <c:pt idx="15">
                  <c:v>Warehouse / storage</c:v>
                </c:pt>
                <c:pt idx="16">
                  <c:v>Public service</c:v>
                </c:pt>
                <c:pt idx="17">
                  <c:v>Ship operational</c:v>
                </c:pt>
                <c:pt idx="18">
                  <c:v>Security</c:v>
                </c:pt>
                <c:pt idx="19">
                  <c:v>Military medical facilities</c:v>
                </c:pt>
                <c:pt idx="20">
                  <c:v>Fire station</c:v>
                </c:pt>
                <c:pt idx="21">
                  <c:v>Dining</c:v>
                </c:pt>
                <c:pt idx="22">
                  <c:v>Armory</c:v>
                </c:pt>
              </c:strCache>
            </c:strRef>
          </c:cat>
          <c:val>
            <c:numRef>
              <c:f>'MIC % by location graph'!$B$3:$B$25</c:f>
              <c:numCache>
                <c:formatCode>0.00%</c:formatCode>
                <c:ptCount val="23"/>
                <c:pt idx="0">
                  <c:v>5.5164964548207546E-2</c:v>
                </c:pt>
                <c:pt idx="1">
                  <c:v>2.1828479471131507E-2</c:v>
                </c:pt>
                <c:pt idx="2">
                  <c:v>2.0396310820025274E-2</c:v>
                </c:pt>
                <c:pt idx="3">
                  <c:v>8.702632477656376E-2</c:v>
                </c:pt>
                <c:pt idx="4">
                  <c:v>0</c:v>
                </c:pt>
                <c:pt idx="5">
                  <c:v>4.7981061461381369E-2</c:v>
                </c:pt>
                <c:pt idx="6">
                  <c:v>0.24751117088460867</c:v>
                </c:pt>
                <c:pt idx="7">
                  <c:v>5.2177384607631404E-2</c:v>
                </c:pt>
                <c:pt idx="8">
                  <c:v>5.2815876235767181E-2</c:v>
                </c:pt>
                <c:pt idx="9">
                  <c:v>1.5361062797735818E-2</c:v>
                </c:pt>
                <c:pt idx="10">
                  <c:v>7.7759789663307058E-2</c:v>
                </c:pt>
                <c:pt idx="11">
                  <c:v>4.5287084042823882E-2</c:v>
                </c:pt>
                <c:pt idx="12">
                  <c:v>2.3162129873978653E-2</c:v>
                </c:pt>
                <c:pt idx="13">
                  <c:v>0</c:v>
                </c:pt>
                <c:pt idx="14">
                  <c:v>8.544369255707231E-3</c:v>
                </c:pt>
                <c:pt idx="15">
                  <c:v>1.1622615518959009E-2</c:v>
                </c:pt>
                <c:pt idx="16">
                  <c:v>6.1592564351557411E-2</c:v>
                </c:pt>
                <c:pt idx="17">
                  <c:v>5.218086267683332E-2</c:v>
                </c:pt>
                <c:pt idx="18">
                  <c:v>6.5620554807277645E-2</c:v>
                </c:pt>
                <c:pt idx="19">
                  <c:v>0</c:v>
                </c:pt>
                <c:pt idx="20">
                  <c:v>4.4089207509753009E-2</c:v>
                </c:pt>
                <c:pt idx="21">
                  <c:v>1.3196717615302389E-2</c:v>
                </c:pt>
                <c:pt idx="22">
                  <c:v>8.2260601469548875E-2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ABDD-5443-AD5D-AA77CEB41102}"/>
            </c:ext>
          </c:extLst>
        </c:ser>
        <c:ser>
          <c:idx val="1"/>
          <c:order val="1"/>
          <c:tx>
            <c:v>Reinforced slab</c:v>
          </c:tx>
          <c:spPr>
            <a:solidFill>
              <a:srgbClr val="ED7D31"/>
            </a:solidFill>
            <a:ln cmpd="sng">
              <a:noFill/>
            </a:ln>
          </c:spPr>
          <c:invertIfNegative val="1"/>
          <c:cat>
            <c:strRef>
              <c:f>'MIC % by location graph'!$A$3:$A$25</c:f>
              <c:strCache>
                <c:ptCount val="23"/>
                <c:pt idx="0">
                  <c:v>Aircraft traffic control &amp; operations</c:v>
                </c:pt>
                <c:pt idx="1">
                  <c:v>Ammunition &amp; explosives storage magazine</c:v>
                </c:pt>
                <c:pt idx="2">
                  <c:v>Aircraft maintenance hangar</c:v>
                </c:pt>
                <c:pt idx="3">
                  <c:v>Communications</c:v>
                </c:pt>
                <c:pt idx="4">
                  <c:v>Family Housing</c:v>
                </c:pt>
                <c:pt idx="5">
                  <c:v>Family service center</c:v>
                </c:pt>
                <c:pt idx="6">
                  <c:v>Industrial utilities</c:v>
                </c:pt>
                <c:pt idx="7">
                  <c:v>Lodging</c:v>
                </c:pt>
                <c:pt idx="8">
                  <c:v>Maintenance shop</c:v>
                </c:pt>
                <c:pt idx="9">
                  <c:v>Office</c:v>
                </c:pt>
                <c:pt idx="10">
                  <c:v>RDT&amp;E (laboratories)</c:v>
                </c:pt>
                <c:pt idx="11">
                  <c:v>Recreation &amp; culture</c:v>
                </c:pt>
                <c:pt idx="12">
                  <c:v>Store (retail &amp; grocery)</c:v>
                </c:pt>
                <c:pt idx="13">
                  <c:v>Training &amp; academic instruction</c:v>
                </c:pt>
                <c:pt idx="14">
                  <c:v>Unaccompanied housing (barracks)</c:v>
                </c:pt>
                <c:pt idx="15">
                  <c:v>Warehouse / storage</c:v>
                </c:pt>
                <c:pt idx="16">
                  <c:v>Public service</c:v>
                </c:pt>
                <c:pt idx="17">
                  <c:v>Ship operational</c:v>
                </c:pt>
                <c:pt idx="18">
                  <c:v>Security</c:v>
                </c:pt>
                <c:pt idx="19">
                  <c:v>Military medical facilities</c:v>
                </c:pt>
                <c:pt idx="20">
                  <c:v>Fire station</c:v>
                </c:pt>
                <c:pt idx="21">
                  <c:v>Dining</c:v>
                </c:pt>
                <c:pt idx="22">
                  <c:v>Armory</c:v>
                </c:pt>
              </c:strCache>
            </c:strRef>
          </c:cat>
          <c:val>
            <c:numRef>
              <c:f>'MIC % by location graph'!$C$3:$C$25</c:f>
              <c:numCache>
                <c:formatCode>0.00%</c:formatCode>
                <c:ptCount val="23"/>
                <c:pt idx="0">
                  <c:v>0.64913159402264065</c:v>
                </c:pt>
                <c:pt idx="1">
                  <c:v>0.11465463964634731</c:v>
                </c:pt>
                <c:pt idx="2">
                  <c:v>0.6903183869718178</c:v>
                </c:pt>
                <c:pt idx="3">
                  <c:v>0.30059817495286512</c:v>
                </c:pt>
                <c:pt idx="4">
                  <c:v>0.68167005285710691</c:v>
                </c:pt>
                <c:pt idx="5">
                  <c:v>0.77961210770019196</c:v>
                </c:pt>
                <c:pt idx="6">
                  <c:v>0.62176719256036961</c:v>
                </c:pt>
                <c:pt idx="7">
                  <c:v>0.55480898695843017</c:v>
                </c:pt>
                <c:pt idx="8">
                  <c:v>0.55059082855617403</c:v>
                </c:pt>
                <c:pt idx="9">
                  <c:v>0.383543093365806</c:v>
                </c:pt>
                <c:pt idx="10">
                  <c:v>0.39673421502186851</c:v>
                </c:pt>
                <c:pt idx="11">
                  <c:v>0.59056496756305998</c:v>
                </c:pt>
                <c:pt idx="12">
                  <c:v>0.70660709964643964</c:v>
                </c:pt>
                <c:pt idx="13">
                  <c:v>0.44480915141918337</c:v>
                </c:pt>
                <c:pt idx="14">
                  <c:v>0.1907921422637793</c:v>
                </c:pt>
                <c:pt idx="15">
                  <c:v>0.68126119950097896</c:v>
                </c:pt>
                <c:pt idx="16">
                  <c:v>0.68507294861659951</c:v>
                </c:pt>
                <c:pt idx="17">
                  <c:v>0.65351205738513918</c:v>
                </c:pt>
                <c:pt idx="18">
                  <c:v>0.73136320573861591</c:v>
                </c:pt>
                <c:pt idx="19">
                  <c:v>0.21897312777265349</c:v>
                </c:pt>
                <c:pt idx="20">
                  <c:v>0.73536847685251072</c:v>
                </c:pt>
                <c:pt idx="21">
                  <c:v>0.20987243666461577</c:v>
                </c:pt>
                <c:pt idx="22">
                  <c:v>0.36593383503965987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ABDD-5443-AD5D-AA77CEB41102}"/>
            </c:ext>
          </c:extLst>
        </c:ser>
        <c:ser>
          <c:idx val="2"/>
          <c:order val="2"/>
          <c:tx>
            <c:v>Basement</c:v>
          </c:tx>
          <c:spPr>
            <a:solidFill>
              <a:srgbClr val="A5A5A5"/>
            </a:solidFill>
            <a:ln cmpd="sng">
              <a:noFill/>
            </a:ln>
          </c:spPr>
          <c:invertIfNegative val="1"/>
          <c:cat>
            <c:strRef>
              <c:f>'MIC % by location graph'!$A$3:$A$25</c:f>
              <c:strCache>
                <c:ptCount val="23"/>
                <c:pt idx="0">
                  <c:v>Aircraft traffic control &amp; operations</c:v>
                </c:pt>
                <c:pt idx="1">
                  <c:v>Ammunition &amp; explosives storage magazine</c:v>
                </c:pt>
                <c:pt idx="2">
                  <c:v>Aircraft maintenance hangar</c:v>
                </c:pt>
                <c:pt idx="3">
                  <c:v>Communications</c:v>
                </c:pt>
                <c:pt idx="4">
                  <c:v>Family Housing</c:v>
                </c:pt>
                <c:pt idx="5">
                  <c:v>Family service center</c:v>
                </c:pt>
                <c:pt idx="6">
                  <c:v>Industrial utilities</c:v>
                </c:pt>
                <c:pt idx="7">
                  <c:v>Lodging</c:v>
                </c:pt>
                <c:pt idx="8">
                  <c:v>Maintenance shop</c:v>
                </c:pt>
                <c:pt idx="9">
                  <c:v>Office</c:v>
                </c:pt>
                <c:pt idx="10">
                  <c:v>RDT&amp;E (laboratories)</c:v>
                </c:pt>
                <c:pt idx="11">
                  <c:v>Recreation &amp; culture</c:v>
                </c:pt>
                <c:pt idx="12">
                  <c:v>Store (retail &amp; grocery)</c:v>
                </c:pt>
                <c:pt idx="13">
                  <c:v>Training &amp; academic instruction</c:v>
                </c:pt>
                <c:pt idx="14">
                  <c:v>Unaccompanied housing (barracks)</c:v>
                </c:pt>
                <c:pt idx="15">
                  <c:v>Warehouse / storage</c:v>
                </c:pt>
                <c:pt idx="16">
                  <c:v>Public service</c:v>
                </c:pt>
                <c:pt idx="17">
                  <c:v>Ship operational</c:v>
                </c:pt>
                <c:pt idx="18">
                  <c:v>Security</c:v>
                </c:pt>
                <c:pt idx="19">
                  <c:v>Military medical facilities</c:v>
                </c:pt>
                <c:pt idx="20">
                  <c:v>Fire station</c:v>
                </c:pt>
                <c:pt idx="21">
                  <c:v>Dining</c:v>
                </c:pt>
                <c:pt idx="22">
                  <c:v>Armory</c:v>
                </c:pt>
              </c:strCache>
            </c:strRef>
          </c:cat>
          <c:val>
            <c:numRef>
              <c:f>'MIC % by location graph'!$D$3:$D$25</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7.7248612243777312E-2</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ABDD-5443-AD5D-AA77CEB41102}"/>
            </c:ext>
          </c:extLst>
        </c:ser>
        <c:ser>
          <c:idx val="3"/>
          <c:order val="3"/>
          <c:tx>
            <c:v>Floor construction</c:v>
          </c:tx>
          <c:spPr>
            <a:solidFill>
              <a:srgbClr val="FFC000"/>
            </a:solidFill>
            <a:ln cmpd="sng">
              <a:noFill/>
            </a:ln>
          </c:spPr>
          <c:invertIfNegative val="1"/>
          <c:cat>
            <c:strRef>
              <c:f>'MIC % by location graph'!$A$3:$A$25</c:f>
              <c:strCache>
                <c:ptCount val="23"/>
                <c:pt idx="0">
                  <c:v>Aircraft traffic control &amp; operations</c:v>
                </c:pt>
                <c:pt idx="1">
                  <c:v>Ammunition &amp; explosives storage magazine</c:v>
                </c:pt>
                <c:pt idx="2">
                  <c:v>Aircraft maintenance hangar</c:v>
                </c:pt>
                <c:pt idx="3">
                  <c:v>Communications</c:v>
                </c:pt>
                <c:pt idx="4">
                  <c:v>Family Housing</c:v>
                </c:pt>
                <c:pt idx="5">
                  <c:v>Family service center</c:v>
                </c:pt>
                <c:pt idx="6">
                  <c:v>Industrial utilities</c:v>
                </c:pt>
                <c:pt idx="7">
                  <c:v>Lodging</c:v>
                </c:pt>
                <c:pt idx="8">
                  <c:v>Maintenance shop</c:v>
                </c:pt>
                <c:pt idx="9">
                  <c:v>Office</c:v>
                </c:pt>
                <c:pt idx="10">
                  <c:v>RDT&amp;E (laboratories)</c:v>
                </c:pt>
                <c:pt idx="11">
                  <c:v>Recreation &amp; culture</c:v>
                </c:pt>
                <c:pt idx="12">
                  <c:v>Store (retail &amp; grocery)</c:v>
                </c:pt>
                <c:pt idx="13">
                  <c:v>Training &amp; academic instruction</c:v>
                </c:pt>
                <c:pt idx="14">
                  <c:v>Unaccompanied housing (barracks)</c:v>
                </c:pt>
                <c:pt idx="15">
                  <c:v>Warehouse / storage</c:v>
                </c:pt>
                <c:pt idx="16">
                  <c:v>Public service</c:v>
                </c:pt>
                <c:pt idx="17">
                  <c:v>Ship operational</c:v>
                </c:pt>
                <c:pt idx="18">
                  <c:v>Security</c:v>
                </c:pt>
                <c:pt idx="19">
                  <c:v>Military medical facilities</c:v>
                </c:pt>
                <c:pt idx="20">
                  <c:v>Fire station</c:v>
                </c:pt>
                <c:pt idx="21">
                  <c:v>Dining</c:v>
                </c:pt>
                <c:pt idx="22">
                  <c:v>Armory</c:v>
                </c:pt>
              </c:strCache>
            </c:strRef>
          </c:cat>
          <c:val>
            <c:numRef>
              <c:f>'MIC % by location graph'!$E$3:$E$25</c:f>
              <c:numCache>
                <c:formatCode>0.00%</c:formatCode>
                <c:ptCount val="23"/>
                <c:pt idx="0">
                  <c:v>1.0517078852968948E-2</c:v>
                </c:pt>
                <c:pt idx="1">
                  <c:v>0</c:v>
                </c:pt>
                <c:pt idx="2">
                  <c:v>6.9435054102433613E-2</c:v>
                </c:pt>
                <c:pt idx="3">
                  <c:v>0</c:v>
                </c:pt>
                <c:pt idx="4">
                  <c:v>0</c:v>
                </c:pt>
                <c:pt idx="5">
                  <c:v>0</c:v>
                </c:pt>
                <c:pt idx="6">
                  <c:v>0</c:v>
                </c:pt>
                <c:pt idx="7">
                  <c:v>4.2229253322836557E-2</c:v>
                </c:pt>
                <c:pt idx="8">
                  <c:v>0</c:v>
                </c:pt>
                <c:pt idx="9">
                  <c:v>0.48623147060391897</c:v>
                </c:pt>
                <c:pt idx="10">
                  <c:v>0</c:v>
                </c:pt>
                <c:pt idx="11">
                  <c:v>0</c:v>
                </c:pt>
                <c:pt idx="12">
                  <c:v>0</c:v>
                </c:pt>
                <c:pt idx="13">
                  <c:v>0</c:v>
                </c:pt>
                <c:pt idx="14">
                  <c:v>0.37135283575388395</c:v>
                </c:pt>
                <c:pt idx="15">
                  <c:v>0</c:v>
                </c:pt>
                <c:pt idx="16">
                  <c:v>0</c:v>
                </c:pt>
                <c:pt idx="17">
                  <c:v>0</c:v>
                </c:pt>
                <c:pt idx="18">
                  <c:v>0</c:v>
                </c:pt>
                <c:pt idx="19">
                  <c:v>0.28310887054443773</c:v>
                </c:pt>
                <c:pt idx="20">
                  <c:v>0</c:v>
                </c:pt>
                <c:pt idx="21">
                  <c:v>0.26793982791213711</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ABDD-5443-AD5D-AA77CEB41102}"/>
            </c:ext>
          </c:extLst>
        </c:ser>
        <c:ser>
          <c:idx val="4"/>
          <c:order val="4"/>
          <c:tx>
            <c:v>Roof construction</c:v>
          </c:tx>
          <c:spPr>
            <a:solidFill>
              <a:srgbClr val="4472C4"/>
            </a:solidFill>
            <a:ln cmpd="sng">
              <a:noFill/>
            </a:ln>
          </c:spPr>
          <c:invertIfNegative val="1"/>
          <c:cat>
            <c:strRef>
              <c:f>'MIC % by location graph'!$A$3:$A$25</c:f>
              <c:strCache>
                <c:ptCount val="23"/>
                <c:pt idx="0">
                  <c:v>Aircraft traffic control &amp; operations</c:v>
                </c:pt>
                <c:pt idx="1">
                  <c:v>Ammunition &amp; explosives storage magazine</c:v>
                </c:pt>
                <c:pt idx="2">
                  <c:v>Aircraft maintenance hangar</c:v>
                </c:pt>
                <c:pt idx="3">
                  <c:v>Communications</c:v>
                </c:pt>
                <c:pt idx="4">
                  <c:v>Family Housing</c:v>
                </c:pt>
                <c:pt idx="5">
                  <c:v>Family service center</c:v>
                </c:pt>
                <c:pt idx="6">
                  <c:v>Industrial utilities</c:v>
                </c:pt>
                <c:pt idx="7">
                  <c:v>Lodging</c:v>
                </c:pt>
                <c:pt idx="8">
                  <c:v>Maintenance shop</c:v>
                </c:pt>
                <c:pt idx="9">
                  <c:v>Office</c:v>
                </c:pt>
                <c:pt idx="10">
                  <c:v>RDT&amp;E (laboratories)</c:v>
                </c:pt>
                <c:pt idx="11">
                  <c:v>Recreation &amp; culture</c:v>
                </c:pt>
                <c:pt idx="12">
                  <c:v>Store (retail &amp; grocery)</c:v>
                </c:pt>
                <c:pt idx="13">
                  <c:v>Training &amp; academic instruction</c:v>
                </c:pt>
                <c:pt idx="14">
                  <c:v>Unaccompanied housing (barracks)</c:v>
                </c:pt>
                <c:pt idx="15">
                  <c:v>Warehouse / storage</c:v>
                </c:pt>
                <c:pt idx="16">
                  <c:v>Public service</c:v>
                </c:pt>
                <c:pt idx="17">
                  <c:v>Ship operational</c:v>
                </c:pt>
                <c:pt idx="18">
                  <c:v>Security</c:v>
                </c:pt>
                <c:pt idx="19">
                  <c:v>Military medical facilities</c:v>
                </c:pt>
                <c:pt idx="20">
                  <c:v>Fire station</c:v>
                </c:pt>
                <c:pt idx="21">
                  <c:v>Dining</c:v>
                </c:pt>
                <c:pt idx="22">
                  <c:v>Armory</c:v>
                </c:pt>
              </c:strCache>
            </c:strRef>
          </c:cat>
          <c:val>
            <c:numRef>
              <c:f>'MIC % by location graph'!$F$3:$F$25</c:f>
              <c:numCache>
                <c:formatCode>0.00%</c:formatCode>
                <c:ptCount val="23"/>
                <c:pt idx="0">
                  <c:v>7.0077037700781247E-2</c:v>
                </c:pt>
                <c:pt idx="1">
                  <c:v>0.49849843324498833</c:v>
                </c:pt>
                <c:pt idx="2">
                  <c:v>6.0282992802120801E-2</c:v>
                </c:pt>
                <c:pt idx="3">
                  <c:v>2.3480459175367133E-2</c:v>
                </c:pt>
                <c:pt idx="4">
                  <c:v>0.11278540502958398</c:v>
                </c:pt>
                <c:pt idx="5">
                  <c:v>5.1247582272104658E-2</c:v>
                </c:pt>
                <c:pt idx="6">
                  <c:v>4.4502588238795271E-2</c:v>
                </c:pt>
                <c:pt idx="7">
                  <c:v>6.0674471313109483E-2</c:v>
                </c:pt>
                <c:pt idx="8">
                  <c:v>5.3804702982527187E-2</c:v>
                </c:pt>
                <c:pt idx="9">
                  <c:v>3.2914185910979304E-2</c:v>
                </c:pt>
                <c:pt idx="10">
                  <c:v>3.7934360483315298E-2</c:v>
                </c:pt>
                <c:pt idx="11">
                  <c:v>9.4724696845560841E-2</c:v>
                </c:pt>
                <c:pt idx="12">
                  <c:v>0.14852798897671848</c:v>
                </c:pt>
                <c:pt idx="13">
                  <c:v>2.9486511354116132E-2</c:v>
                </c:pt>
                <c:pt idx="14">
                  <c:v>0.18567641787694197</c:v>
                </c:pt>
                <c:pt idx="15">
                  <c:v>2.7649365448506765E-2</c:v>
                </c:pt>
                <c:pt idx="16">
                  <c:v>9.9173092298773496E-2</c:v>
                </c:pt>
                <c:pt idx="17">
                  <c:v>4.6080978405362384E-2</c:v>
                </c:pt>
                <c:pt idx="18">
                  <c:v>6.9034898749396403E-2</c:v>
                </c:pt>
                <c:pt idx="19">
                  <c:v>1.254845978669695E-2</c:v>
                </c:pt>
                <c:pt idx="20">
                  <c:v>5.869766502264074E-2</c:v>
                </c:pt>
                <c:pt idx="21">
                  <c:v>0.28482628761670037</c:v>
                </c:pt>
                <c:pt idx="22">
                  <c:v>2.1468670258729488E-2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ABDD-5443-AD5D-AA77CEB41102}"/>
            </c:ext>
          </c:extLst>
        </c:ser>
        <c:ser>
          <c:idx val="5"/>
          <c:order val="5"/>
          <c:tx>
            <c:v>Exterior Walls</c:v>
          </c:tx>
          <c:spPr>
            <a:solidFill>
              <a:srgbClr val="70AD47"/>
            </a:solidFill>
            <a:ln cmpd="sng">
              <a:noFill/>
            </a:ln>
          </c:spPr>
          <c:invertIfNegative val="1"/>
          <c:cat>
            <c:strRef>
              <c:f>'MIC % by location graph'!$A$3:$A$25</c:f>
              <c:strCache>
                <c:ptCount val="23"/>
                <c:pt idx="0">
                  <c:v>Aircraft traffic control &amp; operations</c:v>
                </c:pt>
                <c:pt idx="1">
                  <c:v>Ammunition &amp; explosives storage magazine</c:v>
                </c:pt>
                <c:pt idx="2">
                  <c:v>Aircraft maintenance hangar</c:v>
                </c:pt>
                <c:pt idx="3">
                  <c:v>Communications</c:v>
                </c:pt>
                <c:pt idx="4">
                  <c:v>Family Housing</c:v>
                </c:pt>
                <c:pt idx="5">
                  <c:v>Family service center</c:v>
                </c:pt>
                <c:pt idx="6">
                  <c:v>Industrial utilities</c:v>
                </c:pt>
                <c:pt idx="7">
                  <c:v>Lodging</c:v>
                </c:pt>
                <c:pt idx="8">
                  <c:v>Maintenance shop</c:v>
                </c:pt>
                <c:pt idx="9">
                  <c:v>Office</c:v>
                </c:pt>
                <c:pt idx="10">
                  <c:v>RDT&amp;E (laboratories)</c:v>
                </c:pt>
                <c:pt idx="11">
                  <c:v>Recreation &amp; culture</c:v>
                </c:pt>
                <c:pt idx="12">
                  <c:v>Store (retail &amp; grocery)</c:v>
                </c:pt>
                <c:pt idx="13">
                  <c:v>Training &amp; academic instruction</c:v>
                </c:pt>
                <c:pt idx="14">
                  <c:v>Unaccompanied housing (barracks)</c:v>
                </c:pt>
                <c:pt idx="15">
                  <c:v>Warehouse / storage</c:v>
                </c:pt>
                <c:pt idx="16">
                  <c:v>Public service</c:v>
                </c:pt>
                <c:pt idx="17">
                  <c:v>Ship operational</c:v>
                </c:pt>
                <c:pt idx="18">
                  <c:v>Security</c:v>
                </c:pt>
                <c:pt idx="19">
                  <c:v>Military medical facilities</c:v>
                </c:pt>
                <c:pt idx="20">
                  <c:v>Fire station</c:v>
                </c:pt>
                <c:pt idx="21">
                  <c:v>Dining</c:v>
                </c:pt>
                <c:pt idx="22">
                  <c:v>Armory</c:v>
                </c:pt>
              </c:strCache>
            </c:strRef>
          </c:cat>
          <c:val>
            <c:numRef>
              <c:f>'MIC % by location graph'!$G$3:$G$25</c:f>
              <c:numCache>
                <c:formatCode>0.00%</c:formatCode>
                <c:ptCount val="23"/>
                <c:pt idx="0">
                  <c:v>0.19883063144521196</c:v>
                </c:pt>
                <c:pt idx="1">
                  <c:v>0.36501844763753283</c:v>
                </c:pt>
                <c:pt idx="2">
                  <c:v>0.14386604970679159</c:v>
                </c:pt>
                <c:pt idx="3">
                  <c:v>0.53540089842229976</c:v>
                </c:pt>
                <c:pt idx="4">
                  <c:v>0.17722036841062697</c:v>
                </c:pt>
                <c:pt idx="5">
                  <c:v>5.2124670488015036E-2</c:v>
                </c:pt>
                <c:pt idx="6">
                  <c:v>7.1304074368022385E-3</c:v>
                </c:pt>
                <c:pt idx="7">
                  <c:v>0.15649522873719751</c:v>
                </c:pt>
                <c:pt idx="8">
                  <c:v>0.32925622327808152</c:v>
                </c:pt>
                <c:pt idx="9">
                  <c:v>5.8741915553878872E-2</c:v>
                </c:pt>
                <c:pt idx="10">
                  <c:v>0.44311080162572386</c:v>
                </c:pt>
                <c:pt idx="11">
                  <c:v>0.1018128198356917</c:v>
                </c:pt>
                <c:pt idx="12">
                  <c:v>9.2834676539762448E-2</c:v>
                </c:pt>
                <c:pt idx="13">
                  <c:v>0.50259779161950058</c:v>
                </c:pt>
                <c:pt idx="14">
                  <c:v>0.21683784372362538</c:v>
                </c:pt>
                <c:pt idx="15">
                  <c:v>0.26285797179051357</c:v>
                </c:pt>
                <c:pt idx="16">
                  <c:v>8.3467607799922017E-2</c:v>
                </c:pt>
                <c:pt idx="17">
                  <c:v>0.19823112370197526</c:v>
                </c:pt>
                <c:pt idx="18">
                  <c:v>9.9172427523724543E-2</c:v>
                </c:pt>
                <c:pt idx="19">
                  <c:v>0.44470581116022273</c:v>
                </c:pt>
                <c:pt idx="20">
                  <c:v>7.7042432059156507E-2</c:v>
                </c:pt>
                <c:pt idx="21">
                  <c:v>0.1313306582604076</c:v>
                </c:pt>
                <c:pt idx="22">
                  <c:v>0.48255607608838963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ABDD-5443-AD5D-AA77CEB41102}"/>
            </c:ext>
          </c:extLst>
        </c:ser>
        <c:ser>
          <c:idx val="6"/>
          <c:order val="6"/>
          <c:tx>
            <c:strRef>
              <c:f>'MIC % by location graph'!$H$2</c:f>
              <c:strCache>
                <c:ptCount val="1"/>
                <c:pt idx="0">
                  <c:v>Windows</c:v>
                </c:pt>
              </c:strCache>
            </c:strRef>
          </c:tx>
          <c:invertIfNegative val="1"/>
          <c:cat>
            <c:strRef>
              <c:f>'MIC % by location graph'!$A$3:$A$25</c:f>
              <c:strCache>
                <c:ptCount val="23"/>
                <c:pt idx="0">
                  <c:v>Aircraft traffic control &amp; operations</c:v>
                </c:pt>
                <c:pt idx="1">
                  <c:v>Ammunition &amp; explosives storage magazine</c:v>
                </c:pt>
                <c:pt idx="2">
                  <c:v>Aircraft maintenance hangar</c:v>
                </c:pt>
                <c:pt idx="3">
                  <c:v>Communications</c:v>
                </c:pt>
                <c:pt idx="4">
                  <c:v>Family Housing</c:v>
                </c:pt>
                <c:pt idx="5">
                  <c:v>Family service center</c:v>
                </c:pt>
                <c:pt idx="6">
                  <c:v>Industrial utilities</c:v>
                </c:pt>
                <c:pt idx="7">
                  <c:v>Lodging</c:v>
                </c:pt>
                <c:pt idx="8">
                  <c:v>Maintenance shop</c:v>
                </c:pt>
                <c:pt idx="9">
                  <c:v>Office</c:v>
                </c:pt>
                <c:pt idx="10">
                  <c:v>RDT&amp;E (laboratories)</c:v>
                </c:pt>
                <c:pt idx="11">
                  <c:v>Recreation &amp; culture</c:v>
                </c:pt>
                <c:pt idx="12">
                  <c:v>Store (retail &amp; grocery)</c:v>
                </c:pt>
                <c:pt idx="13">
                  <c:v>Training &amp; academic instruction</c:v>
                </c:pt>
                <c:pt idx="14">
                  <c:v>Unaccompanied housing (barracks)</c:v>
                </c:pt>
                <c:pt idx="15">
                  <c:v>Warehouse / storage</c:v>
                </c:pt>
                <c:pt idx="16">
                  <c:v>Public service</c:v>
                </c:pt>
                <c:pt idx="17">
                  <c:v>Ship operational</c:v>
                </c:pt>
                <c:pt idx="18">
                  <c:v>Security</c:v>
                </c:pt>
                <c:pt idx="19">
                  <c:v>Military medical facilities</c:v>
                </c:pt>
                <c:pt idx="20">
                  <c:v>Fire station</c:v>
                </c:pt>
                <c:pt idx="21">
                  <c:v>Dining</c:v>
                </c:pt>
                <c:pt idx="22">
                  <c:v>Armory</c:v>
                </c:pt>
              </c:strCache>
            </c:strRef>
          </c:cat>
          <c:val>
            <c:numRef>
              <c:f>'MIC % by location graph'!$H$3:$H$25</c:f>
              <c:numCache>
                <c:formatCode>0.00%</c:formatCode>
                <c:ptCount val="23"/>
                <c:pt idx="0">
                  <c:v>0</c:v>
                </c:pt>
                <c:pt idx="1">
                  <c:v>0</c:v>
                </c:pt>
                <c:pt idx="2">
                  <c:v>6.9442641540245196E-4</c:v>
                </c:pt>
                <c:pt idx="3">
                  <c:v>2.1685516969180436E-3</c:v>
                </c:pt>
                <c:pt idx="4">
                  <c:v>2.2017198681073906E-3</c:v>
                </c:pt>
                <c:pt idx="5">
                  <c:v>5.2858548174536842E-3</c:v>
                </c:pt>
                <c:pt idx="6">
                  <c:v>0</c:v>
                </c:pt>
                <c:pt idx="7">
                  <c:v>5.3032402560216482E-3</c:v>
                </c:pt>
                <c:pt idx="8">
                  <c:v>1.1353416545464505E-3</c:v>
                </c:pt>
                <c:pt idx="9">
                  <c:v>2.2549647432854947E-3</c:v>
                </c:pt>
                <c:pt idx="10">
                  <c:v>3.6266547375103739E-4</c:v>
                </c:pt>
                <c:pt idx="11">
                  <c:v>3.2705158953166336E-2</c:v>
                </c:pt>
                <c:pt idx="12">
                  <c:v>1.6745792753503617E-3</c:v>
                </c:pt>
                <c:pt idx="13">
                  <c:v>3.8382121995990111E-3</c:v>
                </c:pt>
                <c:pt idx="14">
                  <c:v>1.0622075216047311E-3</c:v>
                </c:pt>
                <c:pt idx="15">
                  <c:v>0</c:v>
                </c:pt>
                <c:pt idx="16">
                  <c:v>1.0280966688614387E-2</c:v>
                </c:pt>
                <c:pt idx="17">
                  <c:v>4.3743424687833366E-3</c:v>
                </c:pt>
                <c:pt idx="18">
                  <c:v>8.1147284070186999E-3</c:v>
                </c:pt>
                <c:pt idx="19">
                  <c:v>0</c:v>
                </c:pt>
                <c:pt idx="20">
                  <c:v>2.3106896997554045E-3</c:v>
                </c:pt>
                <c:pt idx="21">
                  <c:v>9.8886396483038874E-4</c:v>
                </c:pt>
                <c:pt idx="22">
                  <c:v>9.0000887619265176E-5</c:v>
                </c:pt>
              </c:numCache>
            </c:numRef>
          </c:val>
          <c:extLst>
            <c:ext xmlns:c16="http://schemas.microsoft.com/office/drawing/2014/chart" uri="{C3380CC4-5D6E-409C-BE32-E72D297353CC}">
              <c16:uniqueId val="{00000006-ABDD-5443-AD5D-AA77CEB41102}"/>
            </c:ext>
          </c:extLst>
        </c:ser>
        <c:ser>
          <c:idx val="7"/>
          <c:order val="7"/>
          <c:tx>
            <c:strRef>
              <c:f>'MIC % by location graph'!$I$2</c:f>
              <c:strCache>
                <c:ptCount val="1"/>
                <c:pt idx="0">
                  <c:v>Roof covering</c:v>
                </c:pt>
              </c:strCache>
            </c:strRef>
          </c:tx>
          <c:invertIfNegative val="1"/>
          <c:cat>
            <c:strRef>
              <c:f>'MIC % by location graph'!$A$3:$A$25</c:f>
              <c:strCache>
                <c:ptCount val="23"/>
                <c:pt idx="0">
                  <c:v>Aircraft traffic control &amp; operations</c:v>
                </c:pt>
                <c:pt idx="1">
                  <c:v>Ammunition &amp; explosives storage magazine</c:v>
                </c:pt>
                <c:pt idx="2">
                  <c:v>Aircraft maintenance hangar</c:v>
                </c:pt>
                <c:pt idx="3">
                  <c:v>Communications</c:v>
                </c:pt>
                <c:pt idx="4">
                  <c:v>Family Housing</c:v>
                </c:pt>
                <c:pt idx="5">
                  <c:v>Family service center</c:v>
                </c:pt>
                <c:pt idx="6">
                  <c:v>Industrial utilities</c:v>
                </c:pt>
                <c:pt idx="7">
                  <c:v>Lodging</c:v>
                </c:pt>
                <c:pt idx="8">
                  <c:v>Maintenance shop</c:v>
                </c:pt>
                <c:pt idx="9">
                  <c:v>Office</c:v>
                </c:pt>
                <c:pt idx="10">
                  <c:v>RDT&amp;E (laboratories)</c:v>
                </c:pt>
                <c:pt idx="11">
                  <c:v>Recreation &amp; culture</c:v>
                </c:pt>
                <c:pt idx="12">
                  <c:v>Store (retail &amp; grocery)</c:v>
                </c:pt>
                <c:pt idx="13">
                  <c:v>Training &amp; academic instruction</c:v>
                </c:pt>
                <c:pt idx="14">
                  <c:v>Unaccompanied housing (barracks)</c:v>
                </c:pt>
                <c:pt idx="15">
                  <c:v>Warehouse / storage</c:v>
                </c:pt>
                <c:pt idx="16">
                  <c:v>Public service</c:v>
                </c:pt>
                <c:pt idx="17">
                  <c:v>Ship operational</c:v>
                </c:pt>
                <c:pt idx="18">
                  <c:v>Security</c:v>
                </c:pt>
                <c:pt idx="19">
                  <c:v>Military medical facilities</c:v>
                </c:pt>
                <c:pt idx="20">
                  <c:v>Fire station</c:v>
                </c:pt>
                <c:pt idx="21">
                  <c:v>Dining</c:v>
                </c:pt>
                <c:pt idx="22">
                  <c:v>Armory</c:v>
                </c:pt>
              </c:strCache>
            </c:strRef>
          </c:cat>
          <c:val>
            <c:numRef>
              <c:f>'MIC % by location graph'!$I$3:$I$25</c:f>
              <c:numCache>
                <c:formatCode>0.00%</c:formatCode>
                <c:ptCount val="23"/>
                <c:pt idx="0">
                  <c:v>1.9533129223106613E-2</c:v>
                </c:pt>
                <c:pt idx="1">
                  <c:v>0</c:v>
                </c:pt>
                <c:pt idx="2">
                  <c:v>2.2703621958768662E-2</c:v>
                </c:pt>
                <c:pt idx="3">
                  <c:v>5.1406422161366851E-2</c:v>
                </c:pt>
                <c:pt idx="4">
                  <c:v>3.3441008215415242E-2</c:v>
                </c:pt>
                <c:pt idx="5">
                  <c:v>6.1454835193073896E-2</c:v>
                </c:pt>
                <c:pt idx="6">
                  <c:v>8.3405962175565798E-2</c:v>
                </c:pt>
                <c:pt idx="7">
                  <c:v>0.13306068526257095</c:v>
                </c:pt>
                <c:pt idx="8">
                  <c:v>2.0956802592162413E-2</c:v>
                </c:pt>
                <c:pt idx="9">
                  <c:v>1.7094274113598519E-2</c:v>
                </c:pt>
                <c:pt idx="10">
                  <c:v>5.3122786979653426E-2</c:v>
                </c:pt>
                <c:pt idx="11">
                  <c:v>0.14361616268984401</c:v>
                </c:pt>
                <c:pt idx="12">
                  <c:v>2.2206309233499165E-2</c:v>
                </c:pt>
                <c:pt idx="13">
                  <c:v>1.6986748442835532E-2</c:v>
                </c:pt>
                <c:pt idx="14">
                  <c:v>1.848335142868901E-2</c:v>
                </c:pt>
                <c:pt idx="15">
                  <c:v>1.8523308532124326E-2</c:v>
                </c:pt>
                <c:pt idx="16">
                  <c:v>5.5612292442095548E-2</c:v>
                </c:pt>
                <c:pt idx="17">
                  <c:v>2.3913935948195724E-2</c:v>
                </c:pt>
                <c:pt idx="18">
                  <c:v>3.6615469224957474E-2</c:v>
                </c:pt>
                <c:pt idx="19">
                  <c:v>2.8442824192465282E-2</c:v>
                </c:pt>
                <c:pt idx="20">
                  <c:v>8.6849381135250439E-2</c:v>
                </c:pt>
                <c:pt idx="21">
                  <c:v>9.096481340956716E-3</c:v>
                </c:pt>
                <c:pt idx="22">
                  <c:v>4.8785993089917469E-2</c:v>
                </c:pt>
              </c:numCache>
            </c:numRef>
          </c:val>
          <c:extLst>
            <c:ext xmlns:c16="http://schemas.microsoft.com/office/drawing/2014/chart" uri="{C3380CC4-5D6E-409C-BE32-E72D297353CC}">
              <c16:uniqueId val="{00000007-ABDD-5443-AD5D-AA77CEB41102}"/>
            </c:ext>
          </c:extLst>
        </c:ser>
        <c:dLbls>
          <c:showLegendKey val="0"/>
          <c:showVal val="0"/>
          <c:showCatName val="0"/>
          <c:showSerName val="0"/>
          <c:showPercent val="0"/>
          <c:showBubbleSize val="0"/>
        </c:dLbls>
        <c:gapWidth val="150"/>
        <c:overlap val="100"/>
        <c:axId val="1540551259"/>
        <c:axId val="1167312791"/>
      </c:barChart>
      <c:catAx>
        <c:axId val="154055125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167312791"/>
        <c:crosses val="autoZero"/>
        <c:auto val="1"/>
        <c:lblAlgn val="ctr"/>
        <c:lblOffset val="100"/>
        <c:noMultiLvlLbl val="1"/>
      </c:catAx>
      <c:valAx>
        <c:axId val="116731279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 by weight</a:t>
                </a:r>
              </a:p>
            </c:rich>
          </c:tx>
          <c:overlay val="0"/>
        </c:title>
        <c:numFmt formatCode="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540551259"/>
        <c:crosses val="autoZero"/>
        <c:crossBetween val="between"/>
      </c:valAx>
    </c:plotArea>
    <c:legend>
      <c:legendPos val="b"/>
      <c:layout>
        <c:manualLayout>
          <c:xMode val="edge"/>
          <c:yMode val="edge"/>
          <c:x val="0.11169662033871762"/>
          <c:y val="0.94987191640867619"/>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BB66-AD4F-8C9A-96F8D99EE41A}"/>
              </c:ext>
            </c:extLst>
          </c:dPt>
          <c:dPt>
            <c:idx val="1"/>
            <c:bubble3D val="0"/>
            <c:spPr>
              <a:solidFill>
                <a:schemeClr val="accent2"/>
              </a:solidFill>
            </c:spPr>
            <c:extLst>
              <c:ext xmlns:c16="http://schemas.microsoft.com/office/drawing/2014/chart" uri="{C3380CC4-5D6E-409C-BE32-E72D297353CC}">
                <c16:uniqueId val="{00000003-BB66-AD4F-8C9A-96F8D99EE41A}"/>
              </c:ext>
            </c:extLst>
          </c:dPt>
          <c:dPt>
            <c:idx val="2"/>
            <c:bubble3D val="0"/>
            <c:spPr>
              <a:solidFill>
                <a:schemeClr val="accent3"/>
              </a:solidFill>
            </c:spPr>
            <c:extLst>
              <c:ext xmlns:c16="http://schemas.microsoft.com/office/drawing/2014/chart" uri="{C3380CC4-5D6E-409C-BE32-E72D297353CC}">
                <c16:uniqueId val="{00000005-BB66-AD4F-8C9A-96F8D99EE41A}"/>
              </c:ext>
            </c:extLst>
          </c:dPt>
          <c:dPt>
            <c:idx val="3"/>
            <c:bubble3D val="0"/>
            <c:spPr>
              <a:solidFill>
                <a:schemeClr val="accent4"/>
              </a:solidFill>
            </c:spPr>
            <c:extLst>
              <c:ext xmlns:c16="http://schemas.microsoft.com/office/drawing/2014/chart" uri="{C3380CC4-5D6E-409C-BE32-E72D297353CC}">
                <c16:uniqueId val="{00000007-BB66-AD4F-8C9A-96F8D99EE41A}"/>
              </c:ext>
            </c:extLst>
          </c:dPt>
          <c:dPt>
            <c:idx val="4"/>
            <c:bubble3D val="0"/>
            <c:spPr>
              <a:solidFill>
                <a:schemeClr val="accent5"/>
              </a:solidFill>
            </c:spPr>
            <c:extLst>
              <c:ext xmlns:c16="http://schemas.microsoft.com/office/drawing/2014/chart" uri="{C3380CC4-5D6E-409C-BE32-E72D297353CC}">
                <c16:uniqueId val="{00000009-BB66-AD4F-8C9A-96F8D99EE41A}"/>
              </c:ext>
            </c:extLst>
          </c:dPt>
          <c:dPt>
            <c:idx val="5"/>
            <c:bubble3D val="0"/>
            <c:spPr>
              <a:solidFill>
                <a:schemeClr val="accent6"/>
              </a:solidFill>
            </c:spPr>
            <c:extLst>
              <c:ext xmlns:c16="http://schemas.microsoft.com/office/drawing/2014/chart" uri="{C3380CC4-5D6E-409C-BE32-E72D297353CC}">
                <c16:uniqueId val="{0000000B-BB66-AD4F-8C9A-96F8D99EE41A}"/>
              </c:ext>
            </c:extLst>
          </c:dPt>
          <c:dPt>
            <c:idx val="6"/>
            <c:bubble3D val="0"/>
            <c:spPr>
              <a:solidFill>
                <a:schemeClr val="accent1"/>
              </a:solidFill>
            </c:spPr>
            <c:extLst>
              <c:ext xmlns:c16="http://schemas.microsoft.com/office/drawing/2014/chart" uri="{C3380CC4-5D6E-409C-BE32-E72D297353CC}">
                <c16:uniqueId val="{0000000D-BB66-AD4F-8C9A-96F8D99EE41A}"/>
              </c:ext>
            </c:extLst>
          </c:dPt>
          <c:dPt>
            <c:idx val="7"/>
            <c:bubble3D val="0"/>
            <c:spPr>
              <a:solidFill>
                <a:schemeClr val="accent2"/>
              </a:solidFill>
            </c:spPr>
            <c:extLst>
              <c:ext xmlns:c16="http://schemas.microsoft.com/office/drawing/2014/chart" uri="{C3380CC4-5D6E-409C-BE32-E72D297353CC}">
                <c16:uniqueId val="{0000000F-BB66-AD4F-8C9A-96F8D99EE41A}"/>
              </c:ext>
            </c:extLst>
          </c:dPt>
          <c:dPt>
            <c:idx val="8"/>
            <c:bubble3D val="0"/>
            <c:spPr>
              <a:solidFill>
                <a:schemeClr val="accent3"/>
              </a:solidFill>
            </c:spPr>
            <c:extLst>
              <c:ext xmlns:c16="http://schemas.microsoft.com/office/drawing/2014/chart" uri="{C3380CC4-5D6E-409C-BE32-E72D297353CC}">
                <c16:uniqueId val="{00000011-BB66-AD4F-8C9A-96F8D99EE41A}"/>
              </c:ext>
            </c:extLst>
          </c:dPt>
          <c:dPt>
            <c:idx val="9"/>
            <c:bubble3D val="0"/>
            <c:spPr>
              <a:solidFill>
                <a:schemeClr val="accent4"/>
              </a:solidFill>
            </c:spPr>
            <c:extLst>
              <c:ext xmlns:c16="http://schemas.microsoft.com/office/drawing/2014/chart" uri="{C3380CC4-5D6E-409C-BE32-E72D297353CC}">
                <c16:uniqueId val="{00000013-BB66-AD4F-8C9A-96F8D99EE41A}"/>
              </c:ext>
            </c:extLst>
          </c:dPt>
          <c:dPt>
            <c:idx val="10"/>
            <c:bubble3D val="0"/>
            <c:spPr>
              <a:solidFill>
                <a:schemeClr val="accent5"/>
              </a:solidFill>
            </c:spPr>
            <c:extLst>
              <c:ext xmlns:c16="http://schemas.microsoft.com/office/drawing/2014/chart" uri="{C3380CC4-5D6E-409C-BE32-E72D297353CC}">
                <c16:uniqueId val="{00000015-BB66-AD4F-8C9A-96F8D99EE41A}"/>
              </c:ext>
            </c:extLst>
          </c:dPt>
          <c:dPt>
            <c:idx val="11"/>
            <c:bubble3D val="0"/>
            <c:spPr>
              <a:solidFill>
                <a:schemeClr val="accent6"/>
              </a:solidFill>
            </c:spPr>
            <c:extLst>
              <c:ext xmlns:c16="http://schemas.microsoft.com/office/drawing/2014/chart" uri="{C3380CC4-5D6E-409C-BE32-E72D297353CC}">
                <c16:uniqueId val="{00000017-BB66-AD4F-8C9A-96F8D99EE41A}"/>
              </c:ext>
            </c:extLst>
          </c:dPt>
          <c:dPt>
            <c:idx val="12"/>
            <c:bubble3D val="0"/>
            <c:spPr>
              <a:solidFill>
                <a:schemeClr val="accent1"/>
              </a:solidFill>
            </c:spPr>
            <c:extLst>
              <c:ext xmlns:c16="http://schemas.microsoft.com/office/drawing/2014/chart" uri="{C3380CC4-5D6E-409C-BE32-E72D297353CC}">
                <c16:uniqueId val="{00000019-BB66-AD4F-8C9A-96F8D99EE41A}"/>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'Aircraft traffic control &amp; oper'!$F$53:$F$65</c:f>
              <c:strCache>
                <c:ptCount val="13"/>
                <c:pt idx="0">
                  <c:v>concrete</c:v>
                </c:pt>
                <c:pt idx="1">
                  <c:v>carbon steel</c:v>
                </c:pt>
                <c:pt idx="2">
                  <c:v>softwood</c:v>
                </c:pt>
                <c:pt idx="3">
                  <c:v>plywood</c:v>
                </c:pt>
                <c:pt idx="4">
                  <c:v>Concrete masonry unit</c:v>
                </c:pt>
                <c:pt idx="5">
                  <c:v>cold-formed, galvanized steel</c:v>
                </c:pt>
                <c:pt idx="6">
                  <c:v>hot-rolled, structural steel</c:v>
                </c:pt>
                <c:pt idx="7">
                  <c:v>cold-formed, structural steel</c:v>
                </c:pt>
                <c:pt idx="8">
                  <c:v>polyisocyanurate foam</c:v>
                </c:pt>
                <c:pt idx="9">
                  <c:v>glass mat gypsum board</c:v>
                </c:pt>
                <c:pt idx="10">
                  <c:v>aluminum</c:v>
                </c:pt>
                <c:pt idx="11">
                  <c:v>#15 felt</c:v>
                </c:pt>
                <c:pt idx="12">
                  <c:v>#30 felt</c:v>
                </c:pt>
              </c:strCache>
            </c:strRef>
          </c:cat>
          <c:val>
            <c:numRef>
              <c:f>'Aircraft traffic control &amp; oper'!$G$53:$G$65</c:f>
              <c:numCache>
                <c:formatCode>_(* #,##0_);_(* \(#,##0\);_(* "-"??_);_(@_)</c:formatCode>
                <c:ptCount val="13"/>
                <c:pt idx="0">
                  <c:v>724500</c:v>
                </c:pt>
                <c:pt idx="1">
                  <c:v>32115</c:v>
                </c:pt>
                <c:pt idx="2">
                  <c:v>5880.6</c:v>
                </c:pt>
                <c:pt idx="3">
                  <c:v>19250.666666666668</c:v>
                </c:pt>
                <c:pt idx="4">
                  <c:v>180000</c:v>
                </c:pt>
                <c:pt idx="5">
                  <c:v>25332</c:v>
                </c:pt>
                <c:pt idx="6">
                  <c:v>45636</c:v>
                </c:pt>
                <c:pt idx="7">
                  <c:v>13574.400000000001</c:v>
                </c:pt>
                <c:pt idx="8">
                  <c:v>7229.1666666666661</c:v>
                </c:pt>
                <c:pt idx="9">
                  <c:v>8333.3333333333321</c:v>
                </c:pt>
                <c:pt idx="10">
                  <c:v>5064.0999999999995</c:v>
                </c:pt>
                <c:pt idx="11">
                  <c:v>600</c:v>
                </c:pt>
                <c:pt idx="12">
                  <c:v>1913.5</c:v>
                </c:pt>
              </c:numCache>
            </c:numRef>
          </c:val>
          <c:extLst>
            <c:ext xmlns:c16="http://schemas.microsoft.com/office/drawing/2014/chart" uri="{C3380CC4-5D6E-409C-BE32-E72D297353CC}">
              <c16:uniqueId val="{0000001A-BB66-AD4F-8C9A-96F8D99EE41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2E98-9C43-A430-6CF86CAD627D}"/>
              </c:ext>
            </c:extLst>
          </c:dPt>
          <c:dPt>
            <c:idx val="1"/>
            <c:bubble3D val="0"/>
            <c:spPr>
              <a:solidFill>
                <a:schemeClr val="accent2"/>
              </a:solidFill>
            </c:spPr>
            <c:extLst>
              <c:ext xmlns:c16="http://schemas.microsoft.com/office/drawing/2014/chart" uri="{C3380CC4-5D6E-409C-BE32-E72D297353CC}">
                <c16:uniqueId val="{00000003-2E98-9C43-A430-6CF86CAD627D}"/>
              </c:ext>
            </c:extLst>
          </c:dPt>
          <c:dPt>
            <c:idx val="2"/>
            <c:bubble3D val="0"/>
            <c:spPr>
              <a:solidFill>
                <a:schemeClr val="accent3"/>
              </a:solidFill>
            </c:spPr>
            <c:extLst>
              <c:ext xmlns:c16="http://schemas.microsoft.com/office/drawing/2014/chart" uri="{C3380CC4-5D6E-409C-BE32-E72D297353CC}">
                <c16:uniqueId val="{00000005-2E98-9C43-A430-6CF86CAD627D}"/>
              </c:ext>
            </c:extLst>
          </c:dPt>
          <c:dPt>
            <c:idx val="3"/>
            <c:bubble3D val="0"/>
            <c:spPr>
              <a:solidFill>
                <a:schemeClr val="accent4"/>
              </a:solidFill>
            </c:spPr>
            <c:extLst>
              <c:ext xmlns:c16="http://schemas.microsoft.com/office/drawing/2014/chart" uri="{C3380CC4-5D6E-409C-BE32-E72D297353CC}">
                <c16:uniqueId val="{00000007-2E98-9C43-A430-6CF86CAD627D}"/>
              </c:ext>
            </c:extLst>
          </c:dPt>
          <c:dPt>
            <c:idx val="4"/>
            <c:bubble3D val="0"/>
            <c:spPr>
              <a:solidFill>
                <a:schemeClr val="accent5"/>
              </a:solidFill>
            </c:spPr>
            <c:extLst>
              <c:ext xmlns:c16="http://schemas.microsoft.com/office/drawing/2014/chart" uri="{C3380CC4-5D6E-409C-BE32-E72D297353CC}">
                <c16:uniqueId val="{00000009-2E98-9C43-A430-6CF86CAD627D}"/>
              </c:ext>
            </c:extLst>
          </c:dPt>
          <c:dPt>
            <c:idx val="5"/>
            <c:bubble3D val="0"/>
            <c:spPr>
              <a:solidFill>
                <a:schemeClr val="accent6"/>
              </a:solidFill>
            </c:spPr>
            <c:extLst>
              <c:ext xmlns:c16="http://schemas.microsoft.com/office/drawing/2014/chart" uri="{C3380CC4-5D6E-409C-BE32-E72D297353CC}">
                <c16:uniqueId val="{0000000B-2E98-9C43-A430-6CF86CAD627D}"/>
              </c:ext>
            </c:extLst>
          </c:dPt>
          <c:dPt>
            <c:idx val="6"/>
            <c:bubble3D val="0"/>
            <c:spPr>
              <a:solidFill>
                <a:schemeClr val="accent1"/>
              </a:solidFill>
            </c:spPr>
            <c:extLst>
              <c:ext xmlns:c16="http://schemas.microsoft.com/office/drawing/2014/chart" uri="{C3380CC4-5D6E-409C-BE32-E72D297353CC}">
                <c16:uniqueId val="{0000000D-2E98-9C43-A430-6CF86CAD627D}"/>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'Aircraft traffic control &amp; oper'!$F$69:$F$75</c:f>
              <c:strCache>
                <c:ptCount val="7"/>
                <c:pt idx="0">
                  <c:v>concrete</c:v>
                </c:pt>
                <c:pt idx="1">
                  <c:v>steel</c:v>
                </c:pt>
                <c:pt idx="2">
                  <c:v>wood</c:v>
                </c:pt>
                <c:pt idx="3">
                  <c:v>plastic</c:v>
                </c:pt>
                <c:pt idx="4">
                  <c:v>gypsum board</c:v>
                </c:pt>
                <c:pt idx="5">
                  <c:v>aluminum</c:v>
                </c:pt>
                <c:pt idx="6">
                  <c:v>organic mat, asphalt coating</c:v>
                </c:pt>
              </c:strCache>
            </c:strRef>
          </c:cat>
          <c:val>
            <c:numRef>
              <c:f>'Aircraft traffic control &amp; oper'!$G$69:$G$75</c:f>
              <c:numCache>
                <c:formatCode>_(* #,##0_);_(* \(#,##0\);_(* "-"??_);_(@_)</c:formatCode>
                <c:ptCount val="7"/>
                <c:pt idx="0">
                  <c:v>904500</c:v>
                </c:pt>
                <c:pt idx="1">
                  <c:v>116657.4</c:v>
                </c:pt>
                <c:pt idx="2">
                  <c:v>25131.266666666666</c:v>
                </c:pt>
                <c:pt idx="3">
                  <c:v>7229.1666666666661</c:v>
                </c:pt>
                <c:pt idx="4">
                  <c:v>8333.3333333333321</c:v>
                </c:pt>
                <c:pt idx="5">
                  <c:v>5064.0999999999995</c:v>
                </c:pt>
                <c:pt idx="6">
                  <c:v>2513.5</c:v>
                </c:pt>
              </c:numCache>
            </c:numRef>
          </c:val>
          <c:extLst>
            <c:ext xmlns:c16="http://schemas.microsoft.com/office/drawing/2014/chart" uri="{C3380CC4-5D6E-409C-BE32-E72D297353CC}">
              <c16:uniqueId val="{0000000E-2E98-9C43-A430-6CF86CAD627D}"/>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321A-6D46-9C46-C18CBAA70CC4}"/>
              </c:ext>
            </c:extLst>
          </c:dPt>
          <c:dPt>
            <c:idx val="1"/>
            <c:bubble3D val="0"/>
            <c:spPr>
              <a:solidFill>
                <a:schemeClr val="accent2"/>
              </a:solidFill>
            </c:spPr>
            <c:extLst>
              <c:ext xmlns:c16="http://schemas.microsoft.com/office/drawing/2014/chart" uri="{C3380CC4-5D6E-409C-BE32-E72D297353CC}">
                <c16:uniqueId val="{00000003-321A-6D46-9C46-C18CBAA70CC4}"/>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'Ammunition &amp; explosives storage'!$F$24:$F$25</c:f>
              <c:strCache>
                <c:ptCount val="2"/>
                <c:pt idx="0">
                  <c:v>concrete</c:v>
                </c:pt>
                <c:pt idx="1">
                  <c:v>carbon steel</c:v>
                </c:pt>
              </c:strCache>
            </c:strRef>
          </c:cat>
          <c:val>
            <c:numRef>
              <c:f>'Ammunition &amp; explosives storage'!$G$24:$G$25</c:f>
              <c:numCache>
                <c:formatCode>_(* #,##0_);_(* \(#,##0\);_(* "-"??_);_(@_)</c:formatCode>
                <c:ptCount val="2"/>
                <c:pt idx="0">
                  <c:v>1519500</c:v>
                </c:pt>
                <c:pt idx="1">
                  <c:v>45199</c:v>
                </c:pt>
              </c:numCache>
            </c:numRef>
          </c:val>
          <c:extLst>
            <c:ext xmlns:c16="http://schemas.microsoft.com/office/drawing/2014/chart" uri="{C3380CC4-5D6E-409C-BE32-E72D297353CC}">
              <c16:uniqueId val="{00000004-321A-6D46-9C46-C18CBAA70CC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EF0-4D43-920F-4D8E0275E3F5}"/>
              </c:ext>
            </c:extLst>
          </c:dPt>
          <c:dPt>
            <c:idx val="1"/>
            <c:bubble3D val="0"/>
            <c:spPr>
              <a:solidFill>
                <a:schemeClr val="accent2"/>
              </a:solidFill>
            </c:spPr>
            <c:extLst>
              <c:ext xmlns:c16="http://schemas.microsoft.com/office/drawing/2014/chart" uri="{C3380CC4-5D6E-409C-BE32-E72D297353CC}">
                <c16:uniqueId val="{00000003-0EF0-4D43-920F-4D8E0275E3F5}"/>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'Ammunition &amp; explosives storage'!$F$29:$F$30</c:f>
              <c:strCache>
                <c:ptCount val="2"/>
                <c:pt idx="0">
                  <c:v>concrete</c:v>
                </c:pt>
                <c:pt idx="1">
                  <c:v>steel</c:v>
                </c:pt>
              </c:strCache>
            </c:strRef>
          </c:cat>
          <c:val>
            <c:numRef>
              <c:f>'Ammunition &amp; explosives storage'!$G$29:$G$30</c:f>
              <c:numCache>
                <c:formatCode>_(* #,##0_);_(* \(#,##0\);_(* "-"??_);_(@_)</c:formatCode>
                <c:ptCount val="2"/>
                <c:pt idx="0">
                  <c:v>1519500</c:v>
                </c:pt>
                <c:pt idx="1">
                  <c:v>45199</c:v>
                </c:pt>
              </c:numCache>
            </c:numRef>
          </c:val>
          <c:extLst>
            <c:ext xmlns:c16="http://schemas.microsoft.com/office/drawing/2014/chart" uri="{C3380CC4-5D6E-409C-BE32-E72D297353CC}">
              <c16:uniqueId val="{00000004-0EF0-4D43-920F-4D8E0275E3F5}"/>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A1C4-D647-8FC5-4AA27622F264}"/>
              </c:ext>
            </c:extLst>
          </c:dPt>
          <c:dPt>
            <c:idx val="1"/>
            <c:bubble3D val="0"/>
            <c:spPr>
              <a:solidFill>
                <a:schemeClr val="accent2"/>
              </a:solidFill>
            </c:spPr>
            <c:extLst>
              <c:ext xmlns:c16="http://schemas.microsoft.com/office/drawing/2014/chart" uri="{C3380CC4-5D6E-409C-BE32-E72D297353CC}">
                <c16:uniqueId val="{00000003-A1C4-D647-8FC5-4AA27622F264}"/>
              </c:ext>
            </c:extLst>
          </c:dPt>
          <c:dPt>
            <c:idx val="2"/>
            <c:bubble3D val="0"/>
            <c:spPr>
              <a:solidFill>
                <a:schemeClr val="accent3"/>
              </a:solidFill>
            </c:spPr>
            <c:extLst>
              <c:ext xmlns:c16="http://schemas.microsoft.com/office/drawing/2014/chart" uri="{C3380CC4-5D6E-409C-BE32-E72D297353CC}">
                <c16:uniqueId val="{00000005-A1C4-D647-8FC5-4AA27622F264}"/>
              </c:ext>
            </c:extLst>
          </c:dPt>
          <c:dPt>
            <c:idx val="3"/>
            <c:bubble3D val="0"/>
            <c:spPr>
              <a:solidFill>
                <a:schemeClr val="accent4"/>
              </a:solidFill>
            </c:spPr>
            <c:extLst>
              <c:ext xmlns:c16="http://schemas.microsoft.com/office/drawing/2014/chart" uri="{C3380CC4-5D6E-409C-BE32-E72D297353CC}">
                <c16:uniqueId val="{00000007-A1C4-D647-8FC5-4AA27622F264}"/>
              </c:ext>
            </c:extLst>
          </c:dPt>
          <c:dPt>
            <c:idx val="4"/>
            <c:bubble3D val="0"/>
            <c:spPr>
              <a:solidFill>
                <a:schemeClr val="accent5"/>
              </a:solidFill>
            </c:spPr>
            <c:extLst>
              <c:ext xmlns:c16="http://schemas.microsoft.com/office/drawing/2014/chart" uri="{C3380CC4-5D6E-409C-BE32-E72D297353CC}">
                <c16:uniqueId val="{00000009-A1C4-D647-8FC5-4AA27622F264}"/>
              </c:ext>
            </c:extLst>
          </c:dPt>
          <c:dPt>
            <c:idx val="5"/>
            <c:bubble3D val="0"/>
            <c:spPr>
              <a:solidFill>
                <a:schemeClr val="accent6"/>
              </a:solidFill>
            </c:spPr>
            <c:extLst>
              <c:ext xmlns:c16="http://schemas.microsoft.com/office/drawing/2014/chart" uri="{C3380CC4-5D6E-409C-BE32-E72D297353CC}">
                <c16:uniqueId val="{0000000B-A1C4-D647-8FC5-4AA27622F264}"/>
              </c:ext>
            </c:extLst>
          </c:dPt>
          <c:dPt>
            <c:idx val="6"/>
            <c:bubble3D val="0"/>
            <c:spPr>
              <a:solidFill>
                <a:schemeClr val="accent1"/>
              </a:solidFill>
            </c:spPr>
            <c:extLst>
              <c:ext xmlns:c16="http://schemas.microsoft.com/office/drawing/2014/chart" uri="{C3380CC4-5D6E-409C-BE32-E72D297353CC}">
                <c16:uniqueId val="{0000000D-A1C4-D647-8FC5-4AA27622F264}"/>
              </c:ext>
            </c:extLst>
          </c:dPt>
          <c:dPt>
            <c:idx val="7"/>
            <c:bubble3D val="0"/>
            <c:spPr>
              <a:solidFill>
                <a:schemeClr val="accent2"/>
              </a:solidFill>
            </c:spPr>
            <c:extLst>
              <c:ext xmlns:c16="http://schemas.microsoft.com/office/drawing/2014/chart" uri="{C3380CC4-5D6E-409C-BE32-E72D297353CC}">
                <c16:uniqueId val="{0000000F-A1C4-D647-8FC5-4AA27622F264}"/>
              </c:ext>
            </c:extLst>
          </c:dPt>
          <c:dPt>
            <c:idx val="8"/>
            <c:bubble3D val="0"/>
            <c:spPr>
              <a:solidFill>
                <a:schemeClr val="accent3"/>
              </a:solidFill>
            </c:spPr>
            <c:extLst>
              <c:ext xmlns:c16="http://schemas.microsoft.com/office/drawing/2014/chart" uri="{C3380CC4-5D6E-409C-BE32-E72D297353CC}">
                <c16:uniqueId val="{00000011-A1C4-D647-8FC5-4AA27622F264}"/>
              </c:ext>
            </c:extLst>
          </c:dPt>
          <c:dPt>
            <c:idx val="9"/>
            <c:bubble3D val="0"/>
            <c:spPr>
              <a:solidFill>
                <a:schemeClr val="accent4"/>
              </a:solidFill>
            </c:spPr>
            <c:extLst>
              <c:ext xmlns:c16="http://schemas.microsoft.com/office/drawing/2014/chart" uri="{C3380CC4-5D6E-409C-BE32-E72D297353CC}">
                <c16:uniqueId val="{00000013-A1C4-D647-8FC5-4AA27622F264}"/>
              </c:ext>
            </c:extLst>
          </c:dPt>
          <c:dPt>
            <c:idx val="10"/>
            <c:bubble3D val="0"/>
            <c:spPr>
              <a:solidFill>
                <a:schemeClr val="accent5"/>
              </a:solidFill>
            </c:spPr>
            <c:extLst>
              <c:ext xmlns:c16="http://schemas.microsoft.com/office/drawing/2014/chart" uri="{C3380CC4-5D6E-409C-BE32-E72D297353CC}">
                <c16:uniqueId val="{00000015-A1C4-D647-8FC5-4AA27622F264}"/>
              </c:ext>
            </c:extLst>
          </c:dPt>
          <c:dPt>
            <c:idx val="11"/>
            <c:bubble3D val="0"/>
            <c:spPr>
              <a:solidFill>
                <a:schemeClr val="accent6"/>
              </a:solidFill>
            </c:spPr>
            <c:extLst>
              <c:ext xmlns:c16="http://schemas.microsoft.com/office/drawing/2014/chart" uri="{C3380CC4-5D6E-409C-BE32-E72D297353CC}">
                <c16:uniqueId val="{00000017-A1C4-D647-8FC5-4AA27622F264}"/>
              </c:ext>
            </c:extLst>
          </c:dPt>
          <c:dPt>
            <c:idx val="12"/>
            <c:bubble3D val="0"/>
            <c:spPr>
              <a:solidFill>
                <a:schemeClr val="accent1"/>
              </a:solidFill>
            </c:spPr>
            <c:extLst>
              <c:ext xmlns:c16="http://schemas.microsoft.com/office/drawing/2014/chart" uri="{C3380CC4-5D6E-409C-BE32-E72D297353CC}">
                <c16:uniqueId val="{00000019-A1C4-D647-8FC5-4AA27622F264}"/>
              </c:ext>
            </c:extLst>
          </c:dPt>
          <c:dPt>
            <c:idx val="13"/>
            <c:bubble3D val="0"/>
            <c:spPr>
              <a:solidFill>
                <a:schemeClr val="accent2"/>
              </a:solidFill>
            </c:spPr>
            <c:extLst>
              <c:ext xmlns:c16="http://schemas.microsoft.com/office/drawing/2014/chart" uri="{C3380CC4-5D6E-409C-BE32-E72D297353CC}">
                <c16:uniqueId val="{0000001B-A1C4-D647-8FC5-4AA27622F264}"/>
              </c:ext>
            </c:extLst>
          </c:dPt>
          <c:dPt>
            <c:idx val="14"/>
            <c:bubble3D val="0"/>
            <c:spPr>
              <a:solidFill>
                <a:schemeClr val="accent3"/>
              </a:solidFill>
            </c:spPr>
            <c:extLst>
              <c:ext xmlns:c16="http://schemas.microsoft.com/office/drawing/2014/chart" uri="{C3380CC4-5D6E-409C-BE32-E72D297353CC}">
                <c16:uniqueId val="{0000001D-A1C4-D647-8FC5-4AA27622F264}"/>
              </c:ext>
            </c:extLst>
          </c:dPt>
          <c:dPt>
            <c:idx val="15"/>
            <c:bubble3D val="0"/>
            <c:spPr>
              <a:solidFill>
                <a:schemeClr val="accent4"/>
              </a:solidFill>
            </c:spPr>
            <c:extLst>
              <c:ext xmlns:c16="http://schemas.microsoft.com/office/drawing/2014/chart" uri="{C3380CC4-5D6E-409C-BE32-E72D297353CC}">
                <c16:uniqueId val="{0000001F-A1C4-D647-8FC5-4AA27622F264}"/>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'Aircraft maintenance hangar'!$F$95:$F$110</c:f>
              <c:strCache>
                <c:ptCount val="16"/>
                <c:pt idx="0">
                  <c:v>concrete</c:v>
                </c:pt>
                <c:pt idx="1">
                  <c:v>CMU</c:v>
                </c:pt>
                <c:pt idx="2">
                  <c:v>carbon steel</c:v>
                </c:pt>
                <c:pt idx="3">
                  <c:v>hot-rolled structural steel</c:v>
                </c:pt>
                <c:pt idx="4">
                  <c:v>cold-formed structural steel</c:v>
                </c:pt>
                <c:pt idx="5">
                  <c:v>transite</c:v>
                </c:pt>
                <c:pt idx="6">
                  <c:v>polyisocyanurate foam board</c:v>
                </c:pt>
                <c:pt idx="7">
                  <c:v>glass mat gypsum board</c:v>
                </c:pt>
                <c:pt idx="8">
                  <c:v>cold-formed galvanized steel</c:v>
                </c:pt>
                <c:pt idx="9">
                  <c:v>Laminated glass</c:v>
                </c:pt>
                <c:pt idx="10">
                  <c:v>Polyvinyl Butyral (PVB) interlayer film</c:v>
                </c:pt>
                <c:pt idx="11">
                  <c:v>aluminum</c:v>
                </c:pt>
                <c:pt idx="12">
                  <c:v>TPO</c:v>
                </c:pt>
                <c:pt idx="13">
                  <c:v>#15 felt</c:v>
                </c:pt>
                <c:pt idx="14">
                  <c:v>#30 felt</c:v>
                </c:pt>
                <c:pt idx="15">
                  <c:v>plywood</c:v>
                </c:pt>
              </c:strCache>
            </c:strRef>
          </c:cat>
          <c:val>
            <c:numRef>
              <c:f>'Aircraft maintenance hangar'!$G$95:$G$110</c:f>
              <c:numCache>
                <c:formatCode>_(* #,##0_);_(* \(#,##0\);_(* "-"??_);_(@_)</c:formatCode>
                <c:ptCount val="16"/>
                <c:pt idx="0">
                  <c:v>12203125</c:v>
                </c:pt>
                <c:pt idx="1">
                  <c:v>1500000</c:v>
                </c:pt>
                <c:pt idx="2">
                  <c:v>507115</c:v>
                </c:pt>
                <c:pt idx="3">
                  <c:v>456880</c:v>
                </c:pt>
                <c:pt idx="4">
                  <c:v>545197.6</c:v>
                </c:pt>
                <c:pt idx="5">
                  <c:v>164000</c:v>
                </c:pt>
                <c:pt idx="6">
                  <c:v>82916.666666666657</c:v>
                </c:pt>
                <c:pt idx="7">
                  <c:v>289333.33333333331</c:v>
                </c:pt>
                <c:pt idx="8">
                  <c:v>176163.59999999998</c:v>
                </c:pt>
                <c:pt idx="9">
                  <c:v>9006</c:v>
                </c:pt>
                <c:pt idx="10">
                  <c:v>465.12</c:v>
                </c:pt>
                <c:pt idx="11">
                  <c:v>2931</c:v>
                </c:pt>
                <c:pt idx="12">
                  <c:v>36050</c:v>
                </c:pt>
                <c:pt idx="13">
                  <c:v>6000</c:v>
                </c:pt>
                <c:pt idx="14">
                  <c:v>645</c:v>
                </c:pt>
                <c:pt idx="15">
                  <c:v>4680</c:v>
                </c:pt>
              </c:numCache>
            </c:numRef>
          </c:val>
          <c:extLst>
            <c:ext xmlns:c16="http://schemas.microsoft.com/office/drawing/2014/chart" uri="{C3380CC4-5D6E-409C-BE32-E72D297353CC}">
              <c16:uniqueId val="{00000020-A1C4-D647-8FC5-4AA27622F26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58B-D448-A12C-64930E1E3C1D}"/>
              </c:ext>
            </c:extLst>
          </c:dPt>
          <c:dPt>
            <c:idx val="1"/>
            <c:bubble3D val="0"/>
            <c:spPr>
              <a:solidFill>
                <a:schemeClr val="accent2"/>
              </a:solidFill>
            </c:spPr>
            <c:extLst>
              <c:ext xmlns:c16="http://schemas.microsoft.com/office/drawing/2014/chart" uri="{C3380CC4-5D6E-409C-BE32-E72D297353CC}">
                <c16:uniqueId val="{00000003-E58B-D448-A12C-64930E1E3C1D}"/>
              </c:ext>
            </c:extLst>
          </c:dPt>
          <c:dPt>
            <c:idx val="2"/>
            <c:bubble3D val="0"/>
            <c:spPr>
              <a:solidFill>
                <a:schemeClr val="accent3"/>
              </a:solidFill>
            </c:spPr>
            <c:extLst>
              <c:ext xmlns:c16="http://schemas.microsoft.com/office/drawing/2014/chart" uri="{C3380CC4-5D6E-409C-BE32-E72D297353CC}">
                <c16:uniqueId val="{00000005-E58B-D448-A12C-64930E1E3C1D}"/>
              </c:ext>
            </c:extLst>
          </c:dPt>
          <c:dPt>
            <c:idx val="3"/>
            <c:bubble3D val="0"/>
            <c:spPr>
              <a:solidFill>
                <a:schemeClr val="accent4"/>
              </a:solidFill>
            </c:spPr>
            <c:extLst>
              <c:ext xmlns:c16="http://schemas.microsoft.com/office/drawing/2014/chart" uri="{C3380CC4-5D6E-409C-BE32-E72D297353CC}">
                <c16:uniqueId val="{00000007-E58B-D448-A12C-64930E1E3C1D}"/>
              </c:ext>
            </c:extLst>
          </c:dPt>
          <c:dPt>
            <c:idx val="4"/>
            <c:bubble3D val="0"/>
            <c:spPr>
              <a:solidFill>
                <a:schemeClr val="accent5"/>
              </a:solidFill>
            </c:spPr>
            <c:extLst>
              <c:ext xmlns:c16="http://schemas.microsoft.com/office/drawing/2014/chart" uri="{C3380CC4-5D6E-409C-BE32-E72D297353CC}">
                <c16:uniqueId val="{00000009-E58B-D448-A12C-64930E1E3C1D}"/>
              </c:ext>
            </c:extLst>
          </c:dPt>
          <c:dPt>
            <c:idx val="5"/>
            <c:bubble3D val="0"/>
            <c:spPr>
              <a:solidFill>
                <a:schemeClr val="accent6"/>
              </a:solidFill>
            </c:spPr>
            <c:extLst>
              <c:ext xmlns:c16="http://schemas.microsoft.com/office/drawing/2014/chart" uri="{C3380CC4-5D6E-409C-BE32-E72D297353CC}">
                <c16:uniqueId val="{0000000B-E58B-D448-A12C-64930E1E3C1D}"/>
              </c:ext>
            </c:extLst>
          </c:dPt>
          <c:dPt>
            <c:idx val="6"/>
            <c:bubble3D val="0"/>
            <c:spPr>
              <a:solidFill>
                <a:schemeClr val="accent1"/>
              </a:solidFill>
            </c:spPr>
            <c:extLst>
              <c:ext xmlns:c16="http://schemas.microsoft.com/office/drawing/2014/chart" uri="{C3380CC4-5D6E-409C-BE32-E72D297353CC}">
                <c16:uniqueId val="{0000000D-E58B-D448-A12C-64930E1E3C1D}"/>
              </c:ext>
            </c:extLst>
          </c:dPt>
          <c:dPt>
            <c:idx val="7"/>
            <c:bubble3D val="0"/>
            <c:spPr>
              <a:solidFill>
                <a:schemeClr val="accent2"/>
              </a:solidFill>
            </c:spPr>
            <c:extLst>
              <c:ext xmlns:c16="http://schemas.microsoft.com/office/drawing/2014/chart" uri="{C3380CC4-5D6E-409C-BE32-E72D297353CC}">
                <c16:uniqueId val="{0000000F-E58B-D448-A12C-64930E1E3C1D}"/>
              </c:ext>
            </c:extLst>
          </c:dPt>
          <c:dPt>
            <c:idx val="8"/>
            <c:bubble3D val="0"/>
            <c:spPr>
              <a:solidFill>
                <a:schemeClr val="accent3"/>
              </a:solidFill>
            </c:spPr>
            <c:extLst>
              <c:ext xmlns:c16="http://schemas.microsoft.com/office/drawing/2014/chart" uri="{C3380CC4-5D6E-409C-BE32-E72D297353CC}">
                <c16:uniqueId val="{00000011-E58B-D448-A12C-64930E1E3C1D}"/>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'Aircraft maintenance hangar'!$F$113:$F$121</c:f>
              <c:strCache>
                <c:ptCount val="9"/>
                <c:pt idx="0">
                  <c:v>concrete</c:v>
                </c:pt>
                <c:pt idx="1">
                  <c:v>steel</c:v>
                </c:pt>
                <c:pt idx="2">
                  <c:v>wood</c:v>
                </c:pt>
                <c:pt idx="3">
                  <c:v>transite</c:v>
                </c:pt>
                <c:pt idx="4">
                  <c:v>plastic</c:v>
                </c:pt>
                <c:pt idx="5">
                  <c:v>gypsum board</c:v>
                </c:pt>
                <c:pt idx="6">
                  <c:v>Glass</c:v>
                </c:pt>
                <c:pt idx="7">
                  <c:v>aluminum</c:v>
                </c:pt>
                <c:pt idx="8">
                  <c:v>organic mat, asphalt coating</c:v>
                </c:pt>
              </c:strCache>
            </c:strRef>
          </c:cat>
          <c:val>
            <c:numRef>
              <c:f>'Aircraft maintenance hangar'!$G$113:$G$121</c:f>
              <c:numCache>
                <c:formatCode>_(* #,##0_);_(* \(#,##0\);_(* "-"??_);_(@_)</c:formatCode>
                <c:ptCount val="9"/>
                <c:pt idx="0">
                  <c:v>13703125</c:v>
                </c:pt>
                <c:pt idx="1">
                  <c:v>1685356.1999999997</c:v>
                </c:pt>
                <c:pt idx="2">
                  <c:v>4680</c:v>
                </c:pt>
                <c:pt idx="3">
                  <c:v>164000</c:v>
                </c:pt>
                <c:pt idx="4">
                  <c:v>119431.78666666667</c:v>
                </c:pt>
                <c:pt idx="5">
                  <c:v>289333.33333333331</c:v>
                </c:pt>
                <c:pt idx="6">
                  <c:v>9006</c:v>
                </c:pt>
                <c:pt idx="7">
                  <c:v>2931</c:v>
                </c:pt>
                <c:pt idx="8">
                  <c:v>6645</c:v>
                </c:pt>
              </c:numCache>
            </c:numRef>
          </c:val>
          <c:extLst>
            <c:ext xmlns:c16="http://schemas.microsoft.com/office/drawing/2014/chart" uri="{C3380CC4-5D6E-409C-BE32-E72D297353CC}">
              <c16:uniqueId val="{00000012-E58B-D448-A12C-64930E1E3C1D}"/>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B368-2D43-8234-3737504BAA04}"/>
              </c:ext>
            </c:extLst>
          </c:dPt>
          <c:dPt>
            <c:idx val="1"/>
            <c:bubble3D val="0"/>
            <c:spPr>
              <a:solidFill>
                <a:schemeClr val="accent2"/>
              </a:solidFill>
            </c:spPr>
            <c:extLst>
              <c:ext xmlns:c16="http://schemas.microsoft.com/office/drawing/2014/chart" uri="{C3380CC4-5D6E-409C-BE32-E72D297353CC}">
                <c16:uniqueId val="{00000003-B368-2D43-8234-3737504BAA04}"/>
              </c:ext>
            </c:extLst>
          </c:dPt>
          <c:dPt>
            <c:idx val="2"/>
            <c:bubble3D val="0"/>
            <c:spPr>
              <a:solidFill>
                <a:schemeClr val="accent3"/>
              </a:solidFill>
            </c:spPr>
            <c:extLst>
              <c:ext xmlns:c16="http://schemas.microsoft.com/office/drawing/2014/chart" uri="{C3380CC4-5D6E-409C-BE32-E72D297353CC}">
                <c16:uniqueId val="{00000005-B368-2D43-8234-3737504BAA04}"/>
              </c:ext>
            </c:extLst>
          </c:dPt>
          <c:dPt>
            <c:idx val="3"/>
            <c:bubble3D val="0"/>
            <c:spPr>
              <a:solidFill>
                <a:schemeClr val="accent4"/>
              </a:solidFill>
            </c:spPr>
            <c:extLst>
              <c:ext xmlns:c16="http://schemas.microsoft.com/office/drawing/2014/chart" uri="{C3380CC4-5D6E-409C-BE32-E72D297353CC}">
                <c16:uniqueId val="{00000007-B368-2D43-8234-3737504BAA04}"/>
              </c:ext>
            </c:extLst>
          </c:dPt>
          <c:dPt>
            <c:idx val="4"/>
            <c:bubble3D val="0"/>
            <c:spPr>
              <a:solidFill>
                <a:schemeClr val="accent5"/>
              </a:solidFill>
            </c:spPr>
            <c:extLst>
              <c:ext xmlns:c16="http://schemas.microsoft.com/office/drawing/2014/chart" uri="{C3380CC4-5D6E-409C-BE32-E72D297353CC}">
                <c16:uniqueId val="{00000009-B368-2D43-8234-3737504BAA04}"/>
              </c:ext>
            </c:extLst>
          </c:dPt>
          <c:dPt>
            <c:idx val="5"/>
            <c:bubble3D val="0"/>
            <c:spPr>
              <a:solidFill>
                <a:schemeClr val="accent6"/>
              </a:solidFill>
            </c:spPr>
            <c:extLst>
              <c:ext xmlns:c16="http://schemas.microsoft.com/office/drawing/2014/chart" uri="{C3380CC4-5D6E-409C-BE32-E72D297353CC}">
                <c16:uniqueId val="{0000000B-B368-2D43-8234-3737504BAA04}"/>
              </c:ext>
            </c:extLst>
          </c:dPt>
          <c:dPt>
            <c:idx val="6"/>
            <c:bubble3D val="0"/>
            <c:spPr>
              <a:solidFill>
                <a:schemeClr val="accent1"/>
              </a:solidFill>
            </c:spPr>
            <c:extLst>
              <c:ext xmlns:c16="http://schemas.microsoft.com/office/drawing/2014/chart" uri="{C3380CC4-5D6E-409C-BE32-E72D297353CC}">
                <c16:uniqueId val="{0000000D-B368-2D43-8234-3737504BAA04}"/>
              </c:ext>
            </c:extLst>
          </c:dPt>
          <c:dPt>
            <c:idx val="7"/>
            <c:bubble3D val="0"/>
            <c:spPr>
              <a:solidFill>
                <a:schemeClr val="accent2"/>
              </a:solidFill>
            </c:spPr>
            <c:extLst>
              <c:ext xmlns:c16="http://schemas.microsoft.com/office/drawing/2014/chart" uri="{C3380CC4-5D6E-409C-BE32-E72D297353CC}">
                <c16:uniqueId val="{0000000F-B368-2D43-8234-3737504BAA04}"/>
              </c:ext>
            </c:extLst>
          </c:dPt>
          <c:dPt>
            <c:idx val="8"/>
            <c:bubble3D val="0"/>
            <c:spPr>
              <a:solidFill>
                <a:schemeClr val="accent3"/>
              </a:solidFill>
            </c:spPr>
            <c:extLst>
              <c:ext xmlns:c16="http://schemas.microsoft.com/office/drawing/2014/chart" uri="{C3380CC4-5D6E-409C-BE32-E72D297353CC}">
                <c16:uniqueId val="{00000011-B368-2D43-8234-3737504BAA04}"/>
              </c:ext>
            </c:extLst>
          </c:dPt>
          <c:dPt>
            <c:idx val="9"/>
            <c:bubble3D val="0"/>
            <c:spPr>
              <a:solidFill>
                <a:schemeClr val="accent4"/>
              </a:solidFill>
            </c:spPr>
            <c:extLst>
              <c:ext xmlns:c16="http://schemas.microsoft.com/office/drawing/2014/chart" uri="{C3380CC4-5D6E-409C-BE32-E72D297353CC}">
                <c16:uniqueId val="{00000013-B368-2D43-8234-3737504BAA04}"/>
              </c:ext>
            </c:extLst>
          </c:dPt>
          <c:dPt>
            <c:idx val="10"/>
            <c:bubble3D val="0"/>
            <c:spPr>
              <a:solidFill>
                <a:schemeClr val="accent5"/>
              </a:solidFill>
            </c:spPr>
            <c:extLst>
              <c:ext xmlns:c16="http://schemas.microsoft.com/office/drawing/2014/chart" uri="{C3380CC4-5D6E-409C-BE32-E72D297353CC}">
                <c16:uniqueId val="{00000015-B368-2D43-8234-3737504BAA04}"/>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Armory!$F$45:$F$55</c:f>
              <c:strCache>
                <c:ptCount val="11"/>
                <c:pt idx="0">
                  <c:v>concrete</c:v>
                </c:pt>
                <c:pt idx="1">
                  <c:v>carbon steel</c:v>
                </c:pt>
                <c:pt idx="2">
                  <c:v>cold-formed, galvanized steel</c:v>
                </c:pt>
                <c:pt idx="3">
                  <c:v>cold-formed, structural steel</c:v>
                </c:pt>
                <c:pt idx="4">
                  <c:v>concrete masonry unit</c:v>
                </c:pt>
                <c:pt idx="5">
                  <c:v>Laminated glass</c:v>
                </c:pt>
                <c:pt idx="6">
                  <c:v>Polyvinyl Butyral (PVB) interlayer film</c:v>
                </c:pt>
                <c:pt idx="7">
                  <c:v>polyisocyanurate foam board</c:v>
                </c:pt>
                <c:pt idx="8">
                  <c:v>glass mat gypsum board</c:v>
                </c:pt>
                <c:pt idx="9">
                  <c:v>asphalt BUR membrane</c:v>
                </c:pt>
                <c:pt idx="10">
                  <c:v>granulated modified bitumen cap sheet</c:v>
                </c:pt>
              </c:strCache>
            </c:strRef>
          </c:cat>
          <c:val>
            <c:numRef>
              <c:f>Armory!$G$45:$G$55</c:f>
              <c:numCache>
                <c:formatCode>_(* #,##0_);_(* \(#,##0\);_(* "-"??_);_(@_)</c:formatCode>
                <c:ptCount val="11"/>
                <c:pt idx="0">
                  <c:v>781500</c:v>
                </c:pt>
                <c:pt idx="1">
                  <c:v>46880</c:v>
                </c:pt>
                <c:pt idx="2">
                  <c:v>14166.75</c:v>
                </c:pt>
                <c:pt idx="3">
                  <c:v>24821</c:v>
                </c:pt>
                <c:pt idx="4">
                  <c:v>860000</c:v>
                </c:pt>
                <c:pt idx="5">
                  <c:v>69.125</c:v>
                </c:pt>
                <c:pt idx="6">
                  <c:v>3.5700000000000003</c:v>
                </c:pt>
                <c:pt idx="7">
                  <c:v>5312.5</c:v>
                </c:pt>
                <c:pt idx="8">
                  <c:v>17000</c:v>
                </c:pt>
                <c:pt idx="9">
                  <c:v>53550</c:v>
                </c:pt>
                <c:pt idx="10">
                  <c:v>8500</c:v>
                </c:pt>
              </c:numCache>
            </c:numRef>
          </c:val>
          <c:extLst>
            <c:ext xmlns:c16="http://schemas.microsoft.com/office/drawing/2014/chart" uri="{C3380CC4-5D6E-409C-BE32-E72D297353CC}">
              <c16:uniqueId val="{00000016-B368-2D43-8234-3737504BAA04}"/>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2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B3AA-5E4D-AF73-247FF923F58B}"/>
              </c:ext>
            </c:extLst>
          </c:dPt>
          <c:dPt>
            <c:idx val="1"/>
            <c:bubble3D val="0"/>
            <c:spPr>
              <a:solidFill>
                <a:schemeClr val="accent2"/>
              </a:solidFill>
            </c:spPr>
            <c:extLst>
              <c:ext xmlns:c16="http://schemas.microsoft.com/office/drawing/2014/chart" uri="{C3380CC4-5D6E-409C-BE32-E72D297353CC}">
                <c16:uniqueId val="{00000003-B3AA-5E4D-AF73-247FF923F58B}"/>
              </c:ext>
            </c:extLst>
          </c:dPt>
          <c:dPt>
            <c:idx val="2"/>
            <c:bubble3D val="0"/>
            <c:spPr>
              <a:solidFill>
                <a:schemeClr val="accent3"/>
              </a:solidFill>
            </c:spPr>
            <c:extLst>
              <c:ext xmlns:c16="http://schemas.microsoft.com/office/drawing/2014/chart" uri="{C3380CC4-5D6E-409C-BE32-E72D297353CC}">
                <c16:uniqueId val="{00000005-B3AA-5E4D-AF73-247FF923F58B}"/>
              </c:ext>
            </c:extLst>
          </c:dPt>
          <c:dPt>
            <c:idx val="3"/>
            <c:bubble3D val="0"/>
            <c:spPr>
              <a:solidFill>
                <a:schemeClr val="accent4"/>
              </a:solidFill>
            </c:spPr>
            <c:extLst>
              <c:ext xmlns:c16="http://schemas.microsoft.com/office/drawing/2014/chart" uri="{C3380CC4-5D6E-409C-BE32-E72D297353CC}">
                <c16:uniqueId val="{00000007-B3AA-5E4D-AF73-247FF923F58B}"/>
              </c:ext>
            </c:extLst>
          </c:dPt>
          <c:dPt>
            <c:idx val="4"/>
            <c:bubble3D val="0"/>
            <c:spPr>
              <a:solidFill>
                <a:schemeClr val="accent5"/>
              </a:solidFill>
            </c:spPr>
            <c:extLst>
              <c:ext xmlns:c16="http://schemas.microsoft.com/office/drawing/2014/chart" uri="{C3380CC4-5D6E-409C-BE32-E72D297353CC}">
                <c16:uniqueId val="{00000009-B3AA-5E4D-AF73-247FF923F58B}"/>
              </c:ext>
            </c:extLst>
          </c:dPt>
          <c:dPt>
            <c:idx val="5"/>
            <c:bubble3D val="0"/>
            <c:spPr>
              <a:solidFill>
                <a:schemeClr val="accent6"/>
              </a:solidFill>
            </c:spPr>
            <c:extLst>
              <c:ext xmlns:c16="http://schemas.microsoft.com/office/drawing/2014/chart" uri="{C3380CC4-5D6E-409C-BE32-E72D297353CC}">
                <c16:uniqueId val="{0000000B-B3AA-5E4D-AF73-247FF923F58B}"/>
              </c:ext>
            </c:extLst>
          </c:dPt>
          <c:dPt>
            <c:idx val="6"/>
            <c:bubble3D val="0"/>
            <c:spPr>
              <a:solidFill>
                <a:schemeClr val="accent1"/>
              </a:solidFill>
            </c:spPr>
            <c:extLst>
              <c:ext xmlns:c16="http://schemas.microsoft.com/office/drawing/2014/chart" uri="{C3380CC4-5D6E-409C-BE32-E72D297353CC}">
                <c16:uniqueId val="{0000000D-B3AA-5E4D-AF73-247FF923F58B}"/>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Armory!$F$59:$F$65</c:f>
              <c:strCache>
                <c:ptCount val="7"/>
                <c:pt idx="0">
                  <c:v>concrete</c:v>
                </c:pt>
                <c:pt idx="1">
                  <c:v>steel</c:v>
                </c:pt>
                <c:pt idx="2">
                  <c:v>Glass</c:v>
                </c:pt>
                <c:pt idx="3">
                  <c:v>plastic</c:v>
                </c:pt>
                <c:pt idx="4">
                  <c:v>gypsum board</c:v>
                </c:pt>
                <c:pt idx="5">
                  <c:v>asphalt</c:v>
                </c:pt>
                <c:pt idx="6">
                  <c:v>modified bitumen</c:v>
                </c:pt>
              </c:strCache>
            </c:strRef>
          </c:cat>
          <c:val>
            <c:numRef>
              <c:f>Armory!$G$59:$G$65</c:f>
              <c:numCache>
                <c:formatCode>_(* #,##0_);_(* \(#,##0\);_(* "-"??_);_(@_)</c:formatCode>
                <c:ptCount val="7"/>
                <c:pt idx="0">
                  <c:v>1641500</c:v>
                </c:pt>
                <c:pt idx="1">
                  <c:v>85867.75</c:v>
                </c:pt>
                <c:pt idx="2">
                  <c:v>69.125</c:v>
                </c:pt>
                <c:pt idx="3">
                  <c:v>5316.07</c:v>
                </c:pt>
                <c:pt idx="4">
                  <c:v>17000</c:v>
                </c:pt>
                <c:pt idx="5">
                  <c:v>53550</c:v>
                </c:pt>
                <c:pt idx="6">
                  <c:v>8500</c:v>
                </c:pt>
              </c:numCache>
            </c:numRef>
          </c:val>
          <c:extLst>
            <c:ext xmlns:c16="http://schemas.microsoft.com/office/drawing/2014/chart" uri="{C3380CC4-5D6E-409C-BE32-E72D297353CC}">
              <c16:uniqueId val="{0000000E-B3AA-5E4D-AF73-247FF923F58B}"/>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543-924A-AB24-09733613405E}"/>
              </c:ext>
            </c:extLst>
          </c:dPt>
          <c:dPt>
            <c:idx val="1"/>
            <c:bubble3D val="0"/>
            <c:spPr>
              <a:solidFill>
                <a:schemeClr val="accent2"/>
              </a:solidFill>
            </c:spPr>
            <c:extLst>
              <c:ext xmlns:c16="http://schemas.microsoft.com/office/drawing/2014/chart" uri="{C3380CC4-5D6E-409C-BE32-E72D297353CC}">
                <c16:uniqueId val="{00000003-1543-924A-AB24-09733613405E}"/>
              </c:ext>
            </c:extLst>
          </c:dPt>
          <c:dPt>
            <c:idx val="2"/>
            <c:bubble3D val="0"/>
            <c:spPr>
              <a:solidFill>
                <a:schemeClr val="accent3"/>
              </a:solidFill>
            </c:spPr>
            <c:extLst>
              <c:ext xmlns:c16="http://schemas.microsoft.com/office/drawing/2014/chart" uri="{C3380CC4-5D6E-409C-BE32-E72D297353CC}">
                <c16:uniqueId val="{00000005-1543-924A-AB24-09733613405E}"/>
              </c:ext>
            </c:extLst>
          </c:dPt>
          <c:dPt>
            <c:idx val="3"/>
            <c:bubble3D val="0"/>
            <c:spPr>
              <a:solidFill>
                <a:schemeClr val="accent4"/>
              </a:solidFill>
            </c:spPr>
            <c:extLst>
              <c:ext xmlns:c16="http://schemas.microsoft.com/office/drawing/2014/chart" uri="{C3380CC4-5D6E-409C-BE32-E72D297353CC}">
                <c16:uniqueId val="{00000007-1543-924A-AB24-09733613405E}"/>
              </c:ext>
            </c:extLst>
          </c:dPt>
          <c:dPt>
            <c:idx val="4"/>
            <c:bubble3D val="0"/>
            <c:spPr>
              <a:solidFill>
                <a:schemeClr val="accent5"/>
              </a:solidFill>
            </c:spPr>
            <c:extLst>
              <c:ext xmlns:c16="http://schemas.microsoft.com/office/drawing/2014/chart" uri="{C3380CC4-5D6E-409C-BE32-E72D297353CC}">
                <c16:uniqueId val="{00000009-1543-924A-AB24-09733613405E}"/>
              </c:ext>
            </c:extLst>
          </c:dPt>
          <c:dPt>
            <c:idx val="5"/>
            <c:bubble3D val="0"/>
            <c:spPr>
              <a:solidFill>
                <a:schemeClr val="accent6"/>
              </a:solidFill>
            </c:spPr>
            <c:extLst>
              <c:ext xmlns:c16="http://schemas.microsoft.com/office/drawing/2014/chart" uri="{C3380CC4-5D6E-409C-BE32-E72D297353CC}">
                <c16:uniqueId val="{0000000B-1543-924A-AB24-09733613405E}"/>
              </c:ext>
            </c:extLst>
          </c:dPt>
          <c:dPt>
            <c:idx val="6"/>
            <c:bubble3D val="0"/>
            <c:spPr>
              <a:solidFill>
                <a:schemeClr val="accent1"/>
              </a:solidFill>
            </c:spPr>
            <c:extLst>
              <c:ext xmlns:c16="http://schemas.microsoft.com/office/drawing/2014/chart" uri="{C3380CC4-5D6E-409C-BE32-E72D297353CC}">
                <c16:uniqueId val="{0000000D-1543-924A-AB24-09733613405E}"/>
              </c:ext>
            </c:extLst>
          </c:dPt>
          <c:dPt>
            <c:idx val="7"/>
            <c:bubble3D val="0"/>
            <c:spPr>
              <a:solidFill>
                <a:schemeClr val="accent2"/>
              </a:solidFill>
            </c:spPr>
            <c:extLst>
              <c:ext xmlns:c16="http://schemas.microsoft.com/office/drawing/2014/chart" uri="{C3380CC4-5D6E-409C-BE32-E72D297353CC}">
                <c16:uniqueId val="{0000000F-1543-924A-AB24-09733613405E}"/>
              </c:ext>
            </c:extLst>
          </c:dPt>
          <c:dPt>
            <c:idx val="8"/>
            <c:bubble3D val="0"/>
            <c:spPr>
              <a:solidFill>
                <a:schemeClr val="accent3"/>
              </a:solidFill>
            </c:spPr>
            <c:extLst>
              <c:ext xmlns:c16="http://schemas.microsoft.com/office/drawing/2014/chart" uri="{C3380CC4-5D6E-409C-BE32-E72D297353CC}">
                <c16:uniqueId val="{00000011-1543-924A-AB24-09733613405E}"/>
              </c:ext>
            </c:extLst>
          </c:dPt>
          <c:dPt>
            <c:idx val="9"/>
            <c:bubble3D val="0"/>
            <c:spPr>
              <a:solidFill>
                <a:schemeClr val="accent4"/>
              </a:solidFill>
            </c:spPr>
            <c:extLst>
              <c:ext xmlns:c16="http://schemas.microsoft.com/office/drawing/2014/chart" uri="{C3380CC4-5D6E-409C-BE32-E72D297353CC}">
                <c16:uniqueId val="{00000013-1543-924A-AB24-09733613405E}"/>
              </c:ext>
            </c:extLst>
          </c:dPt>
          <c:dPt>
            <c:idx val="10"/>
            <c:bubble3D val="0"/>
            <c:spPr>
              <a:solidFill>
                <a:schemeClr val="accent5"/>
              </a:solidFill>
            </c:spPr>
            <c:extLst>
              <c:ext xmlns:c16="http://schemas.microsoft.com/office/drawing/2014/chart" uri="{C3380CC4-5D6E-409C-BE32-E72D297353CC}">
                <c16:uniqueId val="{00000015-1543-924A-AB24-09733613405E}"/>
              </c:ext>
            </c:extLst>
          </c:dPt>
          <c:dPt>
            <c:idx val="11"/>
            <c:bubble3D val="0"/>
            <c:spPr>
              <a:solidFill>
                <a:schemeClr val="accent6"/>
              </a:solidFill>
            </c:spPr>
            <c:extLst>
              <c:ext xmlns:c16="http://schemas.microsoft.com/office/drawing/2014/chart" uri="{C3380CC4-5D6E-409C-BE32-E72D297353CC}">
                <c16:uniqueId val="{00000017-1543-924A-AB24-09733613405E}"/>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Communications!$F$47:$F$58</c:f>
              <c:strCache>
                <c:ptCount val="12"/>
                <c:pt idx="0">
                  <c:v>concrete</c:v>
                </c:pt>
                <c:pt idx="1">
                  <c:v>carbon steel</c:v>
                </c:pt>
                <c:pt idx="2">
                  <c:v>cold-formed structural steel</c:v>
                </c:pt>
                <c:pt idx="3">
                  <c:v>hot-rolled structural steel</c:v>
                </c:pt>
                <c:pt idx="4">
                  <c:v>concrete masonry unit</c:v>
                </c:pt>
                <c:pt idx="5">
                  <c:v>cold-formed galvanized steel</c:v>
                </c:pt>
                <c:pt idx="6">
                  <c:v>Laminated glass</c:v>
                </c:pt>
                <c:pt idx="7">
                  <c:v>Polyvinyl Butyral (PVB) interlayer film</c:v>
                </c:pt>
                <c:pt idx="8">
                  <c:v>polyisocyanurate foam board</c:v>
                </c:pt>
                <c:pt idx="9">
                  <c:v>glass mat gypsum board</c:v>
                </c:pt>
                <c:pt idx="10">
                  <c:v>asphalt BUR membrane</c:v>
                </c:pt>
                <c:pt idx="11">
                  <c:v>granulated modified bitumen cap sheet</c:v>
                </c:pt>
              </c:strCache>
            </c:strRef>
          </c:cat>
          <c:val>
            <c:numRef>
              <c:f>Communications!$G$47:$G$58</c:f>
              <c:numCache>
                <c:formatCode>_(* #,##0_);_(* \(#,##0\);_(* "-"??_);_(@_)</c:formatCode>
                <c:ptCount val="12"/>
                <c:pt idx="0">
                  <c:v>106500</c:v>
                </c:pt>
                <c:pt idx="1">
                  <c:v>6990</c:v>
                </c:pt>
                <c:pt idx="2">
                  <c:v>470.40000000000003</c:v>
                </c:pt>
                <c:pt idx="3">
                  <c:v>3900</c:v>
                </c:pt>
                <c:pt idx="4">
                  <c:v>150000</c:v>
                </c:pt>
                <c:pt idx="5">
                  <c:v>2507.6479999999997</c:v>
                </c:pt>
                <c:pt idx="6">
                  <c:v>421.33333333333331</c:v>
                </c:pt>
                <c:pt idx="7">
                  <c:v>21.76</c:v>
                </c:pt>
                <c:pt idx="8">
                  <c:v>1525.3333333333335</c:v>
                </c:pt>
                <c:pt idx="9">
                  <c:v>2816</c:v>
                </c:pt>
                <c:pt idx="10">
                  <c:v>8870.4</c:v>
                </c:pt>
                <c:pt idx="11">
                  <c:v>1408</c:v>
                </c:pt>
              </c:numCache>
            </c:numRef>
          </c:val>
          <c:extLst>
            <c:ext xmlns:c16="http://schemas.microsoft.com/office/drawing/2014/chart" uri="{C3380CC4-5D6E-409C-BE32-E72D297353CC}">
              <c16:uniqueId val="{00000018-1543-924A-AB24-09733613405E}"/>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2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6765-D940-A7AD-44F0BE8C9DB7}"/>
              </c:ext>
            </c:extLst>
          </c:dPt>
          <c:dPt>
            <c:idx val="1"/>
            <c:bubble3D val="0"/>
            <c:spPr>
              <a:solidFill>
                <a:schemeClr val="accent2"/>
              </a:solidFill>
            </c:spPr>
            <c:extLst>
              <c:ext xmlns:c16="http://schemas.microsoft.com/office/drawing/2014/chart" uri="{C3380CC4-5D6E-409C-BE32-E72D297353CC}">
                <c16:uniqueId val="{00000003-6765-D940-A7AD-44F0BE8C9DB7}"/>
              </c:ext>
            </c:extLst>
          </c:dPt>
          <c:dPt>
            <c:idx val="2"/>
            <c:bubble3D val="0"/>
            <c:spPr>
              <a:solidFill>
                <a:schemeClr val="accent3"/>
              </a:solidFill>
            </c:spPr>
            <c:extLst>
              <c:ext xmlns:c16="http://schemas.microsoft.com/office/drawing/2014/chart" uri="{C3380CC4-5D6E-409C-BE32-E72D297353CC}">
                <c16:uniqueId val="{00000005-6765-D940-A7AD-44F0BE8C9DB7}"/>
              </c:ext>
            </c:extLst>
          </c:dPt>
          <c:dPt>
            <c:idx val="3"/>
            <c:bubble3D val="0"/>
            <c:spPr>
              <a:solidFill>
                <a:schemeClr val="accent4"/>
              </a:solidFill>
            </c:spPr>
            <c:extLst>
              <c:ext xmlns:c16="http://schemas.microsoft.com/office/drawing/2014/chart" uri="{C3380CC4-5D6E-409C-BE32-E72D297353CC}">
                <c16:uniqueId val="{00000007-6765-D940-A7AD-44F0BE8C9DB7}"/>
              </c:ext>
            </c:extLst>
          </c:dPt>
          <c:dPt>
            <c:idx val="4"/>
            <c:bubble3D val="0"/>
            <c:spPr>
              <a:solidFill>
                <a:schemeClr val="accent5"/>
              </a:solidFill>
            </c:spPr>
            <c:extLst>
              <c:ext xmlns:c16="http://schemas.microsoft.com/office/drawing/2014/chart" uri="{C3380CC4-5D6E-409C-BE32-E72D297353CC}">
                <c16:uniqueId val="{00000009-6765-D940-A7AD-44F0BE8C9DB7}"/>
              </c:ext>
            </c:extLst>
          </c:dPt>
          <c:dPt>
            <c:idx val="5"/>
            <c:bubble3D val="0"/>
            <c:spPr>
              <a:solidFill>
                <a:schemeClr val="accent6"/>
              </a:solidFill>
            </c:spPr>
            <c:extLst>
              <c:ext xmlns:c16="http://schemas.microsoft.com/office/drawing/2014/chart" uri="{C3380CC4-5D6E-409C-BE32-E72D297353CC}">
                <c16:uniqueId val="{0000000B-6765-D940-A7AD-44F0BE8C9DB7}"/>
              </c:ext>
            </c:extLst>
          </c:dPt>
          <c:dPt>
            <c:idx val="6"/>
            <c:bubble3D val="0"/>
            <c:spPr>
              <a:solidFill>
                <a:schemeClr val="accent1"/>
              </a:solidFill>
            </c:spPr>
            <c:extLst>
              <c:ext xmlns:c16="http://schemas.microsoft.com/office/drawing/2014/chart" uri="{C3380CC4-5D6E-409C-BE32-E72D297353CC}">
                <c16:uniqueId val="{0000000D-6765-D940-A7AD-44F0BE8C9DB7}"/>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Communications!$F$62:$F$68</c:f>
              <c:strCache>
                <c:ptCount val="7"/>
                <c:pt idx="0">
                  <c:v>concrete</c:v>
                </c:pt>
                <c:pt idx="1">
                  <c:v>steel</c:v>
                </c:pt>
                <c:pt idx="2">
                  <c:v>Glass</c:v>
                </c:pt>
                <c:pt idx="3">
                  <c:v>plastic</c:v>
                </c:pt>
                <c:pt idx="4">
                  <c:v>gypsum board</c:v>
                </c:pt>
                <c:pt idx="5">
                  <c:v>asphalt</c:v>
                </c:pt>
                <c:pt idx="6">
                  <c:v>modified bitumen</c:v>
                </c:pt>
              </c:strCache>
            </c:strRef>
          </c:cat>
          <c:val>
            <c:numRef>
              <c:f>Communications!$G$62:$G$68</c:f>
              <c:numCache>
                <c:formatCode>_(* #,##0_);_(* \(#,##0\);_(* "-"??_);_(@_)</c:formatCode>
                <c:ptCount val="7"/>
                <c:pt idx="0">
                  <c:v>256500</c:v>
                </c:pt>
                <c:pt idx="1">
                  <c:v>13868.047999999999</c:v>
                </c:pt>
                <c:pt idx="2">
                  <c:v>421.33333333333331</c:v>
                </c:pt>
                <c:pt idx="3">
                  <c:v>1547.0933333333335</c:v>
                </c:pt>
                <c:pt idx="4">
                  <c:v>2816</c:v>
                </c:pt>
                <c:pt idx="5">
                  <c:v>8870.4</c:v>
                </c:pt>
                <c:pt idx="6">
                  <c:v>1408</c:v>
                </c:pt>
              </c:numCache>
            </c:numRef>
          </c:val>
          <c:extLst>
            <c:ext xmlns:c16="http://schemas.microsoft.com/office/drawing/2014/chart" uri="{C3380CC4-5D6E-409C-BE32-E72D297353CC}">
              <c16:uniqueId val="{0000000E-6765-D940-A7AD-44F0BE8C9DB7}"/>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DB4-A64B-945E-2C4F1C07CBC0}"/>
              </c:ext>
            </c:extLst>
          </c:dPt>
          <c:dPt>
            <c:idx val="1"/>
            <c:bubble3D val="0"/>
            <c:spPr>
              <a:solidFill>
                <a:schemeClr val="accent2"/>
              </a:solidFill>
            </c:spPr>
            <c:extLst>
              <c:ext xmlns:c16="http://schemas.microsoft.com/office/drawing/2014/chart" uri="{C3380CC4-5D6E-409C-BE32-E72D297353CC}">
                <c16:uniqueId val="{00000003-EDB4-A64B-945E-2C4F1C07CBC0}"/>
              </c:ext>
            </c:extLst>
          </c:dPt>
          <c:dPt>
            <c:idx val="2"/>
            <c:bubble3D val="0"/>
            <c:spPr>
              <a:solidFill>
                <a:schemeClr val="accent3"/>
              </a:solidFill>
            </c:spPr>
            <c:extLst>
              <c:ext xmlns:c16="http://schemas.microsoft.com/office/drawing/2014/chart" uri="{C3380CC4-5D6E-409C-BE32-E72D297353CC}">
                <c16:uniqueId val="{00000005-EDB4-A64B-945E-2C4F1C07CBC0}"/>
              </c:ext>
            </c:extLst>
          </c:dPt>
          <c:dPt>
            <c:idx val="3"/>
            <c:bubble3D val="0"/>
            <c:spPr>
              <a:solidFill>
                <a:schemeClr val="accent4"/>
              </a:solidFill>
            </c:spPr>
            <c:extLst>
              <c:ext xmlns:c16="http://schemas.microsoft.com/office/drawing/2014/chart" uri="{C3380CC4-5D6E-409C-BE32-E72D297353CC}">
                <c16:uniqueId val="{00000007-EDB4-A64B-945E-2C4F1C07CBC0}"/>
              </c:ext>
            </c:extLst>
          </c:dPt>
          <c:dPt>
            <c:idx val="4"/>
            <c:bubble3D val="0"/>
            <c:spPr>
              <a:solidFill>
                <a:schemeClr val="accent5"/>
              </a:solidFill>
            </c:spPr>
            <c:extLst>
              <c:ext xmlns:c16="http://schemas.microsoft.com/office/drawing/2014/chart" uri="{C3380CC4-5D6E-409C-BE32-E72D297353CC}">
                <c16:uniqueId val="{00000009-EDB4-A64B-945E-2C4F1C07CBC0}"/>
              </c:ext>
            </c:extLst>
          </c:dPt>
          <c:dPt>
            <c:idx val="5"/>
            <c:bubble3D val="0"/>
            <c:spPr>
              <a:solidFill>
                <a:schemeClr val="accent6"/>
              </a:solidFill>
            </c:spPr>
            <c:extLst>
              <c:ext xmlns:c16="http://schemas.microsoft.com/office/drawing/2014/chart" uri="{C3380CC4-5D6E-409C-BE32-E72D297353CC}">
                <c16:uniqueId val="{0000000B-EDB4-A64B-945E-2C4F1C07CBC0}"/>
              </c:ext>
            </c:extLst>
          </c:dPt>
          <c:dPt>
            <c:idx val="6"/>
            <c:bubble3D val="0"/>
            <c:spPr>
              <a:solidFill>
                <a:schemeClr val="accent1"/>
              </a:solidFill>
            </c:spPr>
            <c:extLst>
              <c:ext xmlns:c16="http://schemas.microsoft.com/office/drawing/2014/chart" uri="{C3380CC4-5D6E-409C-BE32-E72D297353CC}">
                <c16:uniqueId val="{0000000D-EDB4-A64B-945E-2C4F1C07CBC0}"/>
              </c:ext>
            </c:extLst>
          </c:dPt>
          <c:dPt>
            <c:idx val="7"/>
            <c:bubble3D val="0"/>
            <c:spPr>
              <a:solidFill>
                <a:schemeClr val="accent2"/>
              </a:solidFill>
            </c:spPr>
            <c:extLst>
              <c:ext xmlns:c16="http://schemas.microsoft.com/office/drawing/2014/chart" uri="{C3380CC4-5D6E-409C-BE32-E72D297353CC}">
                <c16:uniqueId val="{0000000F-EDB4-A64B-945E-2C4F1C07CBC0}"/>
              </c:ext>
            </c:extLst>
          </c:dPt>
          <c:dPt>
            <c:idx val="8"/>
            <c:bubble3D val="0"/>
            <c:spPr>
              <a:solidFill>
                <a:schemeClr val="accent3"/>
              </a:solidFill>
            </c:spPr>
            <c:extLst>
              <c:ext xmlns:c16="http://schemas.microsoft.com/office/drawing/2014/chart" uri="{C3380CC4-5D6E-409C-BE32-E72D297353CC}">
                <c16:uniqueId val="{00000011-EDB4-A64B-945E-2C4F1C07CBC0}"/>
              </c:ext>
            </c:extLst>
          </c:dPt>
          <c:dPt>
            <c:idx val="9"/>
            <c:bubble3D val="0"/>
            <c:spPr>
              <a:solidFill>
                <a:schemeClr val="accent4"/>
              </a:solidFill>
            </c:spPr>
            <c:extLst>
              <c:ext xmlns:c16="http://schemas.microsoft.com/office/drawing/2014/chart" uri="{C3380CC4-5D6E-409C-BE32-E72D297353CC}">
                <c16:uniqueId val="{00000013-EDB4-A64B-945E-2C4F1C07CBC0}"/>
              </c:ext>
            </c:extLst>
          </c:dPt>
          <c:cat>
            <c:strRef>
              <c:f>Dining!$F$64:$F$73</c:f>
              <c:strCache>
                <c:ptCount val="10"/>
                <c:pt idx="0">
                  <c:v>concrete</c:v>
                </c:pt>
                <c:pt idx="1">
                  <c:v>carbon steel</c:v>
                </c:pt>
                <c:pt idx="2">
                  <c:v>hot-rolled, structural steel</c:v>
                </c:pt>
                <c:pt idx="3">
                  <c:v>cold-formed, structural steel</c:v>
                </c:pt>
                <c:pt idx="4">
                  <c:v>cold-formed, galvanized steel</c:v>
                </c:pt>
                <c:pt idx="5">
                  <c:v>Laminated glass</c:v>
                </c:pt>
                <c:pt idx="6">
                  <c:v>Polyvinyl Butyral (PVB) interlayer film</c:v>
                </c:pt>
                <c:pt idx="7">
                  <c:v>TPO</c:v>
                </c:pt>
                <c:pt idx="8">
                  <c:v>glass mat gypsum board</c:v>
                </c:pt>
                <c:pt idx="9">
                  <c:v>polyisocyanurate foam board</c:v>
                </c:pt>
              </c:strCache>
            </c:strRef>
          </c:cat>
          <c:val>
            <c:numRef>
              <c:f>Dining!$G$64:$G$73</c:f>
              <c:numCache>
                <c:formatCode>_(* #,##0_);_(* \(#,##0\);_(* "-"??_);_(@_)</c:formatCode>
                <c:ptCount val="10"/>
                <c:pt idx="0">
                  <c:v>14290377.083333334</c:v>
                </c:pt>
                <c:pt idx="1">
                  <c:v>692972.3055555555</c:v>
                </c:pt>
                <c:pt idx="2">
                  <c:v>3200</c:v>
                </c:pt>
                <c:pt idx="3">
                  <c:v>1912.9500000000003</c:v>
                </c:pt>
                <c:pt idx="4">
                  <c:v>11489.974999999999</c:v>
                </c:pt>
                <c:pt idx="5">
                  <c:v>8247.4537037037026</c:v>
                </c:pt>
                <c:pt idx="6">
                  <c:v>425.94444444444446</c:v>
                </c:pt>
                <c:pt idx="7">
                  <c:v>14699.999999999998</c:v>
                </c:pt>
                <c:pt idx="8">
                  <c:v>84000</c:v>
                </c:pt>
                <c:pt idx="9">
                  <c:v>26250</c:v>
                </c:pt>
              </c:numCache>
            </c:numRef>
          </c:val>
          <c:extLst>
            <c:ext xmlns:c16="http://schemas.microsoft.com/office/drawing/2014/chart" uri="{C3380CC4-5D6E-409C-BE32-E72D297353CC}">
              <c16:uniqueId val="{00000014-EDB4-A64B-945E-2C4F1C07CBC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BD9F-F24F-A458-49A5BDB6BF94}"/>
              </c:ext>
            </c:extLst>
          </c:dPt>
          <c:dPt>
            <c:idx val="1"/>
            <c:bubble3D val="0"/>
            <c:spPr>
              <a:solidFill>
                <a:schemeClr val="accent2"/>
              </a:solidFill>
            </c:spPr>
            <c:extLst>
              <c:ext xmlns:c16="http://schemas.microsoft.com/office/drawing/2014/chart" uri="{C3380CC4-5D6E-409C-BE32-E72D297353CC}">
                <c16:uniqueId val="{00000003-BD9F-F24F-A458-49A5BDB6BF94}"/>
              </c:ext>
            </c:extLst>
          </c:dPt>
          <c:dPt>
            <c:idx val="2"/>
            <c:bubble3D val="0"/>
            <c:spPr>
              <a:solidFill>
                <a:schemeClr val="accent3"/>
              </a:solidFill>
            </c:spPr>
            <c:extLst>
              <c:ext xmlns:c16="http://schemas.microsoft.com/office/drawing/2014/chart" uri="{C3380CC4-5D6E-409C-BE32-E72D297353CC}">
                <c16:uniqueId val="{00000005-BD9F-F24F-A458-49A5BDB6BF94}"/>
              </c:ext>
            </c:extLst>
          </c:dPt>
          <c:dPt>
            <c:idx val="3"/>
            <c:bubble3D val="0"/>
            <c:spPr>
              <a:solidFill>
                <a:schemeClr val="accent4"/>
              </a:solidFill>
            </c:spPr>
            <c:extLst>
              <c:ext xmlns:c16="http://schemas.microsoft.com/office/drawing/2014/chart" uri="{C3380CC4-5D6E-409C-BE32-E72D297353CC}">
                <c16:uniqueId val="{00000007-BD9F-F24F-A458-49A5BDB6BF94}"/>
              </c:ext>
            </c:extLst>
          </c:dPt>
          <c:dPt>
            <c:idx val="4"/>
            <c:bubble3D val="0"/>
            <c:spPr>
              <a:solidFill>
                <a:schemeClr val="accent5"/>
              </a:solidFill>
            </c:spPr>
            <c:extLst>
              <c:ext xmlns:c16="http://schemas.microsoft.com/office/drawing/2014/chart" uri="{C3380CC4-5D6E-409C-BE32-E72D297353CC}">
                <c16:uniqueId val="{00000009-BD9F-F24F-A458-49A5BDB6BF94}"/>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Dining!$F$82:$F$86</c:f>
              <c:strCache>
                <c:ptCount val="5"/>
                <c:pt idx="0">
                  <c:v>concrete</c:v>
                </c:pt>
                <c:pt idx="1">
                  <c:v>steel</c:v>
                </c:pt>
                <c:pt idx="2">
                  <c:v>Glass</c:v>
                </c:pt>
                <c:pt idx="3">
                  <c:v>plastic</c:v>
                </c:pt>
                <c:pt idx="4">
                  <c:v>gypsum board</c:v>
                </c:pt>
              </c:strCache>
            </c:strRef>
          </c:cat>
          <c:val>
            <c:numRef>
              <c:f>Dining!$G$82:$G$86</c:f>
              <c:numCache>
                <c:formatCode>_(* #,##0_);_(* \(#,##0\);_(* "-"??_);_(@_)</c:formatCode>
                <c:ptCount val="5"/>
                <c:pt idx="0">
                  <c:v>14450377.083333334</c:v>
                </c:pt>
                <c:pt idx="1">
                  <c:v>709575.23055555543</c:v>
                </c:pt>
                <c:pt idx="2">
                  <c:v>8247.4537037037026</c:v>
                </c:pt>
                <c:pt idx="3">
                  <c:v>41375.944444444445</c:v>
                </c:pt>
                <c:pt idx="4">
                  <c:v>84000</c:v>
                </c:pt>
              </c:numCache>
            </c:numRef>
          </c:val>
          <c:extLst>
            <c:ext xmlns:c16="http://schemas.microsoft.com/office/drawing/2014/chart" uri="{C3380CC4-5D6E-409C-BE32-E72D297353CC}">
              <c16:uniqueId val="{0000000A-BD9F-F24F-A458-49A5BDB6BF94}"/>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9205-894C-8196-4454BF504497}"/>
              </c:ext>
            </c:extLst>
          </c:dPt>
          <c:dPt>
            <c:idx val="1"/>
            <c:bubble3D val="0"/>
            <c:spPr>
              <a:solidFill>
                <a:schemeClr val="accent2"/>
              </a:solidFill>
            </c:spPr>
            <c:extLst>
              <c:ext xmlns:c16="http://schemas.microsoft.com/office/drawing/2014/chart" uri="{C3380CC4-5D6E-409C-BE32-E72D297353CC}">
                <c16:uniqueId val="{00000003-9205-894C-8196-4454BF504497}"/>
              </c:ext>
            </c:extLst>
          </c:dPt>
          <c:dPt>
            <c:idx val="2"/>
            <c:bubble3D val="0"/>
            <c:spPr>
              <a:solidFill>
                <a:schemeClr val="accent3"/>
              </a:solidFill>
            </c:spPr>
            <c:extLst>
              <c:ext xmlns:c16="http://schemas.microsoft.com/office/drawing/2014/chart" uri="{C3380CC4-5D6E-409C-BE32-E72D297353CC}">
                <c16:uniqueId val="{00000005-9205-894C-8196-4454BF504497}"/>
              </c:ext>
            </c:extLst>
          </c:dPt>
          <c:dPt>
            <c:idx val="3"/>
            <c:bubble3D val="0"/>
            <c:spPr>
              <a:solidFill>
                <a:schemeClr val="accent4"/>
              </a:solidFill>
            </c:spPr>
            <c:extLst>
              <c:ext xmlns:c16="http://schemas.microsoft.com/office/drawing/2014/chart" uri="{C3380CC4-5D6E-409C-BE32-E72D297353CC}">
                <c16:uniqueId val="{00000007-9205-894C-8196-4454BF504497}"/>
              </c:ext>
            </c:extLst>
          </c:dPt>
          <c:dPt>
            <c:idx val="4"/>
            <c:bubble3D val="0"/>
            <c:spPr>
              <a:solidFill>
                <a:schemeClr val="accent5"/>
              </a:solidFill>
            </c:spPr>
            <c:extLst>
              <c:ext xmlns:c16="http://schemas.microsoft.com/office/drawing/2014/chart" uri="{C3380CC4-5D6E-409C-BE32-E72D297353CC}">
                <c16:uniqueId val="{00000009-9205-894C-8196-4454BF504497}"/>
              </c:ext>
            </c:extLst>
          </c:dPt>
          <c:dPt>
            <c:idx val="5"/>
            <c:bubble3D val="0"/>
            <c:spPr>
              <a:solidFill>
                <a:schemeClr val="accent6"/>
              </a:solidFill>
            </c:spPr>
            <c:extLst>
              <c:ext xmlns:c16="http://schemas.microsoft.com/office/drawing/2014/chart" uri="{C3380CC4-5D6E-409C-BE32-E72D297353CC}">
                <c16:uniqueId val="{0000000B-9205-894C-8196-4454BF504497}"/>
              </c:ext>
            </c:extLst>
          </c:dPt>
          <c:dPt>
            <c:idx val="6"/>
            <c:bubble3D val="0"/>
            <c:spPr>
              <a:solidFill>
                <a:schemeClr val="accent1"/>
              </a:solidFill>
            </c:spPr>
            <c:extLst>
              <c:ext xmlns:c16="http://schemas.microsoft.com/office/drawing/2014/chart" uri="{C3380CC4-5D6E-409C-BE32-E72D297353CC}">
                <c16:uniqueId val="{0000000D-9205-894C-8196-4454BF504497}"/>
              </c:ext>
            </c:extLst>
          </c:dPt>
          <c:dPt>
            <c:idx val="7"/>
            <c:bubble3D val="0"/>
            <c:spPr>
              <a:solidFill>
                <a:schemeClr val="accent2"/>
              </a:solidFill>
            </c:spPr>
            <c:extLst>
              <c:ext xmlns:c16="http://schemas.microsoft.com/office/drawing/2014/chart" uri="{C3380CC4-5D6E-409C-BE32-E72D297353CC}">
                <c16:uniqueId val="{0000000F-9205-894C-8196-4454BF504497}"/>
              </c:ext>
            </c:extLst>
          </c:dPt>
          <c:dPt>
            <c:idx val="8"/>
            <c:bubble3D val="0"/>
            <c:spPr>
              <a:solidFill>
                <a:schemeClr val="accent3"/>
              </a:solidFill>
            </c:spPr>
            <c:extLst>
              <c:ext xmlns:c16="http://schemas.microsoft.com/office/drawing/2014/chart" uri="{C3380CC4-5D6E-409C-BE32-E72D297353CC}">
                <c16:uniqueId val="{00000011-9205-894C-8196-4454BF504497}"/>
              </c:ext>
            </c:extLst>
          </c:dPt>
          <c:dPt>
            <c:idx val="9"/>
            <c:bubble3D val="0"/>
            <c:spPr>
              <a:solidFill>
                <a:schemeClr val="accent4"/>
              </a:solidFill>
            </c:spPr>
            <c:extLst>
              <c:ext xmlns:c16="http://schemas.microsoft.com/office/drawing/2014/chart" uri="{C3380CC4-5D6E-409C-BE32-E72D297353CC}">
                <c16:uniqueId val="{00000013-9205-894C-8196-4454BF504497}"/>
              </c:ext>
            </c:extLst>
          </c:dPt>
          <c:dPt>
            <c:idx val="10"/>
            <c:bubble3D val="0"/>
            <c:spPr>
              <a:solidFill>
                <a:schemeClr val="accent5"/>
              </a:solidFill>
            </c:spPr>
            <c:extLst>
              <c:ext xmlns:c16="http://schemas.microsoft.com/office/drawing/2014/chart" uri="{C3380CC4-5D6E-409C-BE32-E72D297353CC}">
                <c16:uniqueId val="{00000015-9205-894C-8196-4454BF504497}"/>
              </c:ext>
            </c:extLst>
          </c:dPt>
          <c:dPt>
            <c:idx val="11"/>
            <c:bubble3D val="0"/>
            <c:spPr>
              <a:solidFill>
                <a:schemeClr val="accent6"/>
              </a:solidFill>
            </c:spPr>
            <c:extLst>
              <c:ext xmlns:c16="http://schemas.microsoft.com/office/drawing/2014/chart" uri="{C3380CC4-5D6E-409C-BE32-E72D297353CC}">
                <c16:uniqueId val="{00000017-9205-894C-8196-4454BF504497}"/>
              </c:ext>
            </c:extLst>
          </c:dPt>
          <c:dPt>
            <c:idx val="12"/>
            <c:bubble3D val="0"/>
            <c:spPr>
              <a:solidFill>
                <a:schemeClr val="accent1"/>
              </a:solidFill>
            </c:spPr>
            <c:extLst>
              <c:ext xmlns:c16="http://schemas.microsoft.com/office/drawing/2014/chart" uri="{C3380CC4-5D6E-409C-BE32-E72D297353CC}">
                <c16:uniqueId val="{00000019-9205-894C-8196-4454BF504497}"/>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'Family housing'!$F$39:$F$51</c:f>
              <c:strCache>
                <c:ptCount val="13"/>
                <c:pt idx="0">
                  <c:v>concrete</c:v>
                </c:pt>
                <c:pt idx="1">
                  <c:v>carbon steel</c:v>
                </c:pt>
                <c:pt idx="2">
                  <c:v>wood (OSB)</c:v>
                </c:pt>
                <c:pt idx="3">
                  <c:v>softwood</c:v>
                </c:pt>
                <c:pt idx="4">
                  <c:v>Stucco</c:v>
                </c:pt>
                <c:pt idx="5">
                  <c:v>#15 FELT</c:v>
                </c:pt>
                <c:pt idx="6">
                  <c:v>glass mat gypsum board</c:v>
                </c:pt>
                <c:pt idx="7">
                  <c:v>Aluminum</c:v>
                </c:pt>
                <c:pt idx="8">
                  <c:v>Laminated glass</c:v>
                </c:pt>
                <c:pt idx="9">
                  <c:v>Polyvinyl Butyral (PVB) interlayer film</c:v>
                </c:pt>
                <c:pt idx="10">
                  <c:v>asphalt shingles</c:v>
                </c:pt>
                <c:pt idx="11">
                  <c:v>#30 felt</c:v>
                </c:pt>
                <c:pt idx="12">
                  <c:v>plywood</c:v>
                </c:pt>
              </c:strCache>
            </c:strRef>
          </c:cat>
          <c:val>
            <c:numRef>
              <c:f>'Family housing'!$G$39:$G$51</c:f>
              <c:numCache>
                <c:formatCode>_(* #,##0_);_(* \(#,##0\);_(* "-"??_);_(@_)</c:formatCode>
                <c:ptCount val="13"/>
                <c:pt idx="0">
                  <c:v>168375</c:v>
                </c:pt>
                <c:pt idx="1">
                  <c:v>6735</c:v>
                </c:pt>
                <c:pt idx="2">
                  <c:v>3232.7999999999997</c:v>
                </c:pt>
                <c:pt idx="3">
                  <c:v>25739.944499999998</c:v>
                </c:pt>
                <c:pt idx="4">
                  <c:v>39512</c:v>
                </c:pt>
                <c:pt idx="5">
                  <c:v>538.79999999999995</c:v>
                </c:pt>
                <c:pt idx="6">
                  <c:v>6824.7999999999993</c:v>
                </c:pt>
                <c:pt idx="7">
                  <c:v>73.5</c:v>
                </c:pt>
                <c:pt idx="8">
                  <c:v>483.875</c:v>
                </c:pt>
                <c:pt idx="9">
                  <c:v>24.990000000000002</c:v>
                </c:pt>
                <c:pt idx="10">
                  <c:v>4377.75</c:v>
                </c:pt>
                <c:pt idx="11">
                  <c:v>965.35</c:v>
                </c:pt>
                <c:pt idx="12">
                  <c:v>0</c:v>
                </c:pt>
              </c:numCache>
            </c:numRef>
          </c:val>
          <c:extLst>
            <c:ext xmlns:c16="http://schemas.microsoft.com/office/drawing/2014/chart" uri="{C3380CC4-5D6E-409C-BE32-E72D297353CC}">
              <c16:uniqueId val="{0000001A-9205-894C-8196-4454BF50449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000" b="0"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D73E-A243-B589-8E907990341F}"/>
              </c:ext>
            </c:extLst>
          </c:dPt>
          <c:dPt>
            <c:idx val="1"/>
            <c:bubble3D val="0"/>
            <c:spPr>
              <a:solidFill>
                <a:schemeClr val="accent2"/>
              </a:solidFill>
            </c:spPr>
            <c:extLst>
              <c:ext xmlns:c16="http://schemas.microsoft.com/office/drawing/2014/chart" uri="{C3380CC4-5D6E-409C-BE32-E72D297353CC}">
                <c16:uniqueId val="{00000003-D73E-A243-B589-8E907990341F}"/>
              </c:ext>
            </c:extLst>
          </c:dPt>
          <c:dPt>
            <c:idx val="2"/>
            <c:bubble3D val="0"/>
            <c:spPr>
              <a:solidFill>
                <a:schemeClr val="accent3"/>
              </a:solidFill>
            </c:spPr>
            <c:extLst>
              <c:ext xmlns:c16="http://schemas.microsoft.com/office/drawing/2014/chart" uri="{C3380CC4-5D6E-409C-BE32-E72D297353CC}">
                <c16:uniqueId val="{00000005-D73E-A243-B589-8E907990341F}"/>
              </c:ext>
            </c:extLst>
          </c:dPt>
          <c:dPt>
            <c:idx val="3"/>
            <c:bubble3D val="0"/>
            <c:spPr>
              <a:solidFill>
                <a:schemeClr val="accent4"/>
              </a:solidFill>
            </c:spPr>
            <c:extLst>
              <c:ext xmlns:c16="http://schemas.microsoft.com/office/drawing/2014/chart" uri="{C3380CC4-5D6E-409C-BE32-E72D297353CC}">
                <c16:uniqueId val="{00000007-D73E-A243-B589-8E907990341F}"/>
              </c:ext>
            </c:extLst>
          </c:dPt>
          <c:dPt>
            <c:idx val="4"/>
            <c:bubble3D val="0"/>
            <c:spPr>
              <a:solidFill>
                <a:schemeClr val="accent5"/>
              </a:solidFill>
            </c:spPr>
            <c:extLst>
              <c:ext xmlns:c16="http://schemas.microsoft.com/office/drawing/2014/chart" uri="{C3380CC4-5D6E-409C-BE32-E72D297353CC}">
                <c16:uniqueId val="{00000009-D73E-A243-B589-8E907990341F}"/>
              </c:ext>
            </c:extLst>
          </c:dPt>
          <c:dPt>
            <c:idx val="5"/>
            <c:bubble3D val="0"/>
            <c:spPr>
              <a:solidFill>
                <a:schemeClr val="accent6"/>
              </a:solidFill>
            </c:spPr>
            <c:extLst>
              <c:ext xmlns:c16="http://schemas.microsoft.com/office/drawing/2014/chart" uri="{C3380CC4-5D6E-409C-BE32-E72D297353CC}">
                <c16:uniqueId val="{0000000B-D73E-A243-B589-8E907990341F}"/>
              </c:ext>
            </c:extLst>
          </c:dPt>
          <c:dPt>
            <c:idx val="6"/>
            <c:bubble3D val="0"/>
            <c:spPr>
              <a:solidFill>
                <a:schemeClr val="accent1"/>
              </a:solidFill>
            </c:spPr>
            <c:extLst>
              <c:ext xmlns:c16="http://schemas.microsoft.com/office/drawing/2014/chart" uri="{C3380CC4-5D6E-409C-BE32-E72D297353CC}">
                <c16:uniqueId val="{0000000D-D73E-A243-B589-8E907990341F}"/>
              </c:ext>
            </c:extLst>
          </c:dPt>
          <c:dPt>
            <c:idx val="7"/>
            <c:bubble3D val="0"/>
            <c:spPr>
              <a:solidFill>
                <a:schemeClr val="accent2"/>
              </a:solidFill>
            </c:spPr>
            <c:extLst>
              <c:ext xmlns:c16="http://schemas.microsoft.com/office/drawing/2014/chart" uri="{C3380CC4-5D6E-409C-BE32-E72D297353CC}">
                <c16:uniqueId val="{0000000F-D73E-A243-B589-8E907990341F}"/>
              </c:ext>
            </c:extLst>
          </c:dPt>
          <c:dPt>
            <c:idx val="8"/>
            <c:bubble3D val="0"/>
            <c:spPr>
              <a:solidFill>
                <a:schemeClr val="accent3"/>
              </a:solidFill>
            </c:spPr>
            <c:extLst>
              <c:ext xmlns:c16="http://schemas.microsoft.com/office/drawing/2014/chart" uri="{C3380CC4-5D6E-409C-BE32-E72D297353CC}">
                <c16:uniqueId val="{00000011-D73E-A243-B589-8E907990341F}"/>
              </c:ext>
            </c:extLst>
          </c:dPt>
          <c:dPt>
            <c:idx val="9"/>
            <c:bubble3D val="0"/>
            <c:spPr>
              <a:solidFill>
                <a:schemeClr val="accent4"/>
              </a:solidFill>
            </c:spPr>
            <c:extLst>
              <c:ext xmlns:c16="http://schemas.microsoft.com/office/drawing/2014/chart" uri="{C3380CC4-5D6E-409C-BE32-E72D297353CC}">
                <c16:uniqueId val="{00000013-D73E-A243-B589-8E907990341F}"/>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'Family housing'!$F$56:$F$65</c:f>
              <c:strCache>
                <c:ptCount val="10"/>
                <c:pt idx="0">
                  <c:v>concrete</c:v>
                </c:pt>
                <c:pt idx="1">
                  <c:v>steel</c:v>
                </c:pt>
                <c:pt idx="2">
                  <c:v>wood</c:v>
                </c:pt>
                <c:pt idx="3">
                  <c:v>stucco</c:v>
                </c:pt>
                <c:pt idx="4">
                  <c:v>organic mat, asphalt coating</c:v>
                </c:pt>
                <c:pt idx="5">
                  <c:v>gypsum board</c:v>
                </c:pt>
                <c:pt idx="6">
                  <c:v>Aluminum</c:v>
                </c:pt>
                <c:pt idx="7">
                  <c:v>Laminated glass</c:v>
                </c:pt>
                <c:pt idx="8">
                  <c:v>plastic</c:v>
                </c:pt>
                <c:pt idx="9">
                  <c:v>asphalt</c:v>
                </c:pt>
              </c:strCache>
            </c:strRef>
          </c:cat>
          <c:val>
            <c:numRef>
              <c:f>'Family housing'!$G$56:$G$65</c:f>
              <c:numCache>
                <c:formatCode>_(* #,##0_);_(* \(#,##0\);_(* "-"??_);_(@_)</c:formatCode>
                <c:ptCount val="10"/>
                <c:pt idx="0">
                  <c:v>168375</c:v>
                </c:pt>
                <c:pt idx="1">
                  <c:v>6735</c:v>
                </c:pt>
                <c:pt idx="2">
                  <c:v>28972.744500000001</c:v>
                </c:pt>
                <c:pt idx="3">
                  <c:v>39512</c:v>
                </c:pt>
                <c:pt idx="4">
                  <c:v>1504.15</c:v>
                </c:pt>
                <c:pt idx="5">
                  <c:v>6824.7999999999993</c:v>
                </c:pt>
                <c:pt idx="6">
                  <c:v>73.5</c:v>
                </c:pt>
                <c:pt idx="7">
                  <c:v>483.875</c:v>
                </c:pt>
                <c:pt idx="8">
                  <c:v>24.990000000000002</c:v>
                </c:pt>
                <c:pt idx="9">
                  <c:v>4377.75</c:v>
                </c:pt>
              </c:numCache>
            </c:numRef>
          </c:val>
          <c:extLst>
            <c:ext xmlns:c16="http://schemas.microsoft.com/office/drawing/2014/chart" uri="{C3380CC4-5D6E-409C-BE32-E72D297353CC}">
              <c16:uniqueId val="{00000014-D73E-A243-B589-8E907990341F}"/>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455-1C43-89B3-D9A50CEC88E6}"/>
              </c:ext>
            </c:extLst>
          </c:dPt>
          <c:dPt>
            <c:idx val="1"/>
            <c:bubble3D val="0"/>
            <c:spPr>
              <a:solidFill>
                <a:schemeClr val="accent2"/>
              </a:solidFill>
            </c:spPr>
            <c:extLst>
              <c:ext xmlns:c16="http://schemas.microsoft.com/office/drawing/2014/chart" uri="{C3380CC4-5D6E-409C-BE32-E72D297353CC}">
                <c16:uniqueId val="{00000003-7455-1C43-89B3-D9A50CEC88E6}"/>
              </c:ext>
            </c:extLst>
          </c:dPt>
          <c:dPt>
            <c:idx val="2"/>
            <c:bubble3D val="0"/>
            <c:spPr>
              <a:solidFill>
                <a:schemeClr val="accent3"/>
              </a:solidFill>
            </c:spPr>
            <c:extLst>
              <c:ext xmlns:c16="http://schemas.microsoft.com/office/drawing/2014/chart" uri="{C3380CC4-5D6E-409C-BE32-E72D297353CC}">
                <c16:uniqueId val="{00000005-7455-1C43-89B3-D9A50CEC88E6}"/>
              </c:ext>
            </c:extLst>
          </c:dPt>
          <c:dPt>
            <c:idx val="3"/>
            <c:bubble3D val="0"/>
            <c:spPr>
              <a:solidFill>
                <a:schemeClr val="accent4"/>
              </a:solidFill>
            </c:spPr>
            <c:extLst>
              <c:ext xmlns:c16="http://schemas.microsoft.com/office/drawing/2014/chart" uri="{C3380CC4-5D6E-409C-BE32-E72D297353CC}">
                <c16:uniqueId val="{00000007-7455-1C43-89B3-D9A50CEC88E6}"/>
              </c:ext>
            </c:extLst>
          </c:dPt>
          <c:dPt>
            <c:idx val="4"/>
            <c:bubble3D val="0"/>
            <c:spPr>
              <a:solidFill>
                <a:schemeClr val="accent5"/>
              </a:solidFill>
            </c:spPr>
            <c:extLst>
              <c:ext xmlns:c16="http://schemas.microsoft.com/office/drawing/2014/chart" uri="{C3380CC4-5D6E-409C-BE32-E72D297353CC}">
                <c16:uniqueId val="{00000009-7455-1C43-89B3-D9A50CEC88E6}"/>
              </c:ext>
            </c:extLst>
          </c:dPt>
          <c:dPt>
            <c:idx val="5"/>
            <c:bubble3D val="0"/>
            <c:spPr>
              <a:solidFill>
                <a:schemeClr val="accent6"/>
              </a:solidFill>
            </c:spPr>
            <c:extLst>
              <c:ext xmlns:c16="http://schemas.microsoft.com/office/drawing/2014/chart" uri="{C3380CC4-5D6E-409C-BE32-E72D297353CC}">
                <c16:uniqueId val="{0000000B-7455-1C43-89B3-D9A50CEC88E6}"/>
              </c:ext>
            </c:extLst>
          </c:dPt>
          <c:dPt>
            <c:idx val="6"/>
            <c:bubble3D val="0"/>
            <c:spPr>
              <a:solidFill>
                <a:schemeClr val="accent1"/>
              </a:solidFill>
            </c:spPr>
            <c:extLst>
              <c:ext xmlns:c16="http://schemas.microsoft.com/office/drawing/2014/chart" uri="{C3380CC4-5D6E-409C-BE32-E72D297353CC}">
                <c16:uniqueId val="{0000000D-7455-1C43-89B3-D9A50CEC88E6}"/>
              </c:ext>
            </c:extLst>
          </c:dPt>
          <c:dPt>
            <c:idx val="7"/>
            <c:bubble3D val="0"/>
            <c:spPr>
              <a:solidFill>
                <a:schemeClr val="accent2"/>
              </a:solidFill>
            </c:spPr>
            <c:extLst>
              <c:ext xmlns:c16="http://schemas.microsoft.com/office/drawing/2014/chart" uri="{C3380CC4-5D6E-409C-BE32-E72D297353CC}">
                <c16:uniqueId val="{0000000F-7455-1C43-89B3-D9A50CEC88E6}"/>
              </c:ext>
            </c:extLst>
          </c:dPt>
          <c:dPt>
            <c:idx val="8"/>
            <c:bubble3D val="0"/>
            <c:spPr>
              <a:solidFill>
                <a:schemeClr val="accent3"/>
              </a:solidFill>
            </c:spPr>
            <c:extLst>
              <c:ext xmlns:c16="http://schemas.microsoft.com/office/drawing/2014/chart" uri="{C3380CC4-5D6E-409C-BE32-E72D297353CC}">
                <c16:uniqueId val="{00000011-7455-1C43-89B3-D9A50CEC88E6}"/>
              </c:ext>
            </c:extLst>
          </c:dPt>
          <c:dPt>
            <c:idx val="9"/>
            <c:bubble3D val="0"/>
            <c:spPr>
              <a:solidFill>
                <a:schemeClr val="accent4"/>
              </a:solidFill>
            </c:spPr>
            <c:extLst>
              <c:ext xmlns:c16="http://schemas.microsoft.com/office/drawing/2014/chart" uri="{C3380CC4-5D6E-409C-BE32-E72D297353CC}">
                <c16:uniqueId val="{00000013-7455-1C43-89B3-D9A50CEC88E6}"/>
              </c:ext>
            </c:extLst>
          </c:dPt>
          <c:dPt>
            <c:idx val="10"/>
            <c:bubble3D val="0"/>
            <c:spPr>
              <a:solidFill>
                <a:schemeClr val="accent5"/>
              </a:solidFill>
            </c:spPr>
            <c:extLst>
              <c:ext xmlns:c16="http://schemas.microsoft.com/office/drawing/2014/chart" uri="{C3380CC4-5D6E-409C-BE32-E72D297353CC}">
                <c16:uniqueId val="{00000015-7455-1C43-89B3-D9A50CEC88E6}"/>
              </c:ext>
            </c:extLst>
          </c:dPt>
          <c:dPt>
            <c:idx val="11"/>
            <c:bubble3D val="0"/>
            <c:spPr>
              <a:solidFill>
                <a:schemeClr val="accent6"/>
              </a:solidFill>
            </c:spPr>
            <c:extLst>
              <c:ext xmlns:c16="http://schemas.microsoft.com/office/drawing/2014/chart" uri="{C3380CC4-5D6E-409C-BE32-E72D297353CC}">
                <c16:uniqueId val="{00000017-7455-1C43-89B3-D9A50CEC88E6}"/>
              </c:ext>
            </c:extLst>
          </c:dPt>
          <c:dPt>
            <c:idx val="12"/>
            <c:bubble3D val="0"/>
            <c:spPr>
              <a:solidFill>
                <a:schemeClr val="accent1"/>
              </a:solidFill>
            </c:spPr>
            <c:extLst>
              <c:ext xmlns:c16="http://schemas.microsoft.com/office/drawing/2014/chart" uri="{C3380CC4-5D6E-409C-BE32-E72D297353CC}">
                <c16:uniqueId val="{00000019-7455-1C43-89B3-D9A50CEC88E6}"/>
              </c:ext>
            </c:extLst>
          </c:dPt>
          <c:dPt>
            <c:idx val="13"/>
            <c:bubble3D val="0"/>
            <c:spPr>
              <a:solidFill>
                <a:schemeClr val="accent2"/>
              </a:solidFill>
            </c:spPr>
            <c:extLst>
              <c:ext xmlns:c16="http://schemas.microsoft.com/office/drawing/2014/chart" uri="{C3380CC4-5D6E-409C-BE32-E72D297353CC}">
                <c16:uniqueId val="{0000001B-7455-1C43-89B3-D9A50CEC88E6}"/>
              </c:ext>
            </c:extLst>
          </c:dPt>
          <c:dPt>
            <c:idx val="14"/>
            <c:bubble3D val="0"/>
            <c:spPr>
              <a:solidFill>
                <a:schemeClr val="accent3"/>
              </a:solidFill>
            </c:spPr>
            <c:extLst>
              <c:ext xmlns:c16="http://schemas.microsoft.com/office/drawing/2014/chart" uri="{C3380CC4-5D6E-409C-BE32-E72D297353CC}">
                <c16:uniqueId val="{0000001D-7455-1C43-89B3-D9A50CEC88E6}"/>
              </c:ext>
            </c:extLst>
          </c:dPt>
          <c:cat>
            <c:strRef>
              <c:f>'Family service center'!$F$86:$F$100</c:f>
              <c:strCache>
                <c:ptCount val="15"/>
                <c:pt idx="0">
                  <c:v>carbon steel</c:v>
                </c:pt>
                <c:pt idx="1">
                  <c:v>concrete</c:v>
                </c:pt>
                <c:pt idx="2">
                  <c:v>softwood</c:v>
                </c:pt>
                <c:pt idx="3">
                  <c:v>OSB</c:v>
                </c:pt>
                <c:pt idx="4">
                  <c:v>stucco</c:v>
                </c:pt>
                <c:pt idx="5">
                  <c:v>#15 felt</c:v>
                </c:pt>
                <c:pt idx="6">
                  <c:v>glass mat gypsum board</c:v>
                </c:pt>
                <c:pt idx="7">
                  <c:v>aluminum</c:v>
                </c:pt>
                <c:pt idx="8">
                  <c:v>laminated glass</c:v>
                </c:pt>
                <c:pt idx="9">
                  <c:v>Polyvinyl Butyral (PVB) interlayer film</c:v>
                </c:pt>
                <c:pt idx="10">
                  <c:v>polyisocyanurate foam board</c:v>
                </c:pt>
                <c:pt idx="11">
                  <c:v>asphalt BUR membrane</c:v>
                </c:pt>
                <c:pt idx="12">
                  <c:v>granulated modified bitumen cap sheet</c:v>
                </c:pt>
                <c:pt idx="13">
                  <c:v>#30 felt</c:v>
                </c:pt>
                <c:pt idx="14">
                  <c:v>plywood</c:v>
                </c:pt>
              </c:strCache>
            </c:strRef>
          </c:cat>
          <c:val>
            <c:numRef>
              <c:f>'Family service center'!$G$86:$G$100</c:f>
              <c:numCache>
                <c:formatCode>_(* #,##0_);_(* \(#,##0\);_(* "-"??_);_(@_)</c:formatCode>
                <c:ptCount val="15"/>
                <c:pt idx="0">
                  <c:v>36050.625</c:v>
                </c:pt>
                <c:pt idx="1">
                  <c:v>907875</c:v>
                </c:pt>
                <c:pt idx="2">
                  <c:v>39443.311499999996</c:v>
                </c:pt>
                <c:pt idx="3">
                  <c:v>19008</c:v>
                </c:pt>
                <c:pt idx="4">
                  <c:v>49500</c:v>
                </c:pt>
                <c:pt idx="5">
                  <c:v>675</c:v>
                </c:pt>
                <c:pt idx="6">
                  <c:v>20750</c:v>
                </c:pt>
                <c:pt idx="7">
                  <c:v>7593.063888888888</c:v>
                </c:pt>
                <c:pt idx="8">
                  <c:v>4772.9166666666661</c:v>
                </c:pt>
                <c:pt idx="9">
                  <c:v>246.5</c:v>
                </c:pt>
                <c:pt idx="10">
                  <c:v>11125</c:v>
                </c:pt>
                <c:pt idx="11">
                  <c:v>38430</c:v>
                </c:pt>
                <c:pt idx="12">
                  <c:v>6100</c:v>
                </c:pt>
                <c:pt idx="13">
                  <c:v>2515.5</c:v>
                </c:pt>
                <c:pt idx="14">
                  <c:v>18252</c:v>
                </c:pt>
              </c:numCache>
            </c:numRef>
          </c:val>
          <c:extLst>
            <c:ext xmlns:c16="http://schemas.microsoft.com/office/drawing/2014/chart" uri="{C3380CC4-5D6E-409C-BE32-E72D297353CC}">
              <c16:uniqueId val="{0000001E-7455-1C43-89B3-D9A50CEC88E6}"/>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2AB8-8749-9F5C-767BBCEC7671}"/>
              </c:ext>
            </c:extLst>
          </c:dPt>
          <c:dPt>
            <c:idx val="1"/>
            <c:bubble3D val="0"/>
            <c:spPr>
              <a:solidFill>
                <a:schemeClr val="accent2"/>
              </a:solidFill>
            </c:spPr>
            <c:extLst>
              <c:ext xmlns:c16="http://schemas.microsoft.com/office/drawing/2014/chart" uri="{C3380CC4-5D6E-409C-BE32-E72D297353CC}">
                <c16:uniqueId val="{00000003-2AB8-8749-9F5C-767BBCEC7671}"/>
              </c:ext>
            </c:extLst>
          </c:dPt>
          <c:dPt>
            <c:idx val="2"/>
            <c:bubble3D val="0"/>
            <c:spPr>
              <a:solidFill>
                <a:schemeClr val="accent3"/>
              </a:solidFill>
            </c:spPr>
            <c:extLst>
              <c:ext xmlns:c16="http://schemas.microsoft.com/office/drawing/2014/chart" uri="{C3380CC4-5D6E-409C-BE32-E72D297353CC}">
                <c16:uniqueId val="{00000005-2AB8-8749-9F5C-767BBCEC7671}"/>
              </c:ext>
            </c:extLst>
          </c:dPt>
          <c:dPt>
            <c:idx val="3"/>
            <c:bubble3D val="0"/>
            <c:spPr>
              <a:solidFill>
                <a:schemeClr val="accent4"/>
              </a:solidFill>
            </c:spPr>
            <c:extLst>
              <c:ext xmlns:c16="http://schemas.microsoft.com/office/drawing/2014/chart" uri="{C3380CC4-5D6E-409C-BE32-E72D297353CC}">
                <c16:uniqueId val="{00000007-2AB8-8749-9F5C-767BBCEC7671}"/>
              </c:ext>
            </c:extLst>
          </c:dPt>
          <c:dPt>
            <c:idx val="4"/>
            <c:bubble3D val="0"/>
            <c:spPr>
              <a:solidFill>
                <a:schemeClr val="accent5"/>
              </a:solidFill>
            </c:spPr>
            <c:extLst>
              <c:ext xmlns:c16="http://schemas.microsoft.com/office/drawing/2014/chart" uri="{C3380CC4-5D6E-409C-BE32-E72D297353CC}">
                <c16:uniqueId val="{00000009-2AB8-8749-9F5C-767BBCEC7671}"/>
              </c:ext>
            </c:extLst>
          </c:dPt>
          <c:dPt>
            <c:idx val="5"/>
            <c:bubble3D val="0"/>
            <c:spPr>
              <a:solidFill>
                <a:schemeClr val="accent6"/>
              </a:solidFill>
            </c:spPr>
            <c:extLst>
              <c:ext xmlns:c16="http://schemas.microsoft.com/office/drawing/2014/chart" uri="{C3380CC4-5D6E-409C-BE32-E72D297353CC}">
                <c16:uniqueId val="{0000000B-2AB8-8749-9F5C-767BBCEC7671}"/>
              </c:ext>
            </c:extLst>
          </c:dPt>
          <c:dPt>
            <c:idx val="6"/>
            <c:bubble3D val="0"/>
            <c:spPr>
              <a:solidFill>
                <a:schemeClr val="accent1"/>
              </a:solidFill>
            </c:spPr>
            <c:extLst>
              <c:ext xmlns:c16="http://schemas.microsoft.com/office/drawing/2014/chart" uri="{C3380CC4-5D6E-409C-BE32-E72D297353CC}">
                <c16:uniqueId val="{0000000D-2AB8-8749-9F5C-767BBCEC7671}"/>
              </c:ext>
            </c:extLst>
          </c:dPt>
          <c:dPt>
            <c:idx val="7"/>
            <c:bubble3D val="0"/>
            <c:spPr>
              <a:solidFill>
                <a:schemeClr val="accent2"/>
              </a:solidFill>
            </c:spPr>
            <c:extLst>
              <c:ext xmlns:c16="http://schemas.microsoft.com/office/drawing/2014/chart" uri="{C3380CC4-5D6E-409C-BE32-E72D297353CC}">
                <c16:uniqueId val="{0000000F-2AB8-8749-9F5C-767BBCEC7671}"/>
              </c:ext>
            </c:extLst>
          </c:dPt>
          <c:dPt>
            <c:idx val="8"/>
            <c:bubble3D val="0"/>
            <c:spPr>
              <a:solidFill>
                <a:schemeClr val="accent3"/>
              </a:solidFill>
            </c:spPr>
            <c:extLst>
              <c:ext xmlns:c16="http://schemas.microsoft.com/office/drawing/2014/chart" uri="{C3380CC4-5D6E-409C-BE32-E72D297353CC}">
                <c16:uniqueId val="{00000011-2AB8-8749-9F5C-767BBCEC7671}"/>
              </c:ext>
            </c:extLst>
          </c:dPt>
          <c:dPt>
            <c:idx val="9"/>
            <c:bubble3D val="0"/>
            <c:spPr>
              <a:solidFill>
                <a:schemeClr val="accent4"/>
              </a:solidFill>
            </c:spPr>
            <c:extLst>
              <c:ext xmlns:c16="http://schemas.microsoft.com/office/drawing/2014/chart" uri="{C3380CC4-5D6E-409C-BE32-E72D297353CC}">
                <c16:uniqueId val="{00000013-2AB8-8749-9F5C-767BBCEC7671}"/>
              </c:ext>
            </c:extLst>
          </c:dPt>
          <c:dPt>
            <c:idx val="10"/>
            <c:bubble3D val="0"/>
            <c:spPr>
              <a:solidFill>
                <a:schemeClr val="accent5"/>
              </a:solidFill>
            </c:spPr>
            <c:extLst>
              <c:ext xmlns:c16="http://schemas.microsoft.com/office/drawing/2014/chart" uri="{C3380CC4-5D6E-409C-BE32-E72D297353CC}">
                <c16:uniqueId val="{00000015-2AB8-8749-9F5C-767BBCEC7671}"/>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'Family service center'!$F$105:$F$115</c:f>
              <c:strCache>
                <c:ptCount val="11"/>
                <c:pt idx="0">
                  <c:v>steel</c:v>
                </c:pt>
                <c:pt idx="1">
                  <c:v>concrete</c:v>
                </c:pt>
                <c:pt idx="2">
                  <c:v>wood</c:v>
                </c:pt>
                <c:pt idx="3">
                  <c:v>stucco</c:v>
                </c:pt>
                <c:pt idx="4">
                  <c:v>organic mat, asphalt coating</c:v>
                </c:pt>
                <c:pt idx="5">
                  <c:v>gypsum board</c:v>
                </c:pt>
                <c:pt idx="6">
                  <c:v>aluminum</c:v>
                </c:pt>
                <c:pt idx="7">
                  <c:v>glass</c:v>
                </c:pt>
                <c:pt idx="8">
                  <c:v>plastic</c:v>
                </c:pt>
                <c:pt idx="9">
                  <c:v>asphalt</c:v>
                </c:pt>
                <c:pt idx="10">
                  <c:v>modified bitumen</c:v>
                </c:pt>
              </c:strCache>
            </c:strRef>
          </c:cat>
          <c:val>
            <c:numRef>
              <c:f>'Family service center'!$G$105:$G$115</c:f>
              <c:numCache>
                <c:formatCode>_(* #,##0_);_(* \(#,##0\);_(* "-"??_);_(@_)</c:formatCode>
                <c:ptCount val="11"/>
                <c:pt idx="0">
                  <c:v>36050.625</c:v>
                </c:pt>
                <c:pt idx="1">
                  <c:v>907875</c:v>
                </c:pt>
                <c:pt idx="2">
                  <c:v>76703.311499999996</c:v>
                </c:pt>
                <c:pt idx="3">
                  <c:v>49500</c:v>
                </c:pt>
                <c:pt idx="4">
                  <c:v>3190.5</c:v>
                </c:pt>
                <c:pt idx="5">
                  <c:v>20750</c:v>
                </c:pt>
                <c:pt idx="6">
                  <c:v>7593.063888888888</c:v>
                </c:pt>
                <c:pt idx="7">
                  <c:v>4772.9166666666661</c:v>
                </c:pt>
                <c:pt idx="8">
                  <c:v>11371.5</c:v>
                </c:pt>
                <c:pt idx="9">
                  <c:v>38430</c:v>
                </c:pt>
                <c:pt idx="10">
                  <c:v>6100</c:v>
                </c:pt>
              </c:numCache>
            </c:numRef>
          </c:val>
          <c:extLst>
            <c:ext xmlns:c16="http://schemas.microsoft.com/office/drawing/2014/chart" uri="{C3380CC4-5D6E-409C-BE32-E72D297353CC}">
              <c16:uniqueId val="{00000016-2AB8-8749-9F5C-767BBCEC7671}"/>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401-1148-A2EB-EFAFCA2928A8}"/>
              </c:ext>
            </c:extLst>
          </c:dPt>
          <c:dPt>
            <c:idx val="1"/>
            <c:bubble3D val="0"/>
            <c:spPr>
              <a:solidFill>
                <a:schemeClr val="accent2"/>
              </a:solidFill>
            </c:spPr>
            <c:extLst>
              <c:ext xmlns:c16="http://schemas.microsoft.com/office/drawing/2014/chart" uri="{C3380CC4-5D6E-409C-BE32-E72D297353CC}">
                <c16:uniqueId val="{00000003-7401-1148-A2EB-EFAFCA2928A8}"/>
              </c:ext>
            </c:extLst>
          </c:dPt>
          <c:dPt>
            <c:idx val="2"/>
            <c:bubble3D val="0"/>
            <c:spPr>
              <a:solidFill>
                <a:schemeClr val="accent3"/>
              </a:solidFill>
            </c:spPr>
            <c:extLst>
              <c:ext xmlns:c16="http://schemas.microsoft.com/office/drawing/2014/chart" uri="{C3380CC4-5D6E-409C-BE32-E72D297353CC}">
                <c16:uniqueId val="{00000005-7401-1148-A2EB-EFAFCA2928A8}"/>
              </c:ext>
            </c:extLst>
          </c:dPt>
          <c:dPt>
            <c:idx val="3"/>
            <c:bubble3D val="0"/>
            <c:spPr>
              <a:solidFill>
                <a:schemeClr val="accent4"/>
              </a:solidFill>
            </c:spPr>
            <c:extLst>
              <c:ext xmlns:c16="http://schemas.microsoft.com/office/drawing/2014/chart" uri="{C3380CC4-5D6E-409C-BE32-E72D297353CC}">
                <c16:uniqueId val="{00000007-7401-1148-A2EB-EFAFCA2928A8}"/>
              </c:ext>
            </c:extLst>
          </c:dPt>
          <c:dPt>
            <c:idx val="4"/>
            <c:bubble3D val="0"/>
            <c:spPr>
              <a:solidFill>
                <a:schemeClr val="accent5"/>
              </a:solidFill>
            </c:spPr>
            <c:extLst>
              <c:ext xmlns:c16="http://schemas.microsoft.com/office/drawing/2014/chart" uri="{C3380CC4-5D6E-409C-BE32-E72D297353CC}">
                <c16:uniqueId val="{00000009-7401-1148-A2EB-EFAFCA2928A8}"/>
              </c:ext>
            </c:extLst>
          </c:dPt>
          <c:dPt>
            <c:idx val="5"/>
            <c:bubble3D val="0"/>
            <c:spPr>
              <a:solidFill>
                <a:schemeClr val="accent6"/>
              </a:solidFill>
            </c:spPr>
            <c:extLst>
              <c:ext xmlns:c16="http://schemas.microsoft.com/office/drawing/2014/chart" uri="{C3380CC4-5D6E-409C-BE32-E72D297353CC}">
                <c16:uniqueId val="{0000000B-7401-1148-A2EB-EFAFCA2928A8}"/>
              </c:ext>
            </c:extLst>
          </c:dPt>
          <c:dPt>
            <c:idx val="6"/>
            <c:bubble3D val="0"/>
            <c:spPr>
              <a:solidFill>
                <a:schemeClr val="accent1"/>
              </a:solidFill>
            </c:spPr>
            <c:extLst>
              <c:ext xmlns:c16="http://schemas.microsoft.com/office/drawing/2014/chart" uri="{C3380CC4-5D6E-409C-BE32-E72D297353CC}">
                <c16:uniqueId val="{0000000D-7401-1148-A2EB-EFAFCA2928A8}"/>
              </c:ext>
            </c:extLst>
          </c:dPt>
          <c:dPt>
            <c:idx val="7"/>
            <c:bubble3D val="0"/>
            <c:spPr>
              <a:solidFill>
                <a:schemeClr val="accent2"/>
              </a:solidFill>
            </c:spPr>
            <c:extLst>
              <c:ext xmlns:c16="http://schemas.microsoft.com/office/drawing/2014/chart" uri="{C3380CC4-5D6E-409C-BE32-E72D297353CC}">
                <c16:uniqueId val="{0000000F-7401-1148-A2EB-EFAFCA2928A8}"/>
              </c:ext>
            </c:extLst>
          </c:dPt>
          <c:dPt>
            <c:idx val="8"/>
            <c:bubble3D val="0"/>
            <c:spPr>
              <a:solidFill>
                <a:schemeClr val="accent3"/>
              </a:solidFill>
            </c:spPr>
            <c:extLst>
              <c:ext xmlns:c16="http://schemas.microsoft.com/office/drawing/2014/chart" uri="{C3380CC4-5D6E-409C-BE32-E72D297353CC}">
                <c16:uniqueId val="{00000011-7401-1148-A2EB-EFAFCA2928A8}"/>
              </c:ext>
            </c:extLst>
          </c:dPt>
          <c:dPt>
            <c:idx val="9"/>
            <c:bubble3D val="0"/>
            <c:spPr>
              <a:solidFill>
                <a:schemeClr val="accent4"/>
              </a:solidFill>
            </c:spPr>
            <c:extLst>
              <c:ext xmlns:c16="http://schemas.microsoft.com/office/drawing/2014/chart" uri="{C3380CC4-5D6E-409C-BE32-E72D297353CC}">
                <c16:uniqueId val="{00000013-7401-1148-A2EB-EFAFCA2928A8}"/>
              </c:ext>
            </c:extLst>
          </c:dPt>
          <c:dPt>
            <c:idx val="10"/>
            <c:bubble3D val="0"/>
            <c:spPr>
              <a:solidFill>
                <a:schemeClr val="accent5"/>
              </a:solidFill>
            </c:spPr>
            <c:extLst>
              <c:ext xmlns:c16="http://schemas.microsoft.com/office/drawing/2014/chart" uri="{C3380CC4-5D6E-409C-BE32-E72D297353CC}">
                <c16:uniqueId val="{00000015-7401-1148-A2EB-EFAFCA2928A8}"/>
              </c:ext>
            </c:extLst>
          </c:dPt>
          <c:dPt>
            <c:idx val="11"/>
            <c:bubble3D val="0"/>
            <c:spPr>
              <a:solidFill>
                <a:schemeClr val="accent6"/>
              </a:solidFill>
            </c:spPr>
            <c:extLst>
              <c:ext xmlns:c16="http://schemas.microsoft.com/office/drawing/2014/chart" uri="{C3380CC4-5D6E-409C-BE32-E72D297353CC}">
                <c16:uniqueId val="{00000017-7401-1148-A2EB-EFAFCA2928A8}"/>
              </c:ext>
            </c:extLst>
          </c:dPt>
          <c:dPt>
            <c:idx val="12"/>
            <c:bubble3D val="0"/>
            <c:spPr>
              <a:solidFill>
                <a:schemeClr val="accent1"/>
              </a:solidFill>
            </c:spPr>
            <c:extLst>
              <c:ext xmlns:c16="http://schemas.microsoft.com/office/drawing/2014/chart" uri="{C3380CC4-5D6E-409C-BE32-E72D297353CC}">
                <c16:uniqueId val="{00000019-7401-1148-A2EB-EFAFCA2928A8}"/>
              </c:ext>
            </c:extLst>
          </c:dPt>
          <c:dPt>
            <c:idx val="13"/>
            <c:bubble3D val="0"/>
            <c:spPr>
              <a:solidFill>
                <a:schemeClr val="accent2"/>
              </a:solidFill>
            </c:spPr>
            <c:extLst>
              <c:ext xmlns:c16="http://schemas.microsoft.com/office/drawing/2014/chart" uri="{C3380CC4-5D6E-409C-BE32-E72D297353CC}">
                <c16:uniqueId val="{0000001B-7401-1148-A2EB-EFAFCA2928A8}"/>
              </c:ext>
            </c:extLst>
          </c:dPt>
          <c:dPt>
            <c:idx val="14"/>
            <c:bubble3D val="0"/>
            <c:spPr>
              <a:solidFill>
                <a:schemeClr val="accent3"/>
              </a:solidFill>
            </c:spPr>
            <c:extLst>
              <c:ext xmlns:c16="http://schemas.microsoft.com/office/drawing/2014/chart" uri="{C3380CC4-5D6E-409C-BE32-E72D297353CC}">
                <c16:uniqueId val="{0000001D-7401-1148-A2EB-EFAFCA2928A8}"/>
              </c:ext>
            </c:extLst>
          </c:dPt>
          <c:cat>
            <c:strRef>
              <c:f>'Fire station'!$F$75:$F$89</c:f>
              <c:strCache>
                <c:ptCount val="15"/>
                <c:pt idx="0">
                  <c:v>concrete</c:v>
                </c:pt>
                <c:pt idx="1">
                  <c:v>carbon steel</c:v>
                </c:pt>
                <c:pt idx="2">
                  <c:v>OSB</c:v>
                </c:pt>
                <c:pt idx="3">
                  <c:v>softwood</c:v>
                </c:pt>
                <c:pt idx="4">
                  <c:v>stucco</c:v>
                </c:pt>
                <c:pt idx="5">
                  <c:v>#15 felt</c:v>
                </c:pt>
                <c:pt idx="6">
                  <c:v>glass mat gypsum board</c:v>
                </c:pt>
                <c:pt idx="7">
                  <c:v>solid modular clay brick</c:v>
                </c:pt>
                <c:pt idx="8">
                  <c:v>Type S mortar</c:v>
                </c:pt>
                <c:pt idx="9">
                  <c:v>aluminum</c:v>
                </c:pt>
                <c:pt idx="10">
                  <c:v>Laminated glass</c:v>
                </c:pt>
                <c:pt idx="11">
                  <c:v>Polyvinyl Butyral (PVB) interlayer film</c:v>
                </c:pt>
                <c:pt idx="12">
                  <c:v>polyisocyanurate foam board</c:v>
                </c:pt>
                <c:pt idx="13">
                  <c:v>asphalt BUR membrane</c:v>
                </c:pt>
                <c:pt idx="14">
                  <c:v>granulated modified bitumen cap sheet</c:v>
                </c:pt>
              </c:strCache>
            </c:strRef>
          </c:cat>
          <c:val>
            <c:numRef>
              <c:f>'Fire station'!$G$75:$G$89</c:f>
              <c:numCache>
                <c:formatCode>_(* #,##0_);_(* \(#,##0\);_(* "-"??_);_(@_)</c:formatCode>
                <c:ptCount val="15"/>
                <c:pt idx="0">
                  <c:v>811750</c:v>
                </c:pt>
                <c:pt idx="1">
                  <c:v>32239.375</c:v>
                </c:pt>
                <c:pt idx="2">
                  <c:v>12744</c:v>
                </c:pt>
                <c:pt idx="3">
                  <c:v>50813.274000000005</c:v>
                </c:pt>
                <c:pt idx="4">
                  <c:v>44000</c:v>
                </c:pt>
                <c:pt idx="5">
                  <c:v>720</c:v>
                </c:pt>
                <c:pt idx="6">
                  <c:v>27120</c:v>
                </c:pt>
                <c:pt idx="7">
                  <c:v>25920</c:v>
                </c:pt>
                <c:pt idx="8">
                  <c:v>3456</c:v>
                </c:pt>
                <c:pt idx="9">
                  <c:v>315</c:v>
                </c:pt>
                <c:pt idx="10">
                  <c:v>2073.75</c:v>
                </c:pt>
                <c:pt idx="11">
                  <c:v>107.10000000000001</c:v>
                </c:pt>
                <c:pt idx="12">
                  <c:v>5832</c:v>
                </c:pt>
                <c:pt idx="13">
                  <c:v>56700</c:v>
                </c:pt>
                <c:pt idx="14">
                  <c:v>9000</c:v>
                </c:pt>
              </c:numCache>
            </c:numRef>
          </c:val>
          <c:extLst>
            <c:ext xmlns:c16="http://schemas.microsoft.com/office/drawing/2014/chart" uri="{C3380CC4-5D6E-409C-BE32-E72D297353CC}">
              <c16:uniqueId val="{0000001E-7401-1148-A2EB-EFAFCA2928A8}"/>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5FE9-5A44-9073-527560DAC68E}"/>
              </c:ext>
            </c:extLst>
          </c:dPt>
          <c:dPt>
            <c:idx val="1"/>
            <c:bubble3D val="0"/>
            <c:spPr>
              <a:solidFill>
                <a:schemeClr val="accent2"/>
              </a:solidFill>
            </c:spPr>
            <c:extLst>
              <c:ext xmlns:c16="http://schemas.microsoft.com/office/drawing/2014/chart" uri="{C3380CC4-5D6E-409C-BE32-E72D297353CC}">
                <c16:uniqueId val="{00000003-5FE9-5A44-9073-527560DAC68E}"/>
              </c:ext>
            </c:extLst>
          </c:dPt>
          <c:dPt>
            <c:idx val="2"/>
            <c:bubble3D val="0"/>
            <c:spPr>
              <a:solidFill>
                <a:schemeClr val="accent3"/>
              </a:solidFill>
            </c:spPr>
            <c:extLst>
              <c:ext xmlns:c16="http://schemas.microsoft.com/office/drawing/2014/chart" uri="{C3380CC4-5D6E-409C-BE32-E72D297353CC}">
                <c16:uniqueId val="{00000005-5FE9-5A44-9073-527560DAC68E}"/>
              </c:ext>
            </c:extLst>
          </c:dPt>
          <c:dPt>
            <c:idx val="3"/>
            <c:bubble3D val="0"/>
            <c:spPr>
              <a:solidFill>
                <a:schemeClr val="accent4"/>
              </a:solidFill>
            </c:spPr>
            <c:extLst>
              <c:ext xmlns:c16="http://schemas.microsoft.com/office/drawing/2014/chart" uri="{C3380CC4-5D6E-409C-BE32-E72D297353CC}">
                <c16:uniqueId val="{00000007-5FE9-5A44-9073-527560DAC68E}"/>
              </c:ext>
            </c:extLst>
          </c:dPt>
          <c:dPt>
            <c:idx val="4"/>
            <c:bubble3D val="0"/>
            <c:spPr>
              <a:solidFill>
                <a:schemeClr val="accent5"/>
              </a:solidFill>
            </c:spPr>
            <c:extLst>
              <c:ext xmlns:c16="http://schemas.microsoft.com/office/drawing/2014/chart" uri="{C3380CC4-5D6E-409C-BE32-E72D297353CC}">
                <c16:uniqueId val="{00000009-5FE9-5A44-9073-527560DAC68E}"/>
              </c:ext>
            </c:extLst>
          </c:dPt>
          <c:dPt>
            <c:idx val="5"/>
            <c:bubble3D val="0"/>
            <c:spPr>
              <a:solidFill>
                <a:schemeClr val="accent6"/>
              </a:solidFill>
            </c:spPr>
            <c:extLst>
              <c:ext xmlns:c16="http://schemas.microsoft.com/office/drawing/2014/chart" uri="{C3380CC4-5D6E-409C-BE32-E72D297353CC}">
                <c16:uniqueId val="{0000000B-5FE9-5A44-9073-527560DAC68E}"/>
              </c:ext>
            </c:extLst>
          </c:dPt>
          <c:dPt>
            <c:idx val="6"/>
            <c:bubble3D val="0"/>
            <c:spPr>
              <a:solidFill>
                <a:schemeClr val="accent1"/>
              </a:solidFill>
            </c:spPr>
            <c:extLst>
              <c:ext xmlns:c16="http://schemas.microsoft.com/office/drawing/2014/chart" uri="{C3380CC4-5D6E-409C-BE32-E72D297353CC}">
                <c16:uniqueId val="{0000000D-5FE9-5A44-9073-527560DAC68E}"/>
              </c:ext>
            </c:extLst>
          </c:dPt>
          <c:dPt>
            <c:idx val="7"/>
            <c:bubble3D val="0"/>
            <c:spPr>
              <a:solidFill>
                <a:schemeClr val="accent2"/>
              </a:solidFill>
            </c:spPr>
            <c:extLst>
              <c:ext xmlns:c16="http://schemas.microsoft.com/office/drawing/2014/chart" uri="{C3380CC4-5D6E-409C-BE32-E72D297353CC}">
                <c16:uniqueId val="{0000000F-5FE9-5A44-9073-527560DAC68E}"/>
              </c:ext>
            </c:extLst>
          </c:dPt>
          <c:dPt>
            <c:idx val="8"/>
            <c:bubble3D val="0"/>
            <c:spPr>
              <a:solidFill>
                <a:schemeClr val="accent3"/>
              </a:solidFill>
            </c:spPr>
            <c:extLst>
              <c:ext xmlns:c16="http://schemas.microsoft.com/office/drawing/2014/chart" uri="{C3380CC4-5D6E-409C-BE32-E72D297353CC}">
                <c16:uniqueId val="{00000011-5FE9-5A44-9073-527560DAC68E}"/>
              </c:ext>
            </c:extLst>
          </c:dPt>
          <c:dPt>
            <c:idx val="9"/>
            <c:bubble3D val="0"/>
            <c:spPr>
              <a:solidFill>
                <a:schemeClr val="accent4"/>
              </a:solidFill>
            </c:spPr>
            <c:extLst>
              <c:ext xmlns:c16="http://schemas.microsoft.com/office/drawing/2014/chart" uri="{C3380CC4-5D6E-409C-BE32-E72D297353CC}">
                <c16:uniqueId val="{00000013-5FE9-5A44-9073-527560DAC68E}"/>
              </c:ext>
            </c:extLst>
          </c:dPt>
          <c:dPt>
            <c:idx val="10"/>
            <c:bubble3D val="0"/>
            <c:spPr>
              <a:solidFill>
                <a:schemeClr val="accent5"/>
              </a:solidFill>
            </c:spPr>
            <c:extLst>
              <c:ext xmlns:c16="http://schemas.microsoft.com/office/drawing/2014/chart" uri="{C3380CC4-5D6E-409C-BE32-E72D297353CC}">
                <c16:uniqueId val="{00000015-5FE9-5A44-9073-527560DAC68E}"/>
              </c:ext>
            </c:extLst>
          </c:dPt>
          <c:dPt>
            <c:idx val="11"/>
            <c:bubble3D val="0"/>
            <c:spPr>
              <a:solidFill>
                <a:schemeClr val="accent6"/>
              </a:solidFill>
            </c:spPr>
            <c:extLst>
              <c:ext xmlns:c16="http://schemas.microsoft.com/office/drawing/2014/chart" uri="{C3380CC4-5D6E-409C-BE32-E72D297353CC}">
                <c16:uniqueId val="{00000017-5FE9-5A44-9073-527560DAC68E}"/>
              </c:ext>
            </c:extLst>
          </c:dPt>
          <c:dPt>
            <c:idx val="12"/>
            <c:bubble3D val="0"/>
            <c:spPr>
              <a:solidFill>
                <a:schemeClr val="accent1"/>
              </a:solidFill>
            </c:spPr>
            <c:extLst>
              <c:ext xmlns:c16="http://schemas.microsoft.com/office/drawing/2014/chart" uri="{C3380CC4-5D6E-409C-BE32-E72D297353CC}">
                <c16:uniqueId val="{00000019-5FE9-5A44-9073-527560DAC68E}"/>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'Fire station'!$F$96:$F$108</c:f>
              <c:strCache>
                <c:ptCount val="13"/>
                <c:pt idx="0">
                  <c:v>concrete</c:v>
                </c:pt>
                <c:pt idx="1">
                  <c:v>steel</c:v>
                </c:pt>
                <c:pt idx="2">
                  <c:v>wood</c:v>
                </c:pt>
                <c:pt idx="3">
                  <c:v>stucco</c:v>
                </c:pt>
                <c:pt idx="4">
                  <c:v>organic mat, asphalt coating</c:v>
                </c:pt>
                <c:pt idx="5">
                  <c:v>gypsum board</c:v>
                </c:pt>
                <c:pt idx="6">
                  <c:v>brick</c:v>
                </c:pt>
                <c:pt idx="7">
                  <c:v>mortar</c:v>
                </c:pt>
                <c:pt idx="8">
                  <c:v>aluminum</c:v>
                </c:pt>
                <c:pt idx="9">
                  <c:v>Glass</c:v>
                </c:pt>
                <c:pt idx="10">
                  <c:v>plastic</c:v>
                </c:pt>
                <c:pt idx="11">
                  <c:v>asphalt</c:v>
                </c:pt>
                <c:pt idx="12">
                  <c:v>modified bitumen</c:v>
                </c:pt>
              </c:strCache>
            </c:strRef>
          </c:cat>
          <c:val>
            <c:numRef>
              <c:f>'Fire station'!$G$96:$G$108</c:f>
              <c:numCache>
                <c:formatCode>_(* #,##0_);_(* \(#,##0\);_(* "-"??_);_(@_)</c:formatCode>
                <c:ptCount val="13"/>
                <c:pt idx="0">
                  <c:v>811750</c:v>
                </c:pt>
                <c:pt idx="1">
                  <c:v>32239.375</c:v>
                </c:pt>
                <c:pt idx="2">
                  <c:v>63557.274000000005</c:v>
                </c:pt>
                <c:pt idx="3">
                  <c:v>44000</c:v>
                </c:pt>
                <c:pt idx="4">
                  <c:v>720</c:v>
                </c:pt>
                <c:pt idx="5">
                  <c:v>27120</c:v>
                </c:pt>
                <c:pt idx="6">
                  <c:v>25920</c:v>
                </c:pt>
                <c:pt idx="7">
                  <c:v>3456</c:v>
                </c:pt>
                <c:pt idx="8">
                  <c:v>315</c:v>
                </c:pt>
                <c:pt idx="9">
                  <c:v>2073.75</c:v>
                </c:pt>
                <c:pt idx="10">
                  <c:v>5939.1</c:v>
                </c:pt>
                <c:pt idx="11">
                  <c:v>56700</c:v>
                </c:pt>
                <c:pt idx="12">
                  <c:v>9000</c:v>
                </c:pt>
              </c:numCache>
            </c:numRef>
          </c:val>
          <c:extLst>
            <c:ext xmlns:c16="http://schemas.microsoft.com/office/drawing/2014/chart" uri="{C3380CC4-5D6E-409C-BE32-E72D297353CC}">
              <c16:uniqueId val="{0000001A-5FE9-5A44-9073-527560DAC68E}"/>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DEEA-344D-8A16-A8AE345D2B47}"/>
              </c:ext>
            </c:extLst>
          </c:dPt>
          <c:dPt>
            <c:idx val="1"/>
            <c:bubble3D val="0"/>
            <c:spPr>
              <a:solidFill>
                <a:schemeClr val="accent2"/>
              </a:solidFill>
            </c:spPr>
            <c:extLst>
              <c:ext xmlns:c16="http://schemas.microsoft.com/office/drawing/2014/chart" uri="{C3380CC4-5D6E-409C-BE32-E72D297353CC}">
                <c16:uniqueId val="{00000003-DEEA-344D-8A16-A8AE345D2B47}"/>
              </c:ext>
            </c:extLst>
          </c:dPt>
          <c:dPt>
            <c:idx val="2"/>
            <c:bubble3D val="0"/>
            <c:spPr>
              <a:solidFill>
                <a:schemeClr val="accent3"/>
              </a:solidFill>
            </c:spPr>
            <c:extLst>
              <c:ext xmlns:c16="http://schemas.microsoft.com/office/drawing/2014/chart" uri="{C3380CC4-5D6E-409C-BE32-E72D297353CC}">
                <c16:uniqueId val="{00000005-DEEA-344D-8A16-A8AE345D2B47}"/>
              </c:ext>
            </c:extLst>
          </c:dPt>
          <c:dPt>
            <c:idx val="3"/>
            <c:bubble3D val="0"/>
            <c:spPr>
              <a:solidFill>
                <a:schemeClr val="accent4"/>
              </a:solidFill>
            </c:spPr>
            <c:extLst>
              <c:ext xmlns:c16="http://schemas.microsoft.com/office/drawing/2014/chart" uri="{C3380CC4-5D6E-409C-BE32-E72D297353CC}">
                <c16:uniqueId val="{00000007-DEEA-344D-8A16-A8AE345D2B47}"/>
              </c:ext>
            </c:extLst>
          </c:dPt>
          <c:dPt>
            <c:idx val="4"/>
            <c:bubble3D val="0"/>
            <c:spPr>
              <a:solidFill>
                <a:schemeClr val="accent5"/>
              </a:solidFill>
            </c:spPr>
            <c:extLst>
              <c:ext xmlns:c16="http://schemas.microsoft.com/office/drawing/2014/chart" uri="{C3380CC4-5D6E-409C-BE32-E72D297353CC}">
                <c16:uniqueId val="{00000009-DEEA-344D-8A16-A8AE345D2B47}"/>
              </c:ext>
            </c:extLst>
          </c:dPt>
          <c:dPt>
            <c:idx val="5"/>
            <c:bubble3D val="0"/>
            <c:spPr>
              <a:solidFill>
                <a:schemeClr val="accent6"/>
              </a:solidFill>
            </c:spPr>
            <c:extLst>
              <c:ext xmlns:c16="http://schemas.microsoft.com/office/drawing/2014/chart" uri="{C3380CC4-5D6E-409C-BE32-E72D297353CC}">
                <c16:uniqueId val="{0000000B-DEEA-344D-8A16-A8AE345D2B47}"/>
              </c:ext>
            </c:extLst>
          </c:dPt>
          <c:dPt>
            <c:idx val="6"/>
            <c:bubble3D val="0"/>
            <c:spPr>
              <a:solidFill>
                <a:schemeClr val="accent1"/>
              </a:solidFill>
            </c:spPr>
            <c:extLst>
              <c:ext xmlns:c16="http://schemas.microsoft.com/office/drawing/2014/chart" uri="{C3380CC4-5D6E-409C-BE32-E72D297353CC}">
                <c16:uniqueId val="{0000000D-DEEA-344D-8A16-A8AE345D2B47}"/>
              </c:ext>
            </c:extLst>
          </c:dPt>
          <c:dPt>
            <c:idx val="7"/>
            <c:bubble3D val="0"/>
            <c:spPr>
              <a:solidFill>
                <a:schemeClr val="accent2"/>
              </a:solidFill>
            </c:spPr>
            <c:extLst>
              <c:ext xmlns:c16="http://schemas.microsoft.com/office/drawing/2014/chart" uri="{C3380CC4-5D6E-409C-BE32-E72D297353CC}">
                <c16:uniqueId val="{0000000F-DEEA-344D-8A16-A8AE345D2B47}"/>
              </c:ext>
            </c:extLst>
          </c:dPt>
          <c:dPt>
            <c:idx val="8"/>
            <c:bubble3D val="0"/>
            <c:spPr>
              <a:solidFill>
                <a:schemeClr val="accent3"/>
              </a:solidFill>
            </c:spPr>
            <c:extLst>
              <c:ext xmlns:c16="http://schemas.microsoft.com/office/drawing/2014/chart" uri="{C3380CC4-5D6E-409C-BE32-E72D297353CC}">
                <c16:uniqueId val="{00000011-DEEA-344D-8A16-A8AE345D2B47}"/>
              </c:ext>
            </c:extLst>
          </c:dPt>
          <c:dPt>
            <c:idx val="9"/>
            <c:bubble3D val="0"/>
            <c:spPr>
              <a:solidFill>
                <a:schemeClr val="accent4"/>
              </a:solidFill>
            </c:spPr>
            <c:extLst>
              <c:ext xmlns:c16="http://schemas.microsoft.com/office/drawing/2014/chart" uri="{C3380CC4-5D6E-409C-BE32-E72D297353CC}">
                <c16:uniqueId val="{00000013-DEEA-344D-8A16-A8AE345D2B47}"/>
              </c:ext>
            </c:extLst>
          </c:dPt>
          <c:cat>
            <c:strRef>
              <c:f>'Industrial utilities'!$F$43:$F$52</c:f>
              <c:strCache>
                <c:ptCount val="10"/>
                <c:pt idx="0">
                  <c:v>concrete</c:v>
                </c:pt>
                <c:pt idx="1">
                  <c:v>carbon steel</c:v>
                </c:pt>
                <c:pt idx="2">
                  <c:v>OSB</c:v>
                </c:pt>
                <c:pt idx="3">
                  <c:v>softwood</c:v>
                </c:pt>
                <c:pt idx="4">
                  <c:v>15 felt moisture barrier</c:v>
                </c:pt>
                <c:pt idx="5">
                  <c:v>polyisocyanurate foam board</c:v>
                </c:pt>
                <c:pt idx="6">
                  <c:v>glass mat gypsum board</c:v>
                </c:pt>
                <c:pt idx="7">
                  <c:v>asphalt BUR membrane</c:v>
                </c:pt>
                <c:pt idx="8">
                  <c:v>granulated modified bitumen cap sheet</c:v>
                </c:pt>
                <c:pt idx="9">
                  <c:v>wood cladding, softwood</c:v>
                </c:pt>
              </c:strCache>
            </c:strRef>
          </c:cat>
          <c:val>
            <c:numRef>
              <c:f>'Industrial utilities'!$G$43:$G$52</c:f>
              <c:numCache>
                <c:formatCode>_(* #,##0_);_(* \(#,##0\);_(* "-"??_);_(@_)</c:formatCode>
                <c:ptCount val="10"/>
                <c:pt idx="0">
                  <c:v>25200</c:v>
                </c:pt>
                <c:pt idx="1">
                  <c:v>972</c:v>
                </c:pt>
                <c:pt idx="2">
                  <c:v>345.59999999999997</c:v>
                </c:pt>
                <c:pt idx="3">
                  <c:v>1066.2719999999999</c:v>
                </c:pt>
                <c:pt idx="4">
                  <c:v>6.1499999999999995</c:v>
                </c:pt>
                <c:pt idx="5">
                  <c:v>150</c:v>
                </c:pt>
                <c:pt idx="6">
                  <c:v>557.9</c:v>
                </c:pt>
                <c:pt idx="7">
                  <c:v>1512</c:v>
                </c:pt>
                <c:pt idx="8">
                  <c:v>240</c:v>
                </c:pt>
                <c:pt idx="9">
                  <c:v>57.809999999999995</c:v>
                </c:pt>
              </c:numCache>
            </c:numRef>
          </c:val>
          <c:extLst>
            <c:ext xmlns:c16="http://schemas.microsoft.com/office/drawing/2014/chart" uri="{C3380CC4-5D6E-409C-BE32-E72D297353CC}">
              <c16:uniqueId val="{00000014-DEEA-344D-8A16-A8AE345D2B4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BDCD-674F-B827-4381B4589BA8}"/>
              </c:ext>
            </c:extLst>
          </c:dPt>
          <c:dPt>
            <c:idx val="1"/>
            <c:bubble3D val="0"/>
            <c:spPr>
              <a:solidFill>
                <a:schemeClr val="accent2"/>
              </a:solidFill>
            </c:spPr>
            <c:extLst>
              <c:ext xmlns:c16="http://schemas.microsoft.com/office/drawing/2014/chart" uri="{C3380CC4-5D6E-409C-BE32-E72D297353CC}">
                <c16:uniqueId val="{00000003-BDCD-674F-B827-4381B4589BA8}"/>
              </c:ext>
            </c:extLst>
          </c:dPt>
          <c:dPt>
            <c:idx val="2"/>
            <c:bubble3D val="0"/>
            <c:spPr>
              <a:solidFill>
                <a:schemeClr val="accent3"/>
              </a:solidFill>
            </c:spPr>
            <c:extLst>
              <c:ext xmlns:c16="http://schemas.microsoft.com/office/drawing/2014/chart" uri="{C3380CC4-5D6E-409C-BE32-E72D297353CC}">
                <c16:uniqueId val="{00000005-BDCD-674F-B827-4381B4589BA8}"/>
              </c:ext>
            </c:extLst>
          </c:dPt>
          <c:dPt>
            <c:idx val="3"/>
            <c:bubble3D val="0"/>
            <c:spPr>
              <a:solidFill>
                <a:schemeClr val="accent4"/>
              </a:solidFill>
            </c:spPr>
            <c:extLst>
              <c:ext xmlns:c16="http://schemas.microsoft.com/office/drawing/2014/chart" uri="{C3380CC4-5D6E-409C-BE32-E72D297353CC}">
                <c16:uniqueId val="{00000007-BDCD-674F-B827-4381B4589BA8}"/>
              </c:ext>
            </c:extLst>
          </c:dPt>
          <c:dPt>
            <c:idx val="4"/>
            <c:bubble3D val="0"/>
            <c:spPr>
              <a:solidFill>
                <a:schemeClr val="accent5"/>
              </a:solidFill>
            </c:spPr>
            <c:extLst>
              <c:ext xmlns:c16="http://schemas.microsoft.com/office/drawing/2014/chart" uri="{C3380CC4-5D6E-409C-BE32-E72D297353CC}">
                <c16:uniqueId val="{00000009-BDCD-674F-B827-4381B4589BA8}"/>
              </c:ext>
            </c:extLst>
          </c:dPt>
          <c:dPt>
            <c:idx val="5"/>
            <c:bubble3D val="0"/>
            <c:spPr>
              <a:solidFill>
                <a:schemeClr val="accent6"/>
              </a:solidFill>
            </c:spPr>
            <c:extLst>
              <c:ext xmlns:c16="http://schemas.microsoft.com/office/drawing/2014/chart" uri="{C3380CC4-5D6E-409C-BE32-E72D297353CC}">
                <c16:uniqueId val="{0000000B-BDCD-674F-B827-4381B4589BA8}"/>
              </c:ext>
            </c:extLst>
          </c:dPt>
          <c:dPt>
            <c:idx val="6"/>
            <c:bubble3D val="0"/>
            <c:spPr>
              <a:solidFill>
                <a:schemeClr val="accent1"/>
              </a:solidFill>
            </c:spPr>
            <c:extLst>
              <c:ext xmlns:c16="http://schemas.microsoft.com/office/drawing/2014/chart" uri="{C3380CC4-5D6E-409C-BE32-E72D297353CC}">
                <c16:uniqueId val="{0000000D-BDCD-674F-B827-4381B4589BA8}"/>
              </c:ext>
            </c:extLst>
          </c:dPt>
          <c:dPt>
            <c:idx val="7"/>
            <c:bubble3D val="0"/>
            <c:spPr>
              <a:solidFill>
                <a:schemeClr val="accent2"/>
              </a:solidFill>
            </c:spPr>
            <c:extLst>
              <c:ext xmlns:c16="http://schemas.microsoft.com/office/drawing/2014/chart" uri="{C3380CC4-5D6E-409C-BE32-E72D297353CC}">
                <c16:uniqueId val="{0000000F-BDCD-674F-B827-4381B4589BA8}"/>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'Industrial utilities'!$F$56:$F$63</c:f>
              <c:strCache>
                <c:ptCount val="8"/>
                <c:pt idx="0">
                  <c:v>concrete</c:v>
                </c:pt>
                <c:pt idx="1">
                  <c:v>steel</c:v>
                </c:pt>
                <c:pt idx="2">
                  <c:v>wood</c:v>
                </c:pt>
                <c:pt idx="3">
                  <c:v>organic mat, asphalt coating</c:v>
                </c:pt>
                <c:pt idx="4">
                  <c:v>gypsum board</c:v>
                </c:pt>
                <c:pt idx="5">
                  <c:v>plastic</c:v>
                </c:pt>
                <c:pt idx="6">
                  <c:v>asphalt</c:v>
                </c:pt>
                <c:pt idx="7">
                  <c:v>modified bitumen</c:v>
                </c:pt>
              </c:strCache>
            </c:strRef>
          </c:cat>
          <c:val>
            <c:numRef>
              <c:f>'Industrial utilities'!$G$56:$G$63</c:f>
              <c:numCache>
                <c:formatCode>_(* #,##0_);_(* \(#,##0\);_(* "-"??_);_(@_)</c:formatCode>
                <c:ptCount val="8"/>
                <c:pt idx="0">
                  <c:v>25200</c:v>
                </c:pt>
                <c:pt idx="1">
                  <c:v>972</c:v>
                </c:pt>
                <c:pt idx="2">
                  <c:v>1469.6819999999998</c:v>
                </c:pt>
                <c:pt idx="3">
                  <c:v>6.1499999999999995</c:v>
                </c:pt>
                <c:pt idx="4">
                  <c:v>557.9</c:v>
                </c:pt>
                <c:pt idx="5">
                  <c:v>150</c:v>
                </c:pt>
                <c:pt idx="6">
                  <c:v>1512</c:v>
                </c:pt>
                <c:pt idx="7">
                  <c:v>240</c:v>
                </c:pt>
              </c:numCache>
            </c:numRef>
          </c:val>
          <c:extLst>
            <c:ext xmlns:c16="http://schemas.microsoft.com/office/drawing/2014/chart" uri="{C3380CC4-5D6E-409C-BE32-E72D297353CC}">
              <c16:uniqueId val="{00000010-BDCD-674F-B827-4381B4589BA8}"/>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8E9A-1F49-8BC2-07344F47EACB}"/>
              </c:ext>
            </c:extLst>
          </c:dPt>
          <c:dPt>
            <c:idx val="1"/>
            <c:bubble3D val="0"/>
            <c:spPr>
              <a:solidFill>
                <a:schemeClr val="accent2"/>
              </a:solidFill>
            </c:spPr>
            <c:extLst>
              <c:ext xmlns:c16="http://schemas.microsoft.com/office/drawing/2014/chart" uri="{C3380CC4-5D6E-409C-BE32-E72D297353CC}">
                <c16:uniqueId val="{00000003-8E9A-1F49-8BC2-07344F47EACB}"/>
              </c:ext>
            </c:extLst>
          </c:dPt>
          <c:dPt>
            <c:idx val="2"/>
            <c:bubble3D val="0"/>
            <c:spPr>
              <a:solidFill>
                <a:schemeClr val="accent3"/>
              </a:solidFill>
            </c:spPr>
            <c:extLst>
              <c:ext xmlns:c16="http://schemas.microsoft.com/office/drawing/2014/chart" uri="{C3380CC4-5D6E-409C-BE32-E72D297353CC}">
                <c16:uniqueId val="{00000005-8E9A-1F49-8BC2-07344F47EACB}"/>
              </c:ext>
            </c:extLst>
          </c:dPt>
          <c:dPt>
            <c:idx val="3"/>
            <c:bubble3D val="0"/>
            <c:spPr>
              <a:solidFill>
                <a:schemeClr val="accent4"/>
              </a:solidFill>
            </c:spPr>
            <c:extLst>
              <c:ext xmlns:c16="http://schemas.microsoft.com/office/drawing/2014/chart" uri="{C3380CC4-5D6E-409C-BE32-E72D297353CC}">
                <c16:uniqueId val="{00000007-8E9A-1F49-8BC2-07344F47EACB}"/>
              </c:ext>
            </c:extLst>
          </c:dPt>
          <c:dPt>
            <c:idx val="4"/>
            <c:bubble3D val="0"/>
            <c:spPr>
              <a:solidFill>
                <a:schemeClr val="accent5"/>
              </a:solidFill>
            </c:spPr>
            <c:extLst>
              <c:ext xmlns:c16="http://schemas.microsoft.com/office/drawing/2014/chart" uri="{C3380CC4-5D6E-409C-BE32-E72D297353CC}">
                <c16:uniqueId val="{00000009-8E9A-1F49-8BC2-07344F47EACB}"/>
              </c:ext>
            </c:extLst>
          </c:dPt>
          <c:dPt>
            <c:idx val="5"/>
            <c:bubble3D val="0"/>
            <c:spPr>
              <a:solidFill>
                <a:schemeClr val="accent6"/>
              </a:solidFill>
            </c:spPr>
            <c:extLst>
              <c:ext xmlns:c16="http://schemas.microsoft.com/office/drawing/2014/chart" uri="{C3380CC4-5D6E-409C-BE32-E72D297353CC}">
                <c16:uniqueId val="{0000000B-8E9A-1F49-8BC2-07344F47EACB}"/>
              </c:ext>
            </c:extLst>
          </c:dPt>
          <c:dPt>
            <c:idx val="6"/>
            <c:bubble3D val="0"/>
            <c:spPr>
              <a:solidFill>
                <a:schemeClr val="accent1"/>
              </a:solidFill>
            </c:spPr>
            <c:extLst>
              <c:ext xmlns:c16="http://schemas.microsoft.com/office/drawing/2014/chart" uri="{C3380CC4-5D6E-409C-BE32-E72D297353CC}">
                <c16:uniqueId val="{0000000D-8E9A-1F49-8BC2-07344F47EACB}"/>
              </c:ext>
            </c:extLst>
          </c:dPt>
          <c:dPt>
            <c:idx val="7"/>
            <c:bubble3D val="0"/>
            <c:spPr>
              <a:solidFill>
                <a:schemeClr val="accent2"/>
              </a:solidFill>
            </c:spPr>
            <c:extLst>
              <c:ext xmlns:c16="http://schemas.microsoft.com/office/drawing/2014/chart" uri="{C3380CC4-5D6E-409C-BE32-E72D297353CC}">
                <c16:uniqueId val="{0000000F-8E9A-1F49-8BC2-07344F47EACB}"/>
              </c:ext>
            </c:extLst>
          </c:dPt>
          <c:dPt>
            <c:idx val="8"/>
            <c:bubble3D val="0"/>
            <c:spPr>
              <a:solidFill>
                <a:schemeClr val="accent3"/>
              </a:solidFill>
            </c:spPr>
            <c:extLst>
              <c:ext xmlns:c16="http://schemas.microsoft.com/office/drawing/2014/chart" uri="{C3380CC4-5D6E-409C-BE32-E72D297353CC}">
                <c16:uniqueId val="{00000011-8E9A-1F49-8BC2-07344F47EACB}"/>
              </c:ext>
            </c:extLst>
          </c:dPt>
          <c:dPt>
            <c:idx val="9"/>
            <c:bubble3D val="0"/>
            <c:spPr>
              <a:solidFill>
                <a:schemeClr val="accent4"/>
              </a:solidFill>
            </c:spPr>
            <c:extLst>
              <c:ext xmlns:c16="http://schemas.microsoft.com/office/drawing/2014/chart" uri="{C3380CC4-5D6E-409C-BE32-E72D297353CC}">
                <c16:uniqueId val="{00000013-8E9A-1F49-8BC2-07344F47EACB}"/>
              </c:ext>
            </c:extLst>
          </c:dPt>
          <c:dPt>
            <c:idx val="10"/>
            <c:bubble3D val="0"/>
            <c:spPr>
              <a:solidFill>
                <a:schemeClr val="accent5"/>
              </a:solidFill>
            </c:spPr>
            <c:extLst>
              <c:ext xmlns:c16="http://schemas.microsoft.com/office/drawing/2014/chart" uri="{C3380CC4-5D6E-409C-BE32-E72D297353CC}">
                <c16:uniqueId val="{00000015-8E9A-1F49-8BC2-07344F47EACB}"/>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Lodging!$F$58:$F$68</c:f>
              <c:strCache>
                <c:ptCount val="11"/>
                <c:pt idx="0">
                  <c:v>concrete</c:v>
                </c:pt>
                <c:pt idx="1">
                  <c:v>carbon steel</c:v>
                </c:pt>
                <c:pt idx="2">
                  <c:v>softwood</c:v>
                </c:pt>
                <c:pt idx="3">
                  <c:v>stucco</c:v>
                </c:pt>
                <c:pt idx="4">
                  <c:v>#15 felt</c:v>
                </c:pt>
                <c:pt idx="5">
                  <c:v>glass mat gypsum board</c:v>
                </c:pt>
                <c:pt idx="6">
                  <c:v>Aluminum</c:v>
                </c:pt>
                <c:pt idx="7">
                  <c:v>Laminated glass</c:v>
                </c:pt>
                <c:pt idx="8">
                  <c:v>Polyvinyl Butyral (PVB) interlayer film</c:v>
                </c:pt>
                <c:pt idx="9">
                  <c:v>plywood</c:v>
                </c:pt>
                <c:pt idx="10">
                  <c:v>clay tiles</c:v>
                </c:pt>
              </c:strCache>
            </c:strRef>
          </c:cat>
          <c:val>
            <c:numRef>
              <c:f>Lodging!$G$58:$G$68</c:f>
              <c:numCache>
                <c:formatCode>_(* #,##0_);_(* \(#,##0\);_(* "-"??_);_(@_)</c:formatCode>
                <c:ptCount val="11"/>
                <c:pt idx="0">
                  <c:v>410437.5</c:v>
                </c:pt>
                <c:pt idx="1">
                  <c:v>16240.3125</c:v>
                </c:pt>
                <c:pt idx="2">
                  <c:v>74851.620999999985</c:v>
                </c:pt>
                <c:pt idx="3">
                  <c:v>94600</c:v>
                </c:pt>
                <c:pt idx="4">
                  <c:v>1290</c:v>
                </c:pt>
                <c:pt idx="5">
                  <c:v>16340</c:v>
                </c:pt>
                <c:pt idx="6">
                  <c:v>480</c:v>
                </c:pt>
                <c:pt idx="7">
                  <c:v>3160</c:v>
                </c:pt>
                <c:pt idx="8">
                  <c:v>163.19999999999999</c:v>
                </c:pt>
                <c:pt idx="9">
                  <c:v>11500</c:v>
                </c:pt>
                <c:pt idx="10">
                  <c:v>55650</c:v>
                </c:pt>
              </c:numCache>
            </c:numRef>
          </c:val>
          <c:extLst>
            <c:ext xmlns:c16="http://schemas.microsoft.com/office/drawing/2014/chart" uri="{C3380CC4-5D6E-409C-BE32-E72D297353CC}">
              <c16:uniqueId val="{00000016-8E9A-1F49-8BC2-07344F47EAC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000" b="0"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F532-9D49-9E9C-881F570B7D37}"/>
              </c:ext>
            </c:extLst>
          </c:dPt>
          <c:dPt>
            <c:idx val="1"/>
            <c:bubble3D val="0"/>
            <c:spPr>
              <a:solidFill>
                <a:schemeClr val="accent2"/>
              </a:solidFill>
            </c:spPr>
            <c:extLst>
              <c:ext xmlns:c16="http://schemas.microsoft.com/office/drawing/2014/chart" uri="{C3380CC4-5D6E-409C-BE32-E72D297353CC}">
                <c16:uniqueId val="{00000003-F532-9D49-9E9C-881F570B7D37}"/>
              </c:ext>
            </c:extLst>
          </c:dPt>
          <c:dPt>
            <c:idx val="2"/>
            <c:bubble3D val="0"/>
            <c:spPr>
              <a:solidFill>
                <a:schemeClr val="accent3"/>
              </a:solidFill>
            </c:spPr>
            <c:extLst>
              <c:ext xmlns:c16="http://schemas.microsoft.com/office/drawing/2014/chart" uri="{C3380CC4-5D6E-409C-BE32-E72D297353CC}">
                <c16:uniqueId val="{00000005-F532-9D49-9E9C-881F570B7D37}"/>
              </c:ext>
            </c:extLst>
          </c:dPt>
          <c:dPt>
            <c:idx val="3"/>
            <c:bubble3D val="0"/>
            <c:spPr>
              <a:solidFill>
                <a:schemeClr val="accent4"/>
              </a:solidFill>
            </c:spPr>
            <c:extLst>
              <c:ext xmlns:c16="http://schemas.microsoft.com/office/drawing/2014/chart" uri="{C3380CC4-5D6E-409C-BE32-E72D297353CC}">
                <c16:uniqueId val="{00000007-F532-9D49-9E9C-881F570B7D37}"/>
              </c:ext>
            </c:extLst>
          </c:dPt>
          <c:dPt>
            <c:idx val="4"/>
            <c:bubble3D val="0"/>
            <c:spPr>
              <a:solidFill>
                <a:schemeClr val="accent5"/>
              </a:solidFill>
            </c:spPr>
            <c:extLst>
              <c:ext xmlns:c16="http://schemas.microsoft.com/office/drawing/2014/chart" uri="{C3380CC4-5D6E-409C-BE32-E72D297353CC}">
                <c16:uniqueId val="{00000009-F532-9D49-9E9C-881F570B7D37}"/>
              </c:ext>
            </c:extLst>
          </c:dPt>
          <c:dPt>
            <c:idx val="5"/>
            <c:bubble3D val="0"/>
            <c:spPr>
              <a:solidFill>
                <a:schemeClr val="accent6"/>
              </a:solidFill>
            </c:spPr>
            <c:extLst>
              <c:ext xmlns:c16="http://schemas.microsoft.com/office/drawing/2014/chart" uri="{C3380CC4-5D6E-409C-BE32-E72D297353CC}">
                <c16:uniqueId val="{0000000B-F532-9D49-9E9C-881F570B7D37}"/>
              </c:ext>
            </c:extLst>
          </c:dPt>
          <c:dPt>
            <c:idx val="6"/>
            <c:bubble3D val="0"/>
            <c:spPr>
              <a:solidFill>
                <a:schemeClr val="accent1"/>
              </a:solidFill>
            </c:spPr>
            <c:extLst>
              <c:ext xmlns:c16="http://schemas.microsoft.com/office/drawing/2014/chart" uri="{C3380CC4-5D6E-409C-BE32-E72D297353CC}">
                <c16:uniqueId val="{0000000D-F532-9D49-9E9C-881F570B7D37}"/>
              </c:ext>
            </c:extLst>
          </c:dPt>
          <c:dPt>
            <c:idx val="7"/>
            <c:bubble3D val="0"/>
            <c:spPr>
              <a:solidFill>
                <a:schemeClr val="accent2"/>
              </a:solidFill>
            </c:spPr>
            <c:extLst>
              <c:ext xmlns:c16="http://schemas.microsoft.com/office/drawing/2014/chart" uri="{C3380CC4-5D6E-409C-BE32-E72D297353CC}">
                <c16:uniqueId val="{0000000F-F532-9D49-9E9C-881F570B7D37}"/>
              </c:ext>
            </c:extLst>
          </c:dPt>
          <c:dPt>
            <c:idx val="8"/>
            <c:bubble3D val="0"/>
            <c:spPr>
              <a:solidFill>
                <a:schemeClr val="accent3"/>
              </a:solidFill>
            </c:spPr>
            <c:extLst>
              <c:ext xmlns:c16="http://schemas.microsoft.com/office/drawing/2014/chart" uri="{C3380CC4-5D6E-409C-BE32-E72D297353CC}">
                <c16:uniqueId val="{00000011-F532-9D49-9E9C-881F570B7D37}"/>
              </c:ext>
            </c:extLst>
          </c:dPt>
          <c:dPt>
            <c:idx val="9"/>
            <c:bubble3D val="0"/>
            <c:spPr>
              <a:solidFill>
                <a:schemeClr val="accent4"/>
              </a:solidFill>
            </c:spPr>
            <c:extLst>
              <c:ext xmlns:c16="http://schemas.microsoft.com/office/drawing/2014/chart" uri="{C3380CC4-5D6E-409C-BE32-E72D297353CC}">
                <c16:uniqueId val="{00000013-F532-9D49-9E9C-881F570B7D37}"/>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Lodging!$F$74:$F$83</c:f>
              <c:strCache>
                <c:ptCount val="10"/>
                <c:pt idx="0">
                  <c:v>concrete</c:v>
                </c:pt>
                <c:pt idx="1">
                  <c:v>steel</c:v>
                </c:pt>
                <c:pt idx="2">
                  <c:v>wood</c:v>
                </c:pt>
                <c:pt idx="3">
                  <c:v>stucco</c:v>
                </c:pt>
                <c:pt idx="4">
                  <c:v>organic mat, asphalt coating</c:v>
                </c:pt>
                <c:pt idx="5">
                  <c:v>gypsum board</c:v>
                </c:pt>
                <c:pt idx="6">
                  <c:v>Aluminum</c:v>
                </c:pt>
                <c:pt idx="7">
                  <c:v>Glass</c:v>
                </c:pt>
                <c:pt idx="8">
                  <c:v>Plastic</c:v>
                </c:pt>
                <c:pt idx="9">
                  <c:v>clay</c:v>
                </c:pt>
              </c:strCache>
            </c:strRef>
          </c:cat>
          <c:val>
            <c:numRef>
              <c:f>Lodging!$G$74:$G$83</c:f>
              <c:numCache>
                <c:formatCode>_(* #,##0_);_(* \(#,##0\);_(* "-"??_);_(@_)</c:formatCode>
                <c:ptCount val="10"/>
                <c:pt idx="0">
                  <c:v>410437.5</c:v>
                </c:pt>
                <c:pt idx="1">
                  <c:v>16240.3125</c:v>
                </c:pt>
                <c:pt idx="2">
                  <c:v>93983.620999999985</c:v>
                </c:pt>
                <c:pt idx="3">
                  <c:v>94600</c:v>
                </c:pt>
                <c:pt idx="4">
                  <c:v>1290</c:v>
                </c:pt>
                <c:pt idx="5">
                  <c:v>16340</c:v>
                </c:pt>
                <c:pt idx="6">
                  <c:v>480</c:v>
                </c:pt>
                <c:pt idx="7">
                  <c:v>3160</c:v>
                </c:pt>
                <c:pt idx="8">
                  <c:v>163.19999999999999</c:v>
                </c:pt>
                <c:pt idx="9">
                  <c:v>55650</c:v>
                </c:pt>
              </c:numCache>
            </c:numRef>
          </c:val>
          <c:extLst>
            <c:ext xmlns:c16="http://schemas.microsoft.com/office/drawing/2014/chart" uri="{C3380CC4-5D6E-409C-BE32-E72D297353CC}">
              <c16:uniqueId val="{00000014-F532-9D49-9E9C-881F570B7D37}"/>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4C62-BF47-9737-73C7817FE448}"/>
              </c:ext>
            </c:extLst>
          </c:dPt>
          <c:dPt>
            <c:idx val="1"/>
            <c:bubble3D val="0"/>
            <c:spPr>
              <a:solidFill>
                <a:schemeClr val="accent2"/>
              </a:solidFill>
            </c:spPr>
            <c:extLst>
              <c:ext xmlns:c16="http://schemas.microsoft.com/office/drawing/2014/chart" uri="{C3380CC4-5D6E-409C-BE32-E72D297353CC}">
                <c16:uniqueId val="{00000003-4C62-BF47-9737-73C7817FE448}"/>
              </c:ext>
            </c:extLst>
          </c:dPt>
          <c:dPt>
            <c:idx val="2"/>
            <c:bubble3D val="0"/>
            <c:spPr>
              <a:solidFill>
                <a:schemeClr val="accent3"/>
              </a:solidFill>
            </c:spPr>
            <c:extLst>
              <c:ext xmlns:c16="http://schemas.microsoft.com/office/drawing/2014/chart" uri="{C3380CC4-5D6E-409C-BE32-E72D297353CC}">
                <c16:uniqueId val="{00000005-4C62-BF47-9737-73C7817FE448}"/>
              </c:ext>
            </c:extLst>
          </c:dPt>
          <c:dPt>
            <c:idx val="3"/>
            <c:bubble3D val="0"/>
            <c:spPr>
              <a:solidFill>
                <a:schemeClr val="accent4"/>
              </a:solidFill>
            </c:spPr>
            <c:extLst>
              <c:ext xmlns:c16="http://schemas.microsoft.com/office/drawing/2014/chart" uri="{C3380CC4-5D6E-409C-BE32-E72D297353CC}">
                <c16:uniqueId val="{00000007-4C62-BF47-9737-73C7817FE448}"/>
              </c:ext>
            </c:extLst>
          </c:dPt>
          <c:dPt>
            <c:idx val="4"/>
            <c:bubble3D val="0"/>
            <c:spPr>
              <a:solidFill>
                <a:schemeClr val="accent5"/>
              </a:solidFill>
            </c:spPr>
            <c:extLst>
              <c:ext xmlns:c16="http://schemas.microsoft.com/office/drawing/2014/chart" uri="{C3380CC4-5D6E-409C-BE32-E72D297353CC}">
                <c16:uniqueId val="{00000009-4C62-BF47-9737-73C7817FE448}"/>
              </c:ext>
            </c:extLst>
          </c:dPt>
          <c:dPt>
            <c:idx val="5"/>
            <c:bubble3D val="0"/>
            <c:spPr>
              <a:solidFill>
                <a:schemeClr val="accent6"/>
              </a:solidFill>
            </c:spPr>
            <c:extLst>
              <c:ext xmlns:c16="http://schemas.microsoft.com/office/drawing/2014/chart" uri="{C3380CC4-5D6E-409C-BE32-E72D297353CC}">
                <c16:uniqueId val="{0000000B-4C62-BF47-9737-73C7817FE448}"/>
              </c:ext>
            </c:extLst>
          </c:dPt>
          <c:dPt>
            <c:idx val="6"/>
            <c:bubble3D val="0"/>
            <c:spPr>
              <a:solidFill>
                <a:schemeClr val="accent1"/>
              </a:solidFill>
            </c:spPr>
            <c:extLst>
              <c:ext xmlns:c16="http://schemas.microsoft.com/office/drawing/2014/chart" uri="{C3380CC4-5D6E-409C-BE32-E72D297353CC}">
                <c16:uniqueId val="{0000000D-4C62-BF47-9737-73C7817FE448}"/>
              </c:ext>
            </c:extLst>
          </c:dPt>
          <c:dPt>
            <c:idx val="7"/>
            <c:bubble3D val="0"/>
            <c:spPr>
              <a:solidFill>
                <a:schemeClr val="accent2"/>
              </a:solidFill>
            </c:spPr>
            <c:extLst>
              <c:ext xmlns:c16="http://schemas.microsoft.com/office/drawing/2014/chart" uri="{C3380CC4-5D6E-409C-BE32-E72D297353CC}">
                <c16:uniqueId val="{0000000F-4C62-BF47-9737-73C7817FE448}"/>
              </c:ext>
            </c:extLst>
          </c:dPt>
          <c:dPt>
            <c:idx val="8"/>
            <c:bubble3D val="0"/>
            <c:spPr>
              <a:solidFill>
                <a:schemeClr val="accent3"/>
              </a:solidFill>
            </c:spPr>
            <c:extLst>
              <c:ext xmlns:c16="http://schemas.microsoft.com/office/drawing/2014/chart" uri="{C3380CC4-5D6E-409C-BE32-E72D297353CC}">
                <c16:uniqueId val="{00000011-4C62-BF47-9737-73C7817FE448}"/>
              </c:ext>
            </c:extLst>
          </c:dPt>
          <c:dPt>
            <c:idx val="9"/>
            <c:bubble3D val="0"/>
            <c:spPr>
              <a:solidFill>
                <a:schemeClr val="accent4"/>
              </a:solidFill>
            </c:spPr>
            <c:extLst>
              <c:ext xmlns:c16="http://schemas.microsoft.com/office/drawing/2014/chart" uri="{C3380CC4-5D6E-409C-BE32-E72D297353CC}">
                <c16:uniqueId val="{00000013-4C62-BF47-9737-73C7817FE448}"/>
              </c:ext>
            </c:extLst>
          </c:dPt>
          <c:dPt>
            <c:idx val="10"/>
            <c:bubble3D val="0"/>
            <c:spPr>
              <a:solidFill>
                <a:schemeClr val="accent5"/>
              </a:solidFill>
            </c:spPr>
            <c:extLst>
              <c:ext xmlns:c16="http://schemas.microsoft.com/office/drawing/2014/chart" uri="{C3380CC4-5D6E-409C-BE32-E72D297353CC}">
                <c16:uniqueId val="{00000015-4C62-BF47-9737-73C7817FE448}"/>
              </c:ext>
            </c:extLst>
          </c:dPt>
          <c:dPt>
            <c:idx val="11"/>
            <c:bubble3D val="0"/>
            <c:spPr>
              <a:solidFill>
                <a:schemeClr val="accent6"/>
              </a:solidFill>
            </c:spPr>
            <c:extLst>
              <c:ext xmlns:c16="http://schemas.microsoft.com/office/drawing/2014/chart" uri="{C3380CC4-5D6E-409C-BE32-E72D297353CC}">
                <c16:uniqueId val="{00000017-4C62-BF47-9737-73C7817FE448}"/>
              </c:ext>
            </c:extLst>
          </c:dPt>
          <c:dPt>
            <c:idx val="12"/>
            <c:bubble3D val="0"/>
            <c:spPr>
              <a:solidFill>
                <a:schemeClr val="accent1"/>
              </a:solidFill>
            </c:spPr>
            <c:extLst>
              <c:ext xmlns:c16="http://schemas.microsoft.com/office/drawing/2014/chart" uri="{C3380CC4-5D6E-409C-BE32-E72D297353CC}">
                <c16:uniqueId val="{00000019-4C62-BF47-9737-73C7817FE448}"/>
              </c:ext>
            </c:extLst>
          </c:dPt>
          <c:dPt>
            <c:idx val="13"/>
            <c:bubble3D val="0"/>
            <c:spPr>
              <a:solidFill>
                <a:schemeClr val="accent2"/>
              </a:solidFill>
            </c:spPr>
            <c:extLst>
              <c:ext xmlns:c16="http://schemas.microsoft.com/office/drawing/2014/chart" uri="{C3380CC4-5D6E-409C-BE32-E72D297353CC}">
                <c16:uniqueId val="{0000001B-4C62-BF47-9737-73C7817FE448}"/>
              </c:ext>
            </c:extLst>
          </c:dPt>
          <c:dPt>
            <c:idx val="14"/>
            <c:bubble3D val="0"/>
            <c:spPr>
              <a:solidFill>
                <a:schemeClr val="accent3"/>
              </a:solidFill>
            </c:spPr>
            <c:extLst>
              <c:ext xmlns:c16="http://schemas.microsoft.com/office/drawing/2014/chart" uri="{C3380CC4-5D6E-409C-BE32-E72D297353CC}">
                <c16:uniqueId val="{0000001D-4C62-BF47-9737-73C7817FE448}"/>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'Maintenance shop'!$F$64:$F$78</c:f>
              <c:strCache>
                <c:ptCount val="15"/>
                <c:pt idx="0">
                  <c:v>concrete</c:v>
                </c:pt>
                <c:pt idx="1">
                  <c:v>carbon steel</c:v>
                </c:pt>
                <c:pt idx="2">
                  <c:v>cold-formed structural steel</c:v>
                </c:pt>
                <c:pt idx="3">
                  <c:v>hot-rolled structural steel</c:v>
                </c:pt>
                <c:pt idx="4">
                  <c:v>cold-formed, galvanized steel</c:v>
                </c:pt>
                <c:pt idx="5">
                  <c:v>polyisocyanurate foam board</c:v>
                </c:pt>
                <c:pt idx="6">
                  <c:v>glass mat gypsum board</c:v>
                </c:pt>
                <c:pt idx="7">
                  <c:v>transite</c:v>
                </c:pt>
                <c:pt idx="8">
                  <c:v>concrete masonry unit</c:v>
                </c:pt>
                <c:pt idx="9">
                  <c:v>Laminated glass</c:v>
                </c:pt>
                <c:pt idx="10">
                  <c:v>Polyvinyl Butyral (PVB) interlayer film</c:v>
                </c:pt>
                <c:pt idx="11">
                  <c:v>aluminum</c:v>
                </c:pt>
                <c:pt idx="12">
                  <c:v>#15 felt</c:v>
                </c:pt>
                <c:pt idx="13">
                  <c:v>#30 felt</c:v>
                </c:pt>
                <c:pt idx="14">
                  <c:v>plywood</c:v>
                </c:pt>
              </c:strCache>
            </c:strRef>
          </c:cat>
          <c:val>
            <c:numRef>
              <c:f>'Maintenance shop'!$G$64:$G$78</c:f>
              <c:numCache>
                <c:formatCode>_(* #,##0_);_(* \(#,##0\);_(* "-"??_);_(@_)</c:formatCode>
                <c:ptCount val="15"/>
                <c:pt idx="0">
                  <c:v>960237.5</c:v>
                </c:pt>
                <c:pt idx="1">
                  <c:v>38732.625</c:v>
                </c:pt>
                <c:pt idx="2">
                  <c:v>37653</c:v>
                </c:pt>
                <c:pt idx="3">
                  <c:v>18860</c:v>
                </c:pt>
                <c:pt idx="4">
                  <c:v>32300.25</c:v>
                </c:pt>
                <c:pt idx="5">
                  <c:v>13129.166666666666</c:v>
                </c:pt>
                <c:pt idx="6">
                  <c:v>29708.333333333328</c:v>
                </c:pt>
                <c:pt idx="7">
                  <c:v>37966</c:v>
                </c:pt>
                <c:pt idx="8">
                  <c:v>190000</c:v>
                </c:pt>
                <c:pt idx="9">
                  <c:v>1152.0833333333333</c:v>
                </c:pt>
                <c:pt idx="10">
                  <c:v>59.5</c:v>
                </c:pt>
                <c:pt idx="11">
                  <c:v>6543.4999999999991</c:v>
                </c:pt>
                <c:pt idx="12">
                  <c:v>2139</c:v>
                </c:pt>
                <c:pt idx="13">
                  <c:v>2472.5</c:v>
                </c:pt>
                <c:pt idx="14">
                  <c:v>17940</c:v>
                </c:pt>
              </c:numCache>
            </c:numRef>
          </c:val>
          <c:extLst>
            <c:ext xmlns:c16="http://schemas.microsoft.com/office/drawing/2014/chart" uri="{C3380CC4-5D6E-409C-BE32-E72D297353CC}">
              <c16:uniqueId val="{0000001E-4C62-BF47-9737-73C7817FE44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2476-134C-8988-4537D6A87E05}"/>
              </c:ext>
            </c:extLst>
          </c:dPt>
          <c:dPt>
            <c:idx val="1"/>
            <c:bubble3D val="0"/>
            <c:spPr>
              <a:solidFill>
                <a:schemeClr val="accent2"/>
              </a:solidFill>
            </c:spPr>
            <c:extLst>
              <c:ext xmlns:c16="http://schemas.microsoft.com/office/drawing/2014/chart" uri="{C3380CC4-5D6E-409C-BE32-E72D297353CC}">
                <c16:uniqueId val="{00000003-2476-134C-8988-4537D6A87E05}"/>
              </c:ext>
            </c:extLst>
          </c:dPt>
          <c:dPt>
            <c:idx val="2"/>
            <c:bubble3D val="0"/>
            <c:spPr>
              <a:solidFill>
                <a:schemeClr val="accent3"/>
              </a:solidFill>
            </c:spPr>
            <c:extLst>
              <c:ext xmlns:c16="http://schemas.microsoft.com/office/drawing/2014/chart" uri="{C3380CC4-5D6E-409C-BE32-E72D297353CC}">
                <c16:uniqueId val="{00000005-2476-134C-8988-4537D6A87E05}"/>
              </c:ext>
            </c:extLst>
          </c:dPt>
          <c:dPt>
            <c:idx val="3"/>
            <c:bubble3D val="0"/>
            <c:spPr>
              <a:solidFill>
                <a:schemeClr val="accent4"/>
              </a:solidFill>
            </c:spPr>
            <c:extLst>
              <c:ext xmlns:c16="http://schemas.microsoft.com/office/drawing/2014/chart" uri="{C3380CC4-5D6E-409C-BE32-E72D297353CC}">
                <c16:uniqueId val="{00000007-2476-134C-8988-4537D6A87E05}"/>
              </c:ext>
            </c:extLst>
          </c:dPt>
          <c:dPt>
            <c:idx val="4"/>
            <c:bubble3D val="0"/>
            <c:spPr>
              <a:solidFill>
                <a:schemeClr val="accent5"/>
              </a:solidFill>
            </c:spPr>
            <c:extLst>
              <c:ext xmlns:c16="http://schemas.microsoft.com/office/drawing/2014/chart" uri="{C3380CC4-5D6E-409C-BE32-E72D297353CC}">
                <c16:uniqueId val="{00000009-2476-134C-8988-4537D6A87E05}"/>
              </c:ext>
            </c:extLst>
          </c:dPt>
          <c:dPt>
            <c:idx val="5"/>
            <c:bubble3D val="0"/>
            <c:spPr>
              <a:solidFill>
                <a:schemeClr val="accent6"/>
              </a:solidFill>
            </c:spPr>
            <c:extLst>
              <c:ext xmlns:c16="http://schemas.microsoft.com/office/drawing/2014/chart" uri="{C3380CC4-5D6E-409C-BE32-E72D297353CC}">
                <c16:uniqueId val="{0000000B-2476-134C-8988-4537D6A87E05}"/>
              </c:ext>
            </c:extLst>
          </c:dPt>
          <c:dPt>
            <c:idx val="6"/>
            <c:bubble3D val="0"/>
            <c:spPr>
              <a:solidFill>
                <a:schemeClr val="accent1"/>
              </a:solidFill>
            </c:spPr>
            <c:extLst>
              <c:ext xmlns:c16="http://schemas.microsoft.com/office/drawing/2014/chart" uri="{C3380CC4-5D6E-409C-BE32-E72D297353CC}">
                <c16:uniqueId val="{0000000D-2476-134C-8988-4537D6A87E05}"/>
              </c:ext>
            </c:extLst>
          </c:dPt>
          <c:dPt>
            <c:idx val="7"/>
            <c:bubble3D val="0"/>
            <c:spPr>
              <a:solidFill>
                <a:schemeClr val="accent2"/>
              </a:solidFill>
            </c:spPr>
            <c:extLst>
              <c:ext xmlns:c16="http://schemas.microsoft.com/office/drawing/2014/chart" uri="{C3380CC4-5D6E-409C-BE32-E72D297353CC}">
                <c16:uniqueId val="{0000000F-2476-134C-8988-4537D6A87E05}"/>
              </c:ext>
            </c:extLst>
          </c:dPt>
          <c:dPt>
            <c:idx val="8"/>
            <c:bubble3D val="0"/>
            <c:spPr>
              <a:solidFill>
                <a:schemeClr val="accent3"/>
              </a:solidFill>
            </c:spPr>
            <c:extLst>
              <c:ext xmlns:c16="http://schemas.microsoft.com/office/drawing/2014/chart" uri="{C3380CC4-5D6E-409C-BE32-E72D297353CC}">
                <c16:uniqueId val="{00000011-2476-134C-8988-4537D6A87E05}"/>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'Maintenance shop'!$F$82:$F$90</c:f>
              <c:strCache>
                <c:ptCount val="9"/>
                <c:pt idx="0">
                  <c:v>concrete</c:v>
                </c:pt>
                <c:pt idx="1">
                  <c:v>steel</c:v>
                </c:pt>
                <c:pt idx="2">
                  <c:v>wood</c:v>
                </c:pt>
                <c:pt idx="3">
                  <c:v>plastic</c:v>
                </c:pt>
                <c:pt idx="4">
                  <c:v>gypsum board</c:v>
                </c:pt>
                <c:pt idx="5">
                  <c:v>transite</c:v>
                </c:pt>
                <c:pt idx="6">
                  <c:v>Glass</c:v>
                </c:pt>
                <c:pt idx="7">
                  <c:v>aluminum</c:v>
                </c:pt>
                <c:pt idx="8">
                  <c:v>organic mat, asphalt coating</c:v>
                </c:pt>
              </c:strCache>
            </c:strRef>
          </c:cat>
          <c:val>
            <c:numRef>
              <c:f>'Maintenance shop'!$G$82:$G$90</c:f>
              <c:numCache>
                <c:formatCode>_(* #,##0_);_(* \(#,##0\);_(* "-"??_);_(@_)</c:formatCode>
                <c:ptCount val="9"/>
                <c:pt idx="0">
                  <c:v>1150237.5</c:v>
                </c:pt>
                <c:pt idx="1">
                  <c:v>127545.875</c:v>
                </c:pt>
                <c:pt idx="2">
                  <c:v>17940</c:v>
                </c:pt>
                <c:pt idx="3">
                  <c:v>13188.666666666666</c:v>
                </c:pt>
                <c:pt idx="4">
                  <c:v>29708.333333333328</c:v>
                </c:pt>
                <c:pt idx="5">
                  <c:v>37966</c:v>
                </c:pt>
                <c:pt idx="6">
                  <c:v>1152.0833333333333</c:v>
                </c:pt>
                <c:pt idx="7">
                  <c:v>6543.4999999999991</c:v>
                </c:pt>
                <c:pt idx="8">
                  <c:v>4611.5</c:v>
                </c:pt>
              </c:numCache>
            </c:numRef>
          </c:val>
          <c:extLst>
            <c:ext xmlns:c16="http://schemas.microsoft.com/office/drawing/2014/chart" uri="{C3380CC4-5D6E-409C-BE32-E72D297353CC}">
              <c16:uniqueId val="{00000012-2476-134C-8988-4537D6A87E05}"/>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5DD3-F44B-92F8-C747135DD7EC}"/>
              </c:ext>
            </c:extLst>
          </c:dPt>
          <c:dPt>
            <c:idx val="1"/>
            <c:bubble3D val="0"/>
            <c:spPr>
              <a:solidFill>
                <a:schemeClr val="accent2"/>
              </a:solidFill>
            </c:spPr>
            <c:extLst>
              <c:ext xmlns:c16="http://schemas.microsoft.com/office/drawing/2014/chart" uri="{C3380CC4-5D6E-409C-BE32-E72D297353CC}">
                <c16:uniqueId val="{00000003-5DD3-F44B-92F8-C747135DD7EC}"/>
              </c:ext>
            </c:extLst>
          </c:dPt>
          <c:dPt>
            <c:idx val="2"/>
            <c:bubble3D val="0"/>
            <c:spPr>
              <a:solidFill>
                <a:schemeClr val="accent3"/>
              </a:solidFill>
            </c:spPr>
            <c:extLst>
              <c:ext xmlns:c16="http://schemas.microsoft.com/office/drawing/2014/chart" uri="{C3380CC4-5D6E-409C-BE32-E72D297353CC}">
                <c16:uniqueId val="{00000005-5DD3-F44B-92F8-C747135DD7EC}"/>
              </c:ext>
            </c:extLst>
          </c:dPt>
          <c:dPt>
            <c:idx val="3"/>
            <c:bubble3D val="0"/>
            <c:spPr>
              <a:solidFill>
                <a:schemeClr val="accent4"/>
              </a:solidFill>
            </c:spPr>
            <c:extLst>
              <c:ext xmlns:c16="http://schemas.microsoft.com/office/drawing/2014/chart" uri="{C3380CC4-5D6E-409C-BE32-E72D297353CC}">
                <c16:uniqueId val="{00000007-5DD3-F44B-92F8-C747135DD7EC}"/>
              </c:ext>
            </c:extLst>
          </c:dPt>
          <c:dPt>
            <c:idx val="4"/>
            <c:bubble3D val="0"/>
            <c:spPr>
              <a:solidFill>
                <a:schemeClr val="accent5"/>
              </a:solidFill>
            </c:spPr>
            <c:extLst>
              <c:ext xmlns:c16="http://schemas.microsoft.com/office/drawing/2014/chart" uri="{C3380CC4-5D6E-409C-BE32-E72D297353CC}">
                <c16:uniqueId val="{00000009-5DD3-F44B-92F8-C747135DD7EC}"/>
              </c:ext>
            </c:extLst>
          </c:dPt>
          <c:dPt>
            <c:idx val="5"/>
            <c:bubble3D val="0"/>
            <c:spPr>
              <a:solidFill>
                <a:schemeClr val="accent6"/>
              </a:solidFill>
            </c:spPr>
            <c:extLst>
              <c:ext xmlns:c16="http://schemas.microsoft.com/office/drawing/2014/chart" uri="{C3380CC4-5D6E-409C-BE32-E72D297353CC}">
                <c16:uniqueId val="{0000000B-5DD3-F44B-92F8-C747135DD7EC}"/>
              </c:ext>
            </c:extLst>
          </c:dPt>
          <c:dPt>
            <c:idx val="6"/>
            <c:bubble3D val="0"/>
            <c:spPr>
              <a:solidFill>
                <a:schemeClr val="accent1"/>
              </a:solidFill>
            </c:spPr>
            <c:extLst>
              <c:ext xmlns:c16="http://schemas.microsoft.com/office/drawing/2014/chart" uri="{C3380CC4-5D6E-409C-BE32-E72D297353CC}">
                <c16:uniqueId val="{0000000D-5DD3-F44B-92F8-C747135DD7EC}"/>
              </c:ext>
            </c:extLst>
          </c:dPt>
          <c:dPt>
            <c:idx val="7"/>
            <c:bubble3D val="0"/>
            <c:spPr>
              <a:solidFill>
                <a:schemeClr val="accent2"/>
              </a:solidFill>
            </c:spPr>
            <c:extLst>
              <c:ext xmlns:c16="http://schemas.microsoft.com/office/drawing/2014/chart" uri="{C3380CC4-5D6E-409C-BE32-E72D297353CC}">
                <c16:uniqueId val="{0000000F-5DD3-F44B-92F8-C747135DD7EC}"/>
              </c:ext>
            </c:extLst>
          </c:dPt>
          <c:dPt>
            <c:idx val="8"/>
            <c:bubble3D val="0"/>
            <c:spPr>
              <a:solidFill>
                <a:schemeClr val="accent3"/>
              </a:solidFill>
            </c:spPr>
            <c:extLst>
              <c:ext xmlns:c16="http://schemas.microsoft.com/office/drawing/2014/chart" uri="{C3380CC4-5D6E-409C-BE32-E72D297353CC}">
                <c16:uniqueId val="{00000011-5DD3-F44B-92F8-C747135DD7EC}"/>
              </c:ext>
            </c:extLst>
          </c:dPt>
          <c:dPt>
            <c:idx val="9"/>
            <c:bubble3D val="0"/>
            <c:spPr>
              <a:solidFill>
                <a:schemeClr val="accent4"/>
              </a:solidFill>
            </c:spPr>
            <c:extLst>
              <c:ext xmlns:c16="http://schemas.microsoft.com/office/drawing/2014/chart" uri="{C3380CC4-5D6E-409C-BE32-E72D297353CC}">
                <c16:uniqueId val="{00000013-5DD3-F44B-92F8-C747135DD7EC}"/>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Medical!$F$51:$F$60</c:f>
              <c:strCache>
                <c:ptCount val="10"/>
                <c:pt idx="0">
                  <c:v>concrete</c:v>
                </c:pt>
                <c:pt idx="1">
                  <c:v>carbon steel</c:v>
                </c:pt>
                <c:pt idx="2">
                  <c:v>hot-rolled, structural steel</c:v>
                </c:pt>
                <c:pt idx="3">
                  <c:v>cold-formed, structural steel</c:v>
                </c:pt>
                <c:pt idx="4">
                  <c:v>cold-formed, galvanized steel</c:v>
                </c:pt>
                <c:pt idx="5">
                  <c:v>expanded polystyrene foam</c:v>
                </c:pt>
                <c:pt idx="6">
                  <c:v>polyisocyanurate foam board</c:v>
                </c:pt>
                <c:pt idx="7">
                  <c:v>glass mat gypsum board</c:v>
                </c:pt>
                <c:pt idx="8">
                  <c:v>asphalt BUR membrane</c:v>
                </c:pt>
                <c:pt idx="9">
                  <c:v>granulated modified bitumen cap sheet</c:v>
                </c:pt>
              </c:strCache>
            </c:strRef>
          </c:cat>
          <c:val>
            <c:numRef>
              <c:f>Medical!$G$51:$G$60</c:f>
              <c:numCache>
                <c:formatCode>_(* #,##0_);_(* \(#,##0\);_(* "-"??_);_(@_)</c:formatCode>
                <c:ptCount val="10"/>
                <c:pt idx="0">
                  <c:v>8030865.625</c:v>
                </c:pt>
                <c:pt idx="1">
                  <c:v>365100.1791666667</c:v>
                </c:pt>
                <c:pt idx="2">
                  <c:v>54108</c:v>
                </c:pt>
                <c:pt idx="3">
                  <c:v>15107.4</c:v>
                </c:pt>
                <c:pt idx="4">
                  <c:v>40734.288</c:v>
                </c:pt>
                <c:pt idx="5">
                  <c:v>11956</c:v>
                </c:pt>
                <c:pt idx="6">
                  <c:v>15373.75</c:v>
                </c:pt>
                <c:pt idx="7">
                  <c:v>49196</c:v>
                </c:pt>
                <c:pt idx="8">
                  <c:v>154967.4</c:v>
                </c:pt>
                <c:pt idx="9">
                  <c:v>24598</c:v>
                </c:pt>
              </c:numCache>
            </c:numRef>
          </c:val>
          <c:extLst>
            <c:ext xmlns:c16="http://schemas.microsoft.com/office/drawing/2014/chart" uri="{C3380CC4-5D6E-409C-BE32-E72D297353CC}">
              <c16:uniqueId val="{00000014-5DD3-F44B-92F8-C747135DD7E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2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9DCB-BA4B-8EAA-8715A3B4C054}"/>
              </c:ext>
            </c:extLst>
          </c:dPt>
          <c:dPt>
            <c:idx val="1"/>
            <c:bubble3D val="0"/>
            <c:spPr>
              <a:solidFill>
                <a:schemeClr val="accent2"/>
              </a:solidFill>
            </c:spPr>
            <c:extLst>
              <c:ext xmlns:c16="http://schemas.microsoft.com/office/drawing/2014/chart" uri="{C3380CC4-5D6E-409C-BE32-E72D297353CC}">
                <c16:uniqueId val="{00000003-9DCB-BA4B-8EAA-8715A3B4C054}"/>
              </c:ext>
            </c:extLst>
          </c:dPt>
          <c:dPt>
            <c:idx val="2"/>
            <c:bubble3D val="0"/>
            <c:spPr>
              <a:solidFill>
                <a:schemeClr val="accent3"/>
              </a:solidFill>
            </c:spPr>
            <c:extLst>
              <c:ext xmlns:c16="http://schemas.microsoft.com/office/drawing/2014/chart" uri="{C3380CC4-5D6E-409C-BE32-E72D297353CC}">
                <c16:uniqueId val="{00000005-9DCB-BA4B-8EAA-8715A3B4C054}"/>
              </c:ext>
            </c:extLst>
          </c:dPt>
          <c:dPt>
            <c:idx val="3"/>
            <c:bubble3D val="0"/>
            <c:spPr>
              <a:solidFill>
                <a:schemeClr val="accent4"/>
              </a:solidFill>
            </c:spPr>
            <c:extLst>
              <c:ext xmlns:c16="http://schemas.microsoft.com/office/drawing/2014/chart" uri="{C3380CC4-5D6E-409C-BE32-E72D297353CC}">
                <c16:uniqueId val="{00000007-9DCB-BA4B-8EAA-8715A3B4C054}"/>
              </c:ext>
            </c:extLst>
          </c:dPt>
          <c:dPt>
            <c:idx val="4"/>
            <c:bubble3D val="0"/>
            <c:spPr>
              <a:solidFill>
                <a:schemeClr val="accent5"/>
              </a:solidFill>
            </c:spPr>
            <c:extLst>
              <c:ext xmlns:c16="http://schemas.microsoft.com/office/drawing/2014/chart" uri="{C3380CC4-5D6E-409C-BE32-E72D297353CC}">
                <c16:uniqueId val="{00000009-9DCB-BA4B-8EAA-8715A3B4C054}"/>
              </c:ext>
            </c:extLst>
          </c:dPt>
          <c:dPt>
            <c:idx val="5"/>
            <c:bubble3D val="0"/>
            <c:spPr>
              <a:solidFill>
                <a:schemeClr val="accent6"/>
              </a:solidFill>
            </c:spPr>
            <c:extLst>
              <c:ext xmlns:c16="http://schemas.microsoft.com/office/drawing/2014/chart" uri="{C3380CC4-5D6E-409C-BE32-E72D297353CC}">
                <c16:uniqueId val="{0000000B-9DCB-BA4B-8EAA-8715A3B4C054}"/>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Medical!$F$64:$F$69</c:f>
              <c:strCache>
                <c:ptCount val="6"/>
                <c:pt idx="0">
                  <c:v>concrete</c:v>
                </c:pt>
                <c:pt idx="1">
                  <c:v>steel</c:v>
                </c:pt>
                <c:pt idx="2">
                  <c:v>plastic</c:v>
                </c:pt>
                <c:pt idx="3">
                  <c:v>gypsum board</c:v>
                </c:pt>
                <c:pt idx="4">
                  <c:v>asphalt</c:v>
                </c:pt>
                <c:pt idx="5">
                  <c:v>modified bitumen</c:v>
                </c:pt>
              </c:strCache>
            </c:strRef>
          </c:cat>
          <c:val>
            <c:numRef>
              <c:f>Medical!$G$64:$G$69</c:f>
              <c:numCache>
                <c:formatCode>_(* #,##0_);_(* \(#,##0\);_(* "-"??_);_(@_)</c:formatCode>
                <c:ptCount val="6"/>
                <c:pt idx="0">
                  <c:v>8030865.625</c:v>
                </c:pt>
                <c:pt idx="1">
                  <c:v>475049.86716666666</c:v>
                </c:pt>
                <c:pt idx="2">
                  <c:v>27329.75</c:v>
                </c:pt>
                <c:pt idx="3">
                  <c:v>49196</c:v>
                </c:pt>
                <c:pt idx="4">
                  <c:v>154967.4</c:v>
                </c:pt>
                <c:pt idx="5">
                  <c:v>24598</c:v>
                </c:pt>
              </c:numCache>
            </c:numRef>
          </c:val>
          <c:extLst>
            <c:ext xmlns:c16="http://schemas.microsoft.com/office/drawing/2014/chart" uri="{C3380CC4-5D6E-409C-BE32-E72D297353CC}">
              <c16:uniqueId val="{0000000C-9DCB-BA4B-8EAA-8715A3B4C054}"/>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Office!$G$73</c:f>
              <c:strCache>
                <c:ptCount val="1"/>
                <c:pt idx="0">
                  <c:v>Mass (lbs)</c:v>
                </c:pt>
              </c:strCache>
            </c:strRef>
          </c:tx>
          <c:dPt>
            <c:idx val="0"/>
            <c:bubble3D val="0"/>
            <c:spPr>
              <a:solidFill>
                <a:schemeClr val="accent1"/>
              </a:solidFill>
            </c:spPr>
            <c:extLst>
              <c:ext xmlns:c16="http://schemas.microsoft.com/office/drawing/2014/chart" uri="{C3380CC4-5D6E-409C-BE32-E72D297353CC}">
                <c16:uniqueId val="{00000001-112E-5747-8CB2-9079D00AFE77}"/>
              </c:ext>
            </c:extLst>
          </c:dPt>
          <c:dPt>
            <c:idx val="1"/>
            <c:bubble3D val="0"/>
            <c:spPr>
              <a:solidFill>
                <a:schemeClr val="accent2"/>
              </a:solidFill>
            </c:spPr>
            <c:extLst>
              <c:ext xmlns:c16="http://schemas.microsoft.com/office/drawing/2014/chart" uri="{C3380CC4-5D6E-409C-BE32-E72D297353CC}">
                <c16:uniqueId val="{00000003-112E-5747-8CB2-9079D00AFE77}"/>
              </c:ext>
            </c:extLst>
          </c:dPt>
          <c:dPt>
            <c:idx val="2"/>
            <c:bubble3D val="0"/>
            <c:spPr>
              <a:solidFill>
                <a:schemeClr val="accent3"/>
              </a:solidFill>
            </c:spPr>
            <c:extLst>
              <c:ext xmlns:c16="http://schemas.microsoft.com/office/drawing/2014/chart" uri="{C3380CC4-5D6E-409C-BE32-E72D297353CC}">
                <c16:uniqueId val="{00000005-112E-5747-8CB2-9079D00AFE77}"/>
              </c:ext>
            </c:extLst>
          </c:dPt>
          <c:dPt>
            <c:idx val="3"/>
            <c:bubble3D val="0"/>
            <c:spPr>
              <a:solidFill>
                <a:schemeClr val="accent4"/>
              </a:solidFill>
            </c:spPr>
            <c:extLst>
              <c:ext xmlns:c16="http://schemas.microsoft.com/office/drawing/2014/chart" uri="{C3380CC4-5D6E-409C-BE32-E72D297353CC}">
                <c16:uniqueId val="{00000007-112E-5747-8CB2-9079D00AFE77}"/>
              </c:ext>
            </c:extLst>
          </c:dPt>
          <c:dPt>
            <c:idx val="4"/>
            <c:bubble3D val="0"/>
            <c:spPr>
              <a:solidFill>
                <a:schemeClr val="accent5"/>
              </a:solidFill>
            </c:spPr>
            <c:extLst>
              <c:ext xmlns:c16="http://schemas.microsoft.com/office/drawing/2014/chart" uri="{C3380CC4-5D6E-409C-BE32-E72D297353CC}">
                <c16:uniqueId val="{00000009-112E-5747-8CB2-9079D00AFE77}"/>
              </c:ext>
            </c:extLst>
          </c:dPt>
          <c:dPt>
            <c:idx val="5"/>
            <c:bubble3D val="0"/>
            <c:spPr>
              <a:solidFill>
                <a:schemeClr val="accent6"/>
              </a:solidFill>
            </c:spPr>
            <c:extLst>
              <c:ext xmlns:c16="http://schemas.microsoft.com/office/drawing/2014/chart" uri="{C3380CC4-5D6E-409C-BE32-E72D297353CC}">
                <c16:uniqueId val="{0000000B-112E-5747-8CB2-9079D00AFE77}"/>
              </c:ext>
            </c:extLst>
          </c:dPt>
          <c:dPt>
            <c:idx val="6"/>
            <c:bubble3D val="0"/>
            <c:spPr>
              <a:solidFill>
                <a:schemeClr val="accent1"/>
              </a:solidFill>
            </c:spPr>
            <c:extLst>
              <c:ext xmlns:c16="http://schemas.microsoft.com/office/drawing/2014/chart" uri="{C3380CC4-5D6E-409C-BE32-E72D297353CC}">
                <c16:uniqueId val="{0000000D-112E-5747-8CB2-9079D00AFE77}"/>
              </c:ext>
            </c:extLst>
          </c:dPt>
          <c:dPt>
            <c:idx val="7"/>
            <c:bubble3D val="0"/>
            <c:spPr>
              <a:solidFill>
                <a:schemeClr val="accent2"/>
              </a:solidFill>
            </c:spPr>
            <c:extLst>
              <c:ext xmlns:c16="http://schemas.microsoft.com/office/drawing/2014/chart" uri="{C3380CC4-5D6E-409C-BE32-E72D297353CC}">
                <c16:uniqueId val="{0000000F-112E-5747-8CB2-9079D00AFE77}"/>
              </c:ext>
            </c:extLst>
          </c:dPt>
          <c:dPt>
            <c:idx val="8"/>
            <c:bubble3D val="0"/>
            <c:spPr>
              <a:solidFill>
                <a:schemeClr val="accent3"/>
              </a:solidFill>
            </c:spPr>
            <c:extLst>
              <c:ext xmlns:c16="http://schemas.microsoft.com/office/drawing/2014/chart" uri="{C3380CC4-5D6E-409C-BE32-E72D297353CC}">
                <c16:uniqueId val="{00000011-112E-5747-8CB2-9079D00AFE77}"/>
              </c:ext>
            </c:extLst>
          </c:dPt>
          <c:dPt>
            <c:idx val="9"/>
            <c:bubble3D val="0"/>
            <c:spPr>
              <a:solidFill>
                <a:schemeClr val="accent4"/>
              </a:solidFill>
            </c:spPr>
            <c:extLst>
              <c:ext xmlns:c16="http://schemas.microsoft.com/office/drawing/2014/chart" uri="{C3380CC4-5D6E-409C-BE32-E72D297353CC}">
                <c16:uniqueId val="{00000013-112E-5747-8CB2-9079D00AFE77}"/>
              </c:ext>
            </c:extLst>
          </c:dPt>
          <c:dPt>
            <c:idx val="10"/>
            <c:bubble3D val="0"/>
            <c:spPr>
              <a:solidFill>
                <a:schemeClr val="accent5"/>
              </a:solidFill>
            </c:spPr>
            <c:extLst>
              <c:ext xmlns:c16="http://schemas.microsoft.com/office/drawing/2014/chart" uri="{C3380CC4-5D6E-409C-BE32-E72D297353CC}">
                <c16:uniqueId val="{00000015-112E-5747-8CB2-9079D00AFE77}"/>
              </c:ext>
            </c:extLst>
          </c:dPt>
          <c:dPt>
            <c:idx val="11"/>
            <c:bubble3D val="0"/>
            <c:spPr>
              <a:solidFill>
                <a:schemeClr val="accent6"/>
              </a:solidFill>
            </c:spPr>
            <c:extLst>
              <c:ext xmlns:c16="http://schemas.microsoft.com/office/drawing/2014/chart" uri="{C3380CC4-5D6E-409C-BE32-E72D297353CC}">
                <c16:uniqueId val="{00000017-112E-5747-8CB2-9079D00AFE77}"/>
              </c:ext>
            </c:extLst>
          </c:dPt>
          <c:dPt>
            <c:idx val="12"/>
            <c:bubble3D val="0"/>
            <c:spPr>
              <a:solidFill>
                <a:schemeClr val="accent1"/>
              </a:solidFill>
            </c:spPr>
            <c:extLst>
              <c:ext xmlns:c16="http://schemas.microsoft.com/office/drawing/2014/chart" uri="{C3380CC4-5D6E-409C-BE32-E72D297353CC}">
                <c16:uniqueId val="{00000019-112E-5747-8CB2-9079D00AFE77}"/>
              </c:ext>
            </c:extLst>
          </c:dPt>
          <c:dPt>
            <c:idx val="13"/>
            <c:bubble3D val="0"/>
            <c:spPr>
              <a:solidFill>
                <a:schemeClr val="accent2"/>
              </a:solidFill>
            </c:spPr>
            <c:extLst>
              <c:ext xmlns:c16="http://schemas.microsoft.com/office/drawing/2014/chart" uri="{C3380CC4-5D6E-409C-BE32-E72D297353CC}">
                <c16:uniqueId val="{0000001B-112E-5747-8CB2-9079D00AFE77}"/>
              </c:ext>
            </c:extLst>
          </c:dPt>
          <c:dPt>
            <c:idx val="14"/>
            <c:bubble3D val="0"/>
            <c:spPr>
              <a:solidFill>
                <a:schemeClr val="accent3"/>
              </a:solidFill>
            </c:spPr>
            <c:extLst>
              <c:ext xmlns:c16="http://schemas.microsoft.com/office/drawing/2014/chart" uri="{C3380CC4-5D6E-409C-BE32-E72D297353CC}">
                <c16:uniqueId val="{0000001D-112E-5747-8CB2-9079D00AFE77}"/>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Office!$F$74:$F$88</c:f>
              <c:strCache>
                <c:ptCount val="15"/>
                <c:pt idx="0">
                  <c:v>concrete</c:v>
                </c:pt>
                <c:pt idx="1">
                  <c:v>carbon steel</c:v>
                </c:pt>
                <c:pt idx="2">
                  <c:v>cold-formed, galvanized steel</c:v>
                </c:pt>
                <c:pt idx="3">
                  <c:v>hot-rolled structural steel</c:v>
                </c:pt>
                <c:pt idx="4">
                  <c:v>Stucco</c:v>
                </c:pt>
                <c:pt idx="5">
                  <c:v># 15 felt</c:v>
                </c:pt>
                <c:pt idx="6">
                  <c:v>glass mat gypsum board</c:v>
                </c:pt>
                <c:pt idx="7">
                  <c:v>Aluminum</c:v>
                </c:pt>
                <c:pt idx="8">
                  <c:v>Laminated glass</c:v>
                </c:pt>
                <c:pt idx="9">
                  <c:v>Polyvinyl Butyral (PVB) interlayer film</c:v>
                </c:pt>
                <c:pt idx="10">
                  <c:v>polyisocyanurate foam board</c:v>
                </c:pt>
                <c:pt idx="11">
                  <c:v>asphalt BUR membrane</c:v>
                </c:pt>
                <c:pt idx="12">
                  <c:v>granulated modified bitumen cap sheet</c:v>
                </c:pt>
                <c:pt idx="13">
                  <c:v>#30 felt</c:v>
                </c:pt>
                <c:pt idx="14">
                  <c:v>plywood</c:v>
                </c:pt>
              </c:strCache>
            </c:strRef>
          </c:cat>
          <c:val>
            <c:numRef>
              <c:f>Office!$G$74:$G$88</c:f>
              <c:numCache>
                <c:formatCode>_(* #,##0_);_(* \(#,##0\);_(* "-"??_);_(@_)</c:formatCode>
                <c:ptCount val="15"/>
                <c:pt idx="0">
                  <c:v>7006443.75</c:v>
                </c:pt>
                <c:pt idx="1">
                  <c:v>373857.92499999999</c:v>
                </c:pt>
                <c:pt idx="2">
                  <c:v>72864</c:v>
                </c:pt>
                <c:pt idx="3">
                  <c:v>201576</c:v>
                </c:pt>
                <c:pt idx="4">
                  <c:v>418000</c:v>
                </c:pt>
                <c:pt idx="5">
                  <c:v>5700</c:v>
                </c:pt>
                <c:pt idx="6">
                  <c:v>81000</c:v>
                </c:pt>
                <c:pt idx="7">
                  <c:v>26581.527777777774</c:v>
                </c:pt>
                <c:pt idx="8">
                  <c:v>15549.833333333332</c:v>
                </c:pt>
                <c:pt idx="9">
                  <c:v>803.08</c:v>
                </c:pt>
                <c:pt idx="10">
                  <c:v>29000</c:v>
                </c:pt>
                <c:pt idx="11">
                  <c:v>27720</c:v>
                </c:pt>
                <c:pt idx="12">
                  <c:v>4400</c:v>
                </c:pt>
                <c:pt idx="13">
                  <c:v>9030</c:v>
                </c:pt>
                <c:pt idx="14">
                  <c:v>65520</c:v>
                </c:pt>
              </c:numCache>
            </c:numRef>
          </c:val>
          <c:extLst>
            <c:ext xmlns:c16="http://schemas.microsoft.com/office/drawing/2014/chart" uri="{C3380CC4-5D6E-409C-BE32-E72D297353CC}">
              <c16:uniqueId val="{0000001E-112E-5747-8CB2-9079D00AFE7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051659068975532"/>
          <c:y val="0.15108451704215545"/>
        </c:manualLayout>
      </c:layout>
      <c:overlay val="0"/>
      <c:txPr>
        <a:bodyPr/>
        <a:lstStyle/>
        <a:p>
          <a:pPr lvl="0">
            <a:defRPr sz="1200" b="0" i="0">
              <a:solidFill>
                <a:srgbClr val="000000"/>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D06F-2147-AEED-E9309FA7EADC}"/>
              </c:ext>
            </c:extLst>
          </c:dPt>
          <c:dPt>
            <c:idx val="1"/>
            <c:bubble3D val="0"/>
            <c:spPr>
              <a:solidFill>
                <a:schemeClr val="accent2"/>
              </a:solidFill>
            </c:spPr>
            <c:extLst>
              <c:ext xmlns:c16="http://schemas.microsoft.com/office/drawing/2014/chart" uri="{C3380CC4-5D6E-409C-BE32-E72D297353CC}">
                <c16:uniqueId val="{00000003-D06F-2147-AEED-E9309FA7EADC}"/>
              </c:ext>
            </c:extLst>
          </c:dPt>
          <c:dPt>
            <c:idx val="2"/>
            <c:bubble3D val="0"/>
            <c:spPr>
              <a:solidFill>
                <a:schemeClr val="accent3"/>
              </a:solidFill>
            </c:spPr>
            <c:extLst>
              <c:ext xmlns:c16="http://schemas.microsoft.com/office/drawing/2014/chart" uri="{C3380CC4-5D6E-409C-BE32-E72D297353CC}">
                <c16:uniqueId val="{00000005-D06F-2147-AEED-E9309FA7EADC}"/>
              </c:ext>
            </c:extLst>
          </c:dPt>
          <c:dPt>
            <c:idx val="3"/>
            <c:bubble3D val="0"/>
            <c:spPr>
              <a:solidFill>
                <a:schemeClr val="accent4"/>
              </a:solidFill>
            </c:spPr>
            <c:extLst>
              <c:ext xmlns:c16="http://schemas.microsoft.com/office/drawing/2014/chart" uri="{C3380CC4-5D6E-409C-BE32-E72D297353CC}">
                <c16:uniqueId val="{00000007-D06F-2147-AEED-E9309FA7EADC}"/>
              </c:ext>
            </c:extLst>
          </c:dPt>
          <c:dPt>
            <c:idx val="4"/>
            <c:bubble3D val="0"/>
            <c:spPr>
              <a:solidFill>
                <a:schemeClr val="accent5"/>
              </a:solidFill>
            </c:spPr>
            <c:extLst>
              <c:ext xmlns:c16="http://schemas.microsoft.com/office/drawing/2014/chart" uri="{C3380CC4-5D6E-409C-BE32-E72D297353CC}">
                <c16:uniqueId val="{00000009-D06F-2147-AEED-E9309FA7EADC}"/>
              </c:ext>
            </c:extLst>
          </c:dPt>
          <c:dPt>
            <c:idx val="5"/>
            <c:bubble3D val="0"/>
            <c:spPr>
              <a:solidFill>
                <a:schemeClr val="accent6"/>
              </a:solidFill>
            </c:spPr>
            <c:extLst>
              <c:ext xmlns:c16="http://schemas.microsoft.com/office/drawing/2014/chart" uri="{C3380CC4-5D6E-409C-BE32-E72D297353CC}">
                <c16:uniqueId val="{0000000B-D06F-2147-AEED-E9309FA7EADC}"/>
              </c:ext>
            </c:extLst>
          </c:dPt>
          <c:dPt>
            <c:idx val="6"/>
            <c:bubble3D val="0"/>
            <c:spPr>
              <a:solidFill>
                <a:schemeClr val="accent1"/>
              </a:solidFill>
            </c:spPr>
            <c:extLst>
              <c:ext xmlns:c16="http://schemas.microsoft.com/office/drawing/2014/chart" uri="{C3380CC4-5D6E-409C-BE32-E72D297353CC}">
                <c16:uniqueId val="{0000000D-D06F-2147-AEED-E9309FA7EADC}"/>
              </c:ext>
            </c:extLst>
          </c:dPt>
          <c:dPt>
            <c:idx val="7"/>
            <c:bubble3D val="0"/>
            <c:spPr>
              <a:solidFill>
                <a:schemeClr val="accent2"/>
              </a:solidFill>
            </c:spPr>
            <c:extLst>
              <c:ext xmlns:c16="http://schemas.microsoft.com/office/drawing/2014/chart" uri="{C3380CC4-5D6E-409C-BE32-E72D297353CC}">
                <c16:uniqueId val="{0000000F-D06F-2147-AEED-E9309FA7EADC}"/>
              </c:ext>
            </c:extLst>
          </c:dPt>
          <c:dPt>
            <c:idx val="8"/>
            <c:bubble3D val="0"/>
            <c:spPr>
              <a:solidFill>
                <a:schemeClr val="accent3"/>
              </a:solidFill>
            </c:spPr>
            <c:extLst>
              <c:ext xmlns:c16="http://schemas.microsoft.com/office/drawing/2014/chart" uri="{C3380CC4-5D6E-409C-BE32-E72D297353CC}">
                <c16:uniqueId val="{00000011-D06F-2147-AEED-E9309FA7EADC}"/>
              </c:ext>
            </c:extLst>
          </c:dPt>
          <c:dPt>
            <c:idx val="9"/>
            <c:bubble3D val="0"/>
            <c:spPr>
              <a:solidFill>
                <a:schemeClr val="accent4"/>
              </a:solidFill>
            </c:spPr>
            <c:extLst>
              <c:ext xmlns:c16="http://schemas.microsoft.com/office/drawing/2014/chart" uri="{C3380CC4-5D6E-409C-BE32-E72D297353CC}">
                <c16:uniqueId val="{00000013-D06F-2147-AEED-E9309FA7EADC}"/>
              </c:ext>
            </c:extLst>
          </c:dPt>
          <c:dPt>
            <c:idx val="10"/>
            <c:bubble3D val="0"/>
            <c:spPr>
              <a:solidFill>
                <a:schemeClr val="accent5"/>
              </a:solidFill>
            </c:spPr>
            <c:extLst>
              <c:ext xmlns:c16="http://schemas.microsoft.com/office/drawing/2014/chart" uri="{C3380CC4-5D6E-409C-BE32-E72D297353CC}">
                <c16:uniqueId val="{00000015-D06F-2147-AEED-E9309FA7EADC}"/>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Office!$F$92:$F$102</c:f>
              <c:strCache>
                <c:ptCount val="11"/>
                <c:pt idx="0">
                  <c:v>concrete</c:v>
                </c:pt>
                <c:pt idx="1">
                  <c:v>steel</c:v>
                </c:pt>
                <c:pt idx="2">
                  <c:v>stucco</c:v>
                </c:pt>
                <c:pt idx="3">
                  <c:v>organic mat, asphalt coating</c:v>
                </c:pt>
                <c:pt idx="4">
                  <c:v>gypsum board</c:v>
                </c:pt>
                <c:pt idx="5">
                  <c:v>aluminum</c:v>
                </c:pt>
                <c:pt idx="6">
                  <c:v>glass</c:v>
                </c:pt>
                <c:pt idx="7">
                  <c:v>plastic</c:v>
                </c:pt>
                <c:pt idx="8">
                  <c:v>asphalt</c:v>
                </c:pt>
                <c:pt idx="9">
                  <c:v>modified bitumen</c:v>
                </c:pt>
                <c:pt idx="10">
                  <c:v>wood</c:v>
                </c:pt>
              </c:strCache>
            </c:strRef>
          </c:cat>
          <c:val>
            <c:numRef>
              <c:f>Office!$G$92:$G$102</c:f>
              <c:numCache>
                <c:formatCode>_(* #,##0_);_(* \(#,##0\);_(* "-"??_);_(@_)</c:formatCode>
                <c:ptCount val="11"/>
                <c:pt idx="0">
                  <c:v>7006443.75</c:v>
                </c:pt>
                <c:pt idx="1">
                  <c:v>648297.92500000005</c:v>
                </c:pt>
                <c:pt idx="2">
                  <c:v>418000</c:v>
                </c:pt>
                <c:pt idx="3">
                  <c:v>14730</c:v>
                </c:pt>
                <c:pt idx="4">
                  <c:v>81000</c:v>
                </c:pt>
                <c:pt idx="5">
                  <c:v>26581.527777777774</c:v>
                </c:pt>
                <c:pt idx="6">
                  <c:v>15549.833333333332</c:v>
                </c:pt>
                <c:pt idx="7">
                  <c:v>29803.08</c:v>
                </c:pt>
                <c:pt idx="8">
                  <c:v>27720</c:v>
                </c:pt>
                <c:pt idx="9">
                  <c:v>4400</c:v>
                </c:pt>
                <c:pt idx="10">
                  <c:v>65520</c:v>
                </c:pt>
              </c:numCache>
            </c:numRef>
          </c:val>
          <c:extLst>
            <c:ext xmlns:c16="http://schemas.microsoft.com/office/drawing/2014/chart" uri="{C3380CC4-5D6E-409C-BE32-E72D297353CC}">
              <c16:uniqueId val="{00000016-D06F-2147-AEED-E9309FA7EADC}"/>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FD-7744-825C-4B1340491765}"/>
              </c:ext>
            </c:extLst>
          </c:dPt>
          <c:dPt>
            <c:idx val="1"/>
            <c:bubble3D val="0"/>
            <c:spPr>
              <a:solidFill>
                <a:schemeClr val="accent2"/>
              </a:solidFill>
            </c:spPr>
            <c:extLst>
              <c:ext xmlns:c16="http://schemas.microsoft.com/office/drawing/2014/chart" uri="{C3380CC4-5D6E-409C-BE32-E72D297353CC}">
                <c16:uniqueId val="{00000003-0FFD-7744-825C-4B1340491765}"/>
              </c:ext>
            </c:extLst>
          </c:dPt>
          <c:dPt>
            <c:idx val="2"/>
            <c:bubble3D val="0"/>
            <c:spPr>
              <a:solidFill>
                <a:schemeClr val="accent3"/>
              </a:solidFill>
            </c:spPr>
            <c:extLst>
              <c:ext xmlns:c16="http://schemas.microsoft.com/office/drawing/2014/chart" uri="{C3380CC4-5D6E-409C-BE32-E72D297353CC}">
                <c16:uniqueId val="{00000005-0FFD-7744-825C-4B1340491765}"/>
              </c:ext>
            </c:extLst>
          </c:dPt>
          <c:dPt>
            <c:idx val="3"/>
            <c:bubble3D val="0"/>
            <c:spPr>
              <a:solidFill>
                <a:schemeClr val="accent4"/>
              </a:solidFill>
            </c:spPr>
            <c:extLst>
              <c:ext xmlns:c16="http://schemas.microsoft.com/office/drawing/2014/chart" uri="{C3380CC4-5D6E-409C-BE32-E72D297353CC}">
                <c16:uniqueId val="{00000007-0FFD-7744-825C-4B1340491765}"/>
              </c:ext>
            </c:extLst>
          </c:dPt>
          <c:dPt>
            <c:idx val="4"/>
            <c:bubble3D val="0"/>
            <c:spPr>
              <a:solidFill>
                <a:schemeClr val="accent5"/>
              </a:solidFill>
            </c:spPr>
            <c:extLst>
              <c:ext xmlns:c16="http://schemas.microsoft.com/office/drawing/2014/chart" uri="{C3380CC4-5D6E-409C-BE32-E72D297353CC}">
                <c16:uniqueId val="{00000009-0FFD-7744-825C-4B1340491765}"/>
              </c:ext>
            </c:extLst>
          </c:dPt>
          <c:dPt>
            <c:idx val="5"/>
            <c:bubble3D val="0"/>
            <c:spPr>
              <a:solidFill>
                <a:schemeClr val="accent6"/>
              </a:solidFill>
            </c:spPr>
            <c:extLst>
              <c:ext xmlns:c16="http://schemas.microsoft.com/office/drawing/2014/chart" uri="{C3380CC4-5D6E-409C-BE32-E72D297353CC}">
                <c16:uniqueId val="{0000000B-0FFD-7744-825C-4B1340491765}"/>
              </c:ext>
            </c:extLst>
          </c:dPt>
          <c:dPt>
            <c:idx val="6"/>
            <c:bubble3D val="0"/>
            <c:spPr>
              <a:solidFill>
                <a:schemeClr val="accent1"/>
              </a:solidFill>
            </c:spPr>
            <c:extLst>
              <c:ext xmlns:c16="http://schemas.microsoft.com/office/drawing/2014/chart" uri="{C3380CC4-5D6E-409C-BE32-E72D297353CC}">
                <c16:uniqueId val="{0000000D-0FFD-7744-825C-4B1340491765}"/>
              </c:ext>
            </c:extLst>
          </c:dPt>
          <c:dPt>
            <c:idx val="7"/>
            <c:bubble3D val="0"/>
            <c:spPr>
              <a:solidFill>
                <a:schemeClr val="accent2"/>
              </a:solidFill>
            </c:spPr>
            <c:extLst>
              <c:ext xmlns:c16="http://schemas.microsoft.com/office/drawing/2014/chart" uri="{C3380CC4-5D6E-409C-BE32-E72D297353CC}">
                <c16:uniqueId val="{0000000F-0FFD-7744-825C-4B1340491765}"/>
              </c:ext>
            </c:extLst>
          </c:dPt>
          <c:dPt>
            <c:idx val="8"/>
            <c:bubble3D val="0"/>
            <c:spPr>
              <a:solidFill>
                <a:schemeClr val="accent3"/>
              </a:solidFill>
            </c:spPr>
            <c:extLst>
              <c:ext xmlns:c16="http://schemas.microsoft.com/office/drawing/2014/chart" uri="{C3380CC4-5D6E-409C-BE32-E72D297353CC}">
                <c16:uniqueId val="{00000011-0FFD-7744-825C-4B1340491765}"/>
              </c:ext>
            </c:extLst>
          </c:dPt>
          <c:dPt>
            <c:idx val="9"/>
            <c:bubble3D val="0"/>
            <c:spPr>
              <a:solidFill>
                <a:schemeClr val="accent4"/>
              </a:solidFill>
            </c:spPr>
            <c:extLst>
              <c:ext xmlns:c16="http://schemas.microsoft.com/office/drawing/2014/chart" uri="{C3380CC4-5D6E-409C-BE32-E72D297353CC}">
                <c16:uniqueId val="{00000013-0FFD-7744-825C-4B1340491765}"/>
              </c:ext>
            </c:extLst>
          </c:dPt>
          <c:dPt>
            <c:idx val="10"/>
            <c:bubble3D val="0"/>
            <c:spPr>
              <a:solidFill>
                <a:schemeClr val="accent5"/>
              </a:solidFill>
            </c:spPr>
            <c:extLst>
              <c:ext xmlns:c16="http://schemas.microsoft.com/office/drawing/2014/chart" uri="{C3380CC4-5D6E-409C-BE32-E72D297353CC}">
                <c16:uniqueId val="{00000015-0FFD-7744-825C-4B1340491765}"/>
              </c:ext>
            </c:extLst>
          </c:dPt>
          <c:dPt>
            <c:idx val="11"/>
            <c:bubble3D val="0"/>
            <c:spPr>
              <a:solidFill>
                <a:schemeClr val="accent6"/>
              </a:solidFill>
            </c:spPr>
            <c:extLst>
              <c:ext xmlns:c16="http://schemas.microsoft.com/office/drawing/2014/chart" uri="{C3380CC4-5D6E-409C-BE32-E72D297353CC}">
                <c16:uniqueId val="{00000017-0FFD-7744-825C-4B1340491765}"/>
              </c:ext>
            </c:extLst>
          </c:dPt>
          <c:dPt>
            <c:idx val="12"/>
            <c:bubble3D val="0"/>
            <c:spPr>
              <a:solidFill>
                <a:schemeClr val="accent1"/>
              </a:solidFill>
            </c:spPr>
            <c:extLst>
              <c:ext xmlns:c16="http://schemas.microsoft.com/office/drawing/2014/chart" uri="{C3380CC4-5D6E-409C-BE32-E72D297353CC}">
                <c16:uniqueId val="{00000019-0FFD-7744-825C-4B1340491765}"/>
              </c:ext>
            </c:extLst>
          </c:dPt>
          <c:dPt>
            <c:idx val="13"/>
            <c:bubble3D val="0"/>
            <c:spPr>
              <a:solidFill>
                <a:schemeClr val="accent2"/>
              </a:solidFill>
            </c:spPr>
            <c:extLst>
              <c:ext xmlns:c16="http://schemas.microsoft.com/office/drawing/2014/chart" uri="{C3380CC4-5D6E-409C-BE32-E72D297353CC}">
                <c16:uniqueId val="{0000001B-0FFD-7744-825C-4B1340491765}"/>
              </c:ext>
            </c:extLst>
          </c:dPt>
          <c:dPt>
            <c:idx val="14"/>
            <c:bubble3D val="0"/>
            <c:spPr>
              <a:solidFill>
                <a:schemeClr val="accent3"/>
              </a:solidFill>
            </c:spPr>
            <c:extLst>
              <c:ext xmlns:c16="http://schemas.microsoft.com/office/drawing/2014/chart" uri="{C3380CC4-5D6E-409C-BE32-E72D297353CC}">
                <c16:uniqueId val="{0000001D-0FFD-7744-825C-4B1340491765}"/>
              </c:ext>
            </c:extLst>
          </c:dPt>
          <c:dPt>
            <c:idx val="15"/>
            <c:bubble3D val="0"/>
            <c:spPr>
              <a:solidFill>
                <a:schemeClr val="accent4"/>
              </a:solidFill>
            </c:spPr>
            <c:extLst>
              <c:ext xmlns:c16="http://schemas.microsoft.com/office/drawing/2014/chart" uri="{C3380CC4-5D6E-409C-BE32-E72D297353CC}">
                <c16:uniqueId val="{0000001F-0FFD-7744-825C-4B1340491765}"/>
              </c:ext>
            </c:extLst>
          </c:dPt>
          <c:dPt>
            <c:idx val="16"/>
            <c:bubble3D val="0"/>
            <c:spPr>
              <a:solidFill>
                <a:schemeClr val="accent5"/>
              </a:solidFill>
            </c:spPr>
            <c:extLst>
              <c:ext xmlns:c16="http://schemas.microsoft.com/office/drawing/2014/chart" uri="{C3380CC4-5D6E-409C-BE32-E72D297353CC}">
                <c16:uniqueId val="{00000021-0FFD-7744-825C-4B1340491765}"/>
              </c:ext>
            </c:extLst>
          </c:dPt>
          <c:cat>
            <c:strRef>
              <c:f>'Public service'!$F$74:$F$90</c:f>
              <c:strCache>
                <c:ptCount val="17"/>
                <c:pt idx="0">
                  <c:v>concrete</c:v>
                </c:pt>
                <c:pt idx="1">
                  <c:v>carbon steel</c:v>
                </c:pt>
                <c:pt idx="2">
                  <c:v>OSB</c:v>
                </c:pt>
                <c:pt idx="3">
                  <c:v>softwood</c:v>
                </c:pt>
                <c:pt idx="4">
                  <c:v>cold-formed, galvanized steel</c:v>
                </c:pt>
                <c:pt idx="5">
                  <c:v>hot-rolled, structural steel</c:v>
                </c:pt>
                <c:pt idx="6">
                  <c:v>stucco</c:v>
                </c:pt>
                <c:pt idx="7">
                  <c:v>#15 felt</c:v>
                </c:pt>
                <c:pt idx="8">
                  <c:v>glass mat gypsum board</c:v>
                </c:pt>
                <c:pt idx="9">
                  <c:v>aluminum</c:v>
                </c:pt>
                <c:pt idx="10">
                  <c:v>Laminated glass</c:v>
                </c:pt>
                <c:pt idx="11">
                  <c:v>Polyvinyl Butyral (PVB) interlayer film</c:v>
                </c:pt>
                <c:pt idx="12">
                  <c:v>polyisocyanurate foam board</c:v>
                </c:pt>
                <c:pt idx="13">
                  <c:v>asphalt BUR membrane</c:v>
                </c:pt>
                <c:pt idx="14">
                  <c:v>granulated modified bitumen cap sheet</c:v>
                </c:pt>
                <c:pt idx="15">
                  <c:v>#30 felt</c:v>
                </c:pt>
                <c:pt idx="16">
                  <c:v>plywood</c:v>
                </c:pt>
              </c:strCache>
            </c:strRef>
          </c:cat>
          <c:val>
            <c:numRef>
              <c:f>'Public service'!$G$74:$G$90</c:f>
              <c:numCache>
                <c:formatCode>_(* #,##0_);_(* \(#,##0\);_(* "-"??_);_(@_)</c:formatCode>
                <c:ptCount val="17"/>
                <c:pt idx="0">
                  <c:v>359812.5</c:v>
                </c:pt>
                <c:pt idx="1">
                  <c:v>14243.4375</c:v>
                </c:pt>
                <c:pt idx="2">
                  <c:v>6480</c:v>
                </c:pt>
                <c:pt idx="3">
                  <c:v>13065</c:v>
                </c:pt>
                <c:pt idx="4">
                  <c:v>7617.5999999999995</c:v>
                </c:pt>
                <c:pt idx="5">
                  <c:v>22520</c:v>
                </c:pt>
                <c:pt idx="6">
                  <c:v>35200</c:v>
                </c:pt>
                <c:pt idx="7">
                  <c:v>480</c:v>
                </c:pt>
                <c:pt idx="8">
                  <c:v>9080</c:v>
                </c:pt>
                <c:pt idx="9">
                  <c:v>3990.0499999999993</c:v>
                </c:pt>
                <c:pt idx="10">
                  <c:v>3910.5</c:v>
                </c:pt>
                <c:pt idx="11">
                  <c:v>201.96</c:v>
                </c:pt>
                <c:pt idx="12">
                  <c:v>4187.5</c:v>
                </c:pt>
                <c:pt idx="13">
                  <c:v>9450</c:v>
                </c:pt>
                <c:pt idx="14">
                  <c:v>1500</c:v>
                </c:pt>
                <c:pt idx="15">
                  <c:v>1118</c:v>
                </c:pt>
                <c:pt idx="16">
                  <c:v>8112</c:v>
                </c:pt>
              </c:numCache>
            </c:numRef>
          </c:val>
          <c:extLst>
            <c:ext xmlns:c16="http://schemas.microsoft.com/office/drawing/2014/chart" uri="{C3380CC4-5D6E-409C-BE32-E72D297353CC}">
              <c16:uniqueId val="{00000022-0FFD-7744-825C-4B1340491765}"/>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BEC1-B049-923D-1D6D27D1E922}"/>
              </c:ext>
            </c:extLst>
          </c:dPt>
          <c:dPt>
            <c:idx val="1"/>
            <c:bubble3D val="0"/>
            <c:spPr>
              <a:solidFill>
                <a:schemeClr val="accent2"/>
              </a:solidFill>
            </c:spPr>
            <c:extLst>
              <c:ext xmlns:c16="http://schemas.microsoft.com/office/drawing/2014/chart" uri="{C3380CC4-5D6E-409C-BE32-E72D297353CC}">
                <c16:uniqueId val="{00000003-BEC1-B049-923D-1D6D27D1E922}"/>
              </c:ext>
            </c:extLst>
          </c:dPt>
          <c:dPt>
            <c:idx val="2"/>
            <c:bubble3D val="0"/>
            <c:spPr>
              <a:solidFill>
                <a:schemeClr val="accent3"/>
              </a:solidFill>
            </c:spPr>
            <c:extLst>
              <c:ext xmlns:c16="http://schemas.microsoft.com/office/drawing/2014/chart" uri="{C3380CC4-5D6E-409C-BE32-E72D297353CC}">
                <c16:uniqueId val="{00000005-BEC1-B049-923D-1D6D27D1E922}"/>
              </c:ext>
            </c:extLst>
          </c:dPt>
          <c:dPt>
            <c:idx val="3"/>
            <c:bubble3D val="0"/>
            <c:spPr>
              <a:solidFill>
                <a:schemeClr val="accent4"/>
              </a:solidFill>
            </c:spPr>
            <c:extLst>
              <c:ext xmlns:c16="http://schemas.microsoft.com/office/drawing/2014/chart" uri="{C3380CC4-5D6E-409C-BE32-E72D297353CC}">
                <c16:uniqueId val="{00000007-BEC1-B049-923D-1D6D27D1E922}"/>
              </c:ext>
            </c:extLst>
          </c:dPt>
          <c:dPt>
            <c:idx val="4"/>
            <c:bubble3D val="0"/>
            <c:spPr>
              <a:solidFill>
                <a:schemeClr val="accent5"/>
              </a:solidFill>
            </c:spPr>
            <c:extLst>
              <c:ext xmlns:c16="http://schemas.microsoft.com/office/drawing/2014/chart" uri="{C3380CC4-5D6E-409C-BE32-E72D297353CC}">
                <c16:uniqueId val="{00000009-BEC1-B049-923D-1D6D27D1E922}"/>
              </c:ext>
            </c:extLst>
          </c:dPt>
          <c:dPt>
            <c:idx val="5"/>
            <c:bubble3D val="0"/>
            <c:spPr>
              <a:solidFill>
                <a:schemeClr val="accent6"/>
              </a:solidFill>
            </c:spPr>
            <c:extLst>
              <c:ext xmlns:c16="http://schemas.microsoft.com/office/drawing/2014/chart" uri="{C3380CC4-5D6E-409C-BE32-E72D297353CC}">
                <c16:uniqueId val="{0000000B-BEC1-B049-923D-1D6D27D1E922}"/>
              </c:ext>
            </c:extLst>
          </c:dPt>
          <c:dPt>
            <c:idx val="6"/>
            <c:bubble3D val="0"/>
            <c:spPr>
              <a:solidFill>
                <a:schemeClr val="accent1"/>
              </a:solidFill>
            </c:spPr>
            <c:extLst>
              <c:ext xmlns:c16="http://schemas.microsoft.com/office/drawing/2014/chart" uri="{C3380CC4-5D6E-409C-BE32-E72D297353CC}">
                <c16:uniqueId val="{0000000D-BEC1-B049-923D-1D6D27D1E922}"/>
              </c:ext>
            </c:extLst>
          </c:dPt>
          <c:dPt>
            <c:idx val="7"/>
            <c:bubble3D val="0"/>
            <c:spPr>
              <a:solidFill>
                <a:schemeClr val="accent2"/>
              </a:solidFill>
            </c:spPr>
            <c:extLst>
              <c:ext xmlns:c16="http://schemas.microsoft.com/office/drawing/2014/chart" uri="{C3380CC4-5D6E-409C-BE32-E72D297353CC}">
                <c16:uniqueId val="{0000000F-BEC1-B049-923D-1D6D27D1E922}"/>
              </c:ext>
            </c:extLst>
          </c:dPt>
          <c:dPt>
            <c:idx val="8"/>
            <c:bubble3D val="0"/>
            <c:spPr>
              <a:solidFill>
                <a:schemeClr val="accent3"/>
              </a:solidFill>
            </c:spPr>
            <c:extLst>
              <c:ext xmlns:c16="http://schemas.microsoft.com/office/drawing/2014/chart" uri="{C3380CC4-5D6E-409C-BE32-E72D297353CC}">
                <c16:uniqueId val="{00000011-BEC1-B049-923D-1D6D27D1E922}"/>
              </c:ext>
            </c:extLst>
          </c:dPt>
          <c:dPt>
            <c:idx val="9"/>
            <c:bubble3D val="0"/>
            <c:spPr>
              <a:solidFill>
                <a:schemeClr val="accent4"/>
              </a:solidFill>
            </c:spPr>
            <c:extLst>
              <c:ext xmlns:c16="http://schemas.microsoft.com/office/drawing/2014/chart" uri="{C3380CC4-5D6E-409C-BE32-E72D297353CC}">
                <c16:uniqueId val="{00000013-BEC1-B049-923D-1D6D27D1E922}"/>
              </c:ext>
            </c:extLst>
          </c:dPt>
          <c:dPt>
            <c:idx val="10"/>
            <c:bubble3D val="0"/>
            <c:spPr>
              <a:solidFill>
                <a:schemeClr val="accent5"/>
              </a:solidFill>
            </c:spPr>
            <c:extLst>
              <c:ext xmlns:c16="http://schemas.microsoft.com/office/drawing/2014/chart" uri="{C3380CC4-5D6E-409C-BE32-E72D297353CC}">
                <c16:uniqueId val="{00000015-BEC1-B049-923D-1D6D27D1E922}"/>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'Public service'!$F$95:$F$105</c:f>
              <c:strCache>
                <c:ptCount val="11"/>
                <c:pt idx="0">
                  <c:v>concrete</c:v>
                </c:pt>
                <c:pt idx="1">
                  <c:v>steel</c:v>
                </c:pt>
                <c:pt idx="2">
                  <c:v>wood</c:v>
                </c:pt>
                <c:pt idx="3">
                  <c:v>stucco</c:v>
                </c:pt>
                <c:pt idx="4">
                  <c:v>organic mat, asphalt coating</c:v>
                </c:pt>
                <c:pt idx="5">
                  <c:v>gypsum board</c:v>
                </c:pt>
                <c:pt idx="6">
                  <c:v>aluminum</c:v>
                </c:pt>
                <c:pt idx="7">
                  <c:v>Glass</c:v>
                </c:pt>
                <c:pt idx="8">
                  <c:v>plastic</c:v>
                </c:pt>
                <c:pt idx="9">
                  <c:v>asphalt</c:v>
                </c:pt>
                <c:pt idx="10">
                  <c:v>modified bitumen</c:v>
                </c:pt>
              </c:strCache>
            </c:strRef>
          </c:cat>
          <c:val>
            <c:numRef>
              <c:f>'Public service'!$G$95:$G$105</c:f>
              <c:numCache>
                <c:formatCode>_(* #,##0_);_(* \(#,##0\);_(* "-"??_);_(@_)</c:formatCode>
                <c:ptCount val="11"/>
                <c:pt idx="0">
                  <c:v>359812.5</c:v>
                </c:pt>
                <c:pt idx="1">
                  <c:v>44381.037499999999</c:v>
                </c:pt>
                <c:pt idx="2">
                  <c:v>27657</c:v>
                </c:pt>
                <c:pt idx="3">
                  <c:v>35200</c:v>
                </c:pt>
                <c:pt idx="4">
                  <c:v>1598</c:v>
                </c:pt>
                <c:pt idx="5">
                  <c:v>9080</c:v>
                </c:pt>
                <c:pt idx="6">
                  <c:v>3990.0499999999993</c:v>
                </c:pt>
                <c:pt idx="7">
                  <c:v>3910.5</c:v>
                </c:pt>
                <c:pt idx="8">
                  <c:v>4389.46</c:v>
                </c:pt>
                <c:pt idx="9">
                  <c:v>9450</c:v>
                </c:pt>
                <c:pt idx="10">
                  <c:v>1500</c:v>
                </c:pt>
              </c:numCache>
            </c:numRef>
          </c:val>
          <c:extLst>
            <c:ext xmlns:c16="http://schemas.microsoft.com/office/drawing/2014/chart" uri="{C3380CC4-5D6E-409C-BE32-E72D297353CC}">
              <c16:uniqueId val="{00000016-BEC1-B049-923D-1D6D27D1E922}"/>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436A-C446-B749-4A16698404F9}"/>
              </c:ext>
            </c:extLst>
          </c:dPt>
          <c:dPt>
            <c:idx val="1"/>
            <c:bubble3D val="0"/>
            <c:spPr>
              <a:solidFill>
                <a:schemeClr val="accent2"/>
              </a:solidFill>
            </c:spPr>
            <c:extLst>
              <c:ext xmlns:c16="http://schemas.microsoft.com/office/drawing/2014/chart" uri="{C3380CC4-5D6E-409C-BE32-E72D297353CC}">
                <c16:uniqueId val="{00000003-436A-C446-B749-4A16698404F9}"/>
              </c:ext>
            </c:extLst>
          </c:dPt>
          <c:dPt>
            <c:idx val="2"/>
            <c:bubble3D val="0"/>
            <c:spPr>
              <a:solidFill>
                <a:schemeClr val="accent3"/>
              </a:solidFill>
            </c:spPr>
            <c:extLst>
              <c:ext xmlns:c16="http://schemas.microsoft.com/office/drawing/2014/chart" uri="{C3380CC4-5D6E-409C-BE32-E72D297353CC}">
                <c16:uniqueId val="{00000005-436A-C446-B749-4A16698404F9}"/>
              </c:ext>
            </c:extLst>
          </c:dPt>
          <c:dPt>
            <c:idx val="3"/>
            <c:bubble3D val="0"/>
            <c:spPr>
              <a:solidFill>
                <a:schemeClr val="accent4"/>
              </a:solidFill>
            </c:spPr>
            <c:extLst>
              <c:ext xmlns:c16="http://schemas.microsoft.com/office/drawing/2014/chart" uri="{C3380CC4-5D6E-409C-BE32-E72D297353CC}">
                <c16:uniqueId val="{00000007-436A-C446-B749-4A16698404F9}"/>
              </c:ext>
            </c:extLst>
          </c:dPt>
          <c:dPt>
            <c:idx val="4"/>
            <c:bubble3D val="0"/>
            <c:spPr>
              <a:solidFill>
                <a:schemeClr val="accent5"/>
              </a:solidFill>
            </c:spPr>
            <c:extLst>
              <c:ext xmlns:c16="http://schemas.microsoft.com/office/drawing/2014/chart" uri="{C3380CC4-5D6E-409C-BE32-E72D297353CC}">
                <c16:uniqueId val="{00000009-436A-C446-B749-4A16698404F9}"/>
              </c:ext>
            </c:extLst>
          </c:dPt>
          <c:dPt>
            <c:idx val="5"/>
            <c:bubble3D val="0"/>
            <c:spPr>
              <a:solidFill>
                <a:schemeClr val="accent6"/>
              </a:solidFill>
            </c:spPr>
            <c:extLst>
              <c:ext xmlns:c16="http://schemas.microsoft.com/office/drawing/2014/chart" uri="{C3380CC4-5D6E-409C-BE32-E72D297353CC}">
                <c16:uniqueId val="{0000000B-436A-C446-B749-4A16698404F9}"/>
              </c:ext>
            </c:extLst>
          </c:dPt>
          <c:dPt>
            <c:idx val="6"/>
            <c:bubble3D val="0"/>
            <c:spPr>
              <a:solidFill>
                <a:schemeClr val="accent1"/>
              </a:solidFill>
            </c:spPr>
            <c:extLst>
              <c:ext xmlns:c16="http://schemas.microsoft.com/office/drawing/2014/chart" uri="{C3380CC4-5D6E-409C-BE32-E72D297353CC}">
                <c16:uniqueId val="{0000000D-436A-C446-B749-4A16698404F9}"/>
              </c:ext>
            </c:extLst>
          </c:dPt>
          <c:dPt>
            <c:idx val="7"/>
            <c:bubble3D val="0"/>
            <c:spPr>
              <a:solidFill>
                <a:schemeClr val="accent2"/>
              </a:solidFill>
            </c:spPr>
            <c:extLst>
              <c:ext xmlns:c16="http://schemas.microsoft.com/office/drawing/2014/chart" uri="{C3380CC4-5D6E-409C-BE32-E72D297353CC}">
                <c16:uniqueId val="{0000000F-436A-C446-B749-4A16698404F9}"/>
              </c:ext>
            </c:extLst>
          </c:dPt>
          <c:dPt>
            <c:idx val="8"/>
            <c:bubble3D val="0"/>
            <c:spPr>
              <a:solidFill>
                <a:schemeClr val="accent3"/>
              </a:solidFill>
            </c:spPr>
            <c:extLst>
              <c:ext xmlns:c16="http://schemas.microsoft.com/office/drawing/2014/chart" uri="{C3380CC4-5D6E-409C-BE32-E72D297353CC}">
                <c16:uniqueId val="{00000011-436A-C446-B749-4A16698404F9}"/>
              </c:ext>
            </c:extLst>
          </c:dPt>
          <c:dPt>
            <c:idx val="9"/>
            <c:bubble3D val="0"/>
            <c:spPr>
              <a:solidFill>
                <a:schemeClr val="accent4"/>
              </a:solidFill>
            </c:spPr>
            <c:extLst>
              <c:ext xmlns:c16="http://schemas.microsoft.com/office/drawing/2014/chart" uri="{C3380CC4-5D6E-409C-BE32-E72D297353CC}">
                <c16:uniqueId val="{00000013-436A-C446-B749-4A16698404F9}"/>
              </c:ext>
            </c:extLst>
          </c:dPt>
          <c:dPt>
            <c:idx val="10"/>
            <c:bubble3D val="0"/>
            <c:spPr>
              <a:solidFill>
                <a:schemeClr val="accent5"/>
              </a:solidFill>
            </c:spPr>
            <c:extLst>
              <c:ext xmlns:c16="http://schemas.microsoft.com/office/drawing/2014/chart" uri="{C3380CC4-5D6E-409C-BE32-E72D297353CC}">
                <c16:uniqueId val="{00000015-436A-C446-B749-4A16698404F9}"/>
              </c:ext>
            </c:extLst>
          </c:dPt>
          <c:dPt>
            <c:idx val="11"/>
            <c:bubble3D val="0"/>
            <c:spPr>
              <a:solidFill>
                <a:schemeClr val="accent6"/>
              </a:solidFill>
            </c:spPr>
            <c:extLst>
              <c:ext xmlns:c16="http://schemas.microsoft.com/office/drawing/2014/chart" uri="{C3380CC4-5D6E-409C-BE32-E72D297353CC}">
                <c16:uniqueId val="{00000017-436A-C446-B749-4A16698404F9}"/>
              </c:ext>
            </c:extLst>
          </c:dPt>
          <c:dPt>
            <c:idx val="12"/>
            <c:bubble3D val="0"/>
            <c:spPr>
              <a:solidFill>
                <a:schemeClr val="accent1"/>
              </a:solidFill>
            </c:spPr>
            <c:extLst>
              <c:ext xmlns:c16="http://schemas.microsoft.com/office/drawing/2014/chart" uri="{C3380CC4-5D6E-409C-BE32-E72D297353CC}">
                <c16:uniqueId val="{00000019-436A-C446-B749-4A16698404F9}"/>
              </c:ext>
            </c:extLst>
          </c:dPt>
          <c:dPt>
            <c:idx val="13"/>
            <c:bubble3D val="0"/>
            <c:spPr>
              <a:solidFill>
                <a:schemeClr val="accent2"/>
              </a:solidFill>
            </c:spPr>
            <c:extLst>
              <c:ext xmlns:c16="http://schemas.microsoft.com/office/drawing/2014/chart" uri="{C3380CC4-5D6E-409C-BE32-E72D297353CC}">
                <c16:uniqueId val="{0000001B-436A-C446-B749-4A16698404F9}"/>
              </c:ext>
            </c:extLst>
          </c:dPt>
          <c:dPt>
            <c:idx val="14"/>
            <c:bubble3D val="0"/>
            <c:spPr>
              <a:solidFill>
                <a:schemeClr val="accent3"/>
              </a:solidFill>
            </c:spPr>
            <c:extLst>
              <c:ext xmlns:c16="http://schemas.microsoft.com/office/drawing/2014/chart" uri="{C3380CC4-5D6E-409C-BE32-E72D297353CC}">
                <c16:uniqueId val="{0000001D-436A-C446-B749-4A16698404F9}"/>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'RDT&amp;E'!$F$59:$F$73</c:f>
              <c:strCache>
                <c:ptCount val="15"/>
                <c:pt idx="0">
                  <c:v>concrete</c:v>
                </c:pt>
                <c:pt idx="1">
                  <c:v>carbon steel</c:v>
                </c:pt>
                <c:pt idx="2">
                  <c:v>cold-formed, galvanized steel</c:v>
                </c:pt>
                <c:pt idx="3">
                  <c:v>hot-rolled, structural steel</c:v>
                </c:pt>
                <c:pt idx="4">
                  <c:v>cold-formed, structural steel</c:v>
                </c:pt>
                <c:pt idx="5">
                  <c:v>concrete masonry unit</c:v>
                </c:pt>
                <c:pt idx="6">
                  <c:v>expanded polystyrene foam</c:v>
                </c:pt>
                <c:pt idx="7">
                  <c:v>glass mat gypsum board</c:v>
                </c:pt>
                <c:pt idx="8">
                  <c:v>aluminum</c:v>
                </c:pt>
                <c:pt idx="9">
                  <c:v>Laminated glass</c:v>
                </c:pt>
                <c:pt idx="10">
                  <c:v>Polyvinyl Butyral (PVB) interlayer film</c:v>
                </c:pt>
                <c:pt idx="11">
                  <c:v>#15 felt</c:v>
                </c:pt>
                <c:pt idx="12">
                  <c:v>polyisocyanurate foam board</c:v>
                </c:pt>
                <c:pt idx="13">
                  <c:v>asphalt BUR membrane</c:v>
                </c:pt>
                <c:pt idx="14">
                  <c:v>granulated modified bitumen cap sheet</c:v>
                </c:pt>
              </c:strCache>
            </c:strRef>
          </c:cat>
          <c:val>
            <c:numRef>
              <c:f>'RDT&amp;E'!$G$59:$G$73</c:f>
              <c:numCache>
                <c:formatCode>_(* #,##0_);_(* \(#,##0\);_(* "-"??_);_(@_)</c:formatCode>
                <c:ptCount val="15"/>
                <c:pt idx="0">
                  <c:v>337800</c:v>
                </c:pt>
                <c:pt idx="1">
                  <c:v>14506</c:v>
                </c:pt>
                <c:pt idx="2">
                  <c:v>14137.2</c:v>
                </c:pt>
                <c:pt idx="3">
                  <c:v>10788</c:v>
                </c:pt>
                <c:pt idx="4">
                  <c:v>4695</c:v>
                </c:pt>
                <c:pt idx="5">
                  <c:v>93750</c:v>
                </c:pt>
                <c:pt idx="6">
                  <c:v>319.2</c:v>
                </c:pt>
                <c:pt idx="7">
                  <c:v>14349.999999999998</c:v>
                </c:pt>
                <c:pt idx="8">
                  <c:v>24</c:v>
                </c:pt>
                <c:pt idx="9">
                  <c:v>158</c:v>
                </c:pt>
                <c:pt idx="10">
                  <c:v>8.16</c:v>
                </c:pt>
                <c:pt idx="11">
                  <c:v>630</c:v>
                </c:pt>
                <c:pt idx="12">
                  <c:v>3500</c:v>
                </c:pt>
                <c:pt idx="13">
                  <c:v>17640</c:v>
                </c:pt>
                <c:pt idx="14">
                  <c:v>2800</c:v>
                </c:pt>
              </c:numCache>
            </c:numRef>
          </c:val>
          <c:extLst>
            <c:ext xmlns:c16="http://schemas.microsoft.com/office/drawing/2014/chart" uri="{C3380CC4-5D6E-409C-BE32-E72D297353CC}">
              <c16:uniqueId val="{0000001E-436A-C446-B749-4A16698404F9}"/>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2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AE90-FE4F-ADC9-CAD470F9E6BF}"/>
              </c:ext>
            </c:extLst>
          </c:dPt>
          <c:dPt>
            <c:idx val="1"/>
            <c:bubble3D val="0"/>
            <c:spPr>
              <a:solidFill>
                <a:schemeClr val="accent2"/>
              </a:solidFill>
            </c:spPr>
            <c:extLst>
              <c:ext xmlns:c16="http://schemas.microsoft.com/office/drawing/2014/chart" uri="{C3380CC4-5D6E-409C-BE32-E72D297353CC}">
                <c16:uniqueId val="{00000003-AE90-FE4F-ADC9-CAD470F9E6BF}"/>
              </c:ext>
            </c:extLst>
          </c:dPt>
          <c:dPt>
            <c:idx val="2"/>
            <c:bubble3D val="0"/>
            <c:spPr>
              <a:solidFill>
                <a:schemeClr val="accent3"/>
              </a:solidFill>
            </c:spPr>
            <c:extLst>
              <c:ext xmlns:c16="http://schemas.microsoft.com/office/drawing/2014/chart" uri="{C3380CC4-5D6E-409C-BE32-E72D297353CC}">
                <c16:uniqueId val="{00000005-AE90-FE4F-ADC9-CAD470F9E6BF}"/>
              </c:ext>
            </c:extLst>
          </c:dPt>
          <c:dPt>
            <c:idx val="3"/>
            <c:bubble3D val="0"/>
            <c:spPr>
              <a:solidFill>
                <a:schemeClr val="accent4"/>
              </a:solidFill>
            </c:spPr>
            <c:extLst>
              <c:ext xmlns:c16="http://schemas.microsoft.com/office/drawing/2014/chart" uri="{C3380CC4-5D6E-409C-BE32-E72D297353CC}">
                <c16:uniqueId val="{00000007-AE90-FE4F-ADC9-CAD470F9E6BF}"/>
              </c:ext>
            </c:extLst>
          </c:dPt>
          <c:dPt>
            <c:idx val="4"/>
            <c:bubble3D val="0"/>
            <c:spPr>
              <a:solidFill>
                <a:schemeClr val="accent5"/>
              </a:solidFill>
            </c:spPr>
            <c:extLst>
              <c:ext xmlns:c16="http://schemas.microsoft.com/office/drawing/2014/chart" uri="{C3380CC4-5D6E-409C-BE32-E72D297353CC}">
                <c16:uniqueId val="{00000009-AE90-FE4F-ADC9-CAD470F9E6BF}"/>
              </c:ext>
            </c:extLst>
          </c:dPt>
          <c:dPt>
            <c:idx val="5"/>
            <c:bubble3D val="0"/>
            <c:spPr>
              <a:solidFill>
                <a:schemeClr val="accent6"/>
              </a:solidFill>
            </c:spPr>
            <c:extLst>
              <c:ext xmlns:c16="http://schemas.microsoft.com/office/drawing/2014/chart" uri="{C3380CC4-5D6E-409C-BE32-E72D297353CC}">
                <c16:uniqueId val="{0000000B-AE90-FE4F-ADC9-CAD470F9E6BF}"/>
              </c:ext>
            </c:extLst>
          </c:dPt>
          <c:dPt>
            <c:idx val="6"/>
            <c:bubble3D val="0"/>
            <c:spPr>
              <a:solidFill>
                <a:schemeClr val="accent1"/>
              </a:solidFill>
            </c:spPr>
            <c:extLst>
              <c:ext xmlns:c16="http://schemas.microsoft.com/office/drawing/2014/chart" uri="{C3380CC4-5D6E-409C-BE32-E72D297353CC}">
                <c16:uniqueId val="{0000000D-AE90-FE4F-ADC9-CAD470F9E6BF}"/>
              </c:ext>
            </c:extLst>
          </c:dPt>
          <c:dPt>
            <c:idx val="7"/>
            <c:bubble3D val="0"/>
            <c:spPr>
              <a:solidFill>
                <a:schemeClr val="accent2"/>
              </a:solidFill>
            </c:spPr>
            <c:extLst>
              <c:ext xmlns:c16="http://schemas.microsoft.com/office/drawing/2014/chart" uri="{C3380CC4-5D6E-409C-BE32-E72D297353CC}">
                <c16:uniqueId val="{0000000F-AE90-FE4F-ADC9-CAD470F9E6BF}"/>
              </c:ext>
            </c:extLst>
          </c:dPt>
          <c:dPt>
            <c:idx val="8"/>
            <c:bubble3D val="0"/>
            <c:spPr>
              <a:solidFill>
                <a:schemeClr val="accent3"/>
              </a:solidFill>
            </c:spPr>
            <c:extLst>
              <c:ext xmlns:c16="http://schemas.microsoft.com/office/drawing/2014/chart" uri="{C3380CC4-5D6E-409C-BE32-E72D297353CC}">
                <c16:uniqueId val="{00000011-AE90-FE4F-ADC9-CAD470F9E6BF}"/>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'RDT&amp;E'!$F$76:$F$84</c:f>
              <c:strCache>
                <c:ptCount val="9"/>
                <c:pt idx="0">
                  <c:v>concrete</c:v>
                </c:pt>
                <c:pt idx="1">
                  <c:v>steel</c:v>
                </c:pt>
                <c:pt idx="2">
                  <c:v>plastic</c:v>
                </c:pt>
                <c:pt idx="3">
                  <c:v>gypsum board</c:v>
                </c:pt>
                <c:pt idx="4">
                  <c:v>aluminum</c:v>
                </c:pt>
                <c:pt idx="5">
                  <c:v>Glass</c:v>
                </c:pt>
                <c:pt idx="6">
                  <c:v>asphalt</c:v>
                </c:pt>
                <c:pt idx="7">
                  <c:v>organic mat, asphalt coating</c:v>
                </c:pt>
                <c:pt idx="8">
                  <c:v>modified bitumen</c:v>
                </c:pt>
              </c:strCache>
            </c:strRef>
          </c:cat>
          <c:val>
            <c:numRef>
              <c:f>'RDT&amp;E'!$G$76:$G$84</c:f>
              <c:numCache>
                <c:formatCode>_(* #,##0_);_(* \(#,##0\);_(* "-"??_);_(@_)</c:formatCode>
                <c:ptCount val="9"/>
                <c:pt idx="0">
                  <c:v>431550</c:v>
                </c:pt>
                <c:pt idx="1">
                  <c:v>44126.2</c:v>
                </c:pt>
                <c:pt idx="2">
                  <c:v>3827.3599999999997</c:v>
                </c:pt>
                <c:pt idx="3">
                  <c:v>14349.999999999998</c:v>
                </c:pt>
                <c:pt idx="4">
                  <c:v>24</c:v>
                </c:pt>
                <c:pt idx="5">
                  <c:v>158</c:v>
                </c:pt>
                <c:pt idx="6">
                  <c:v>17640</c:v>
                </c:pt>
                <c:pt idx="7">
                  <c:v>630</c:v>
                </c:pt>
                <c:pt idx="8">
                  <c:v>2800</c:v>
                </c:pt>
              </c:numCache>
            </c:numRef>
          </c:val>
          <c:extLst>
            <c:ext xmlns:c16="http://schemas.microsoft.com/office/drawing/2014/chart" uri="{C3380CC4-5D6E-409C-BE32-E72D297353CC}">
              <c16:uniqueId val="{00000012-AE90-FE4F-ADC9-CAD470F9E6BF}"/>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33F2-2941-95B6-8DF841A6AE50}"/>
              </c:ext>
            </c:extLst>
          </c:dPt>
          <c:dPt>
            <c:idx val="1"/>
            <c:bubble3D val="0"/>
            <c:spPr>
              <a:solidFill>
                <a:schemeClr val="accent2"/>
              </a:solidFill>
            </c:spPr>
            <c:extLst>
              <c:ext xmlns:c16="http://schemas.microsoft.com/office/drawing/2014/chart" uri="{C3380CC4-5D6E-409C-BE32-E72D297353CC}">
                <c16:uniqueId val="{00000003-33F2-2941-95B6-8DF841A6AE50}"/>
              </c:ext>
            </c:extLst>
          </c:dPt>
          <c:dPt>
            <c:idx val="2"/>
            <c:bubble3D val="0"/>
            <c:spPr>
              <a:solidFill>
                <a:schemeClr val="accent3"/>
              </a:solidFill>
            </c:spPr>
            <c:extLst>
              <c:ext xmlns:c16="http://schemas.microsoft.com/office/drawing/2014/chart" uri="{C3380CC4-5D6E-409C-BE32-E72D297353CC}">
                <c16:uniqueId val="{00000005-33F2-2941-95B6-8DF841A6AE50}"/>
              </c:ext>
            </c:extLst>
          </c:dPt>
          <c:dPt>
            <c:idx val="3"/>
            <c:bubble3D val="0"/>
            <c:spPr>
              <a:solidFill>
                <a:schemeClr val="accent4"/>
              </a:solidFill>
            </c:spPr>
            <c:extLst>
              <c:ext xmlns:c16="http://schemas.microsoft.com/office/drawing/2014/chart" uri="{C3380CC4-5D6E-409C-BE32-E72D297353CC}">
                <c16:uniqueId val="{00000007-33F2-2941-95B6-8DF841A6AE50}"/>
              </c:ext>
            </c:extLst>
          </c:dPt>
          <c:dPt>
            <c:idx val="4"/>
            <c:bubble3D val="0"/>
            <c:spPr>
              <a:solidFill>
                <a:schemeClr val="accent5"/>
              </a:solidFill>
            </c:spPr>
            <c:extLst>
              <c:ext xmlns:c16="http://schemas.microsoft.com/office/drawing/2014/chart" uri="{C3380CC4-5D6E-409C-BE32-E72D297353CC}">
                <c16:uniqueId val="{00000009-33F2-2941-95B6-8DF841A6AE50}"/>
              </c:ext>
            </c:extLst>
          </c:dPt>
          <c:dPt>
            <c:idx val="5"/>
            <c:bubble3D val="0"/>
            <c:spPr>
              <a:solidFill>
                <a:schemeClr val="accent6"/>
              </a:solidFill>
            </c:spPr>
            <c:extLst>
              <c:ext xmlns:c16="http://schemas.microsoft.com/office/drawing/2014/chart" uri="{C3380CC4-5D6E-409C-BE32-E72D297353CC}">
                <c16:uniqueId val="{0000000B-33F2-2941-95B6-8DF841A6AE50}"/>
              </c:ext>
            </c:extLst>
          </c:dPt>
          <c:dPt>
            <c:idx val="6"/>
            <c:bubble3D val="0"/>
            <c:spPr>
              <a:solidFill>
                <a:schemeClr val="accent1"/>
              </a:solidFill>
            </c:spPr>
            <c:extLst>
              <c:ext xmlns:c16="http://schemas.microsoft.com/office/drawing/2014/chart" uri="{C3380CC4-5D6E-409C-BE32-E72D297353CC}">
                <c16:uniqueId val="{0000000D-33F2-2941-95B6-8DF841A6AE50}"/>
              </c:ext>
            </c:extLst>
          </c:dPt>
          <c:dPt>
            <c:idx val="7"/>
            <c:bubble3D val="0"/>
            <c:spPr>
              <a:solidFill>
                <a:schemeClr val="accent2"/>
              </a:solidFill>
            </c:spPr>
            <c:extLst>
              <c:ext xmlns:c16="http://schemas.microsoft.com/office/drawing/2014/chart" uri="{C3380CC4-5D6E-409C-BE32-E72D297353CC}">
                <c16:uniqueId val="{0000000F-33F2-2941-95B6-8DF841A6AE50}"/>
              </c:ext>
            </c:extLst>
          </c:dPt>
          <c:dPt>
            <c:idx val="8"/>
            <c:bubble3D val="0"/>
            <c:spPr>
              <a:solidFill>
                <a:schemeClr val="accent3"/>
              </a:solidFill>
            </c:spPr>
            <c:extLst>
              <c:ext xmlns:c16="http://schemas.microsoft.com/office/drawing/2014/chart" uri="{C3380CC4-5D6E-409C-BE32-E72D297353CC}">
                <c16:uniqueId val="{00000011-33F2-2941-95B6-8DF841A6AE50}"/>
              </c:ext>
            </c:extLst>
          </c:dPt>
          <c:dPt>
            <c:idx val="9"/>
            <c:bubble3D val="0"/>
            <c:spPr>
              <a:solidFill>
                <a:schemeClr val="accent4"/>
              </a:solidFill>
            </c:spPr>
            <c:extLst>
              <c:ext xmlns:c16="http://schemas.microsoft.com/office/drawing/2014/chart" uri="{C3380CC4-5D6E-409C-BE32-E72D297353CC}">
                <c16:uniqueId val="{00000013-33F2-2941-95B6-8DF841A6AE50}"/>
              </c:ext>
            </c:extLst>
          </c:dPt>
          <c:dPt>
            <c:idx val="10"/>
            <c:bubble3D val="0"/>
            <c:spPr>
              <a:solidFill>
                <a:schemeClr val="accent5"/>
              </a:solidFill>
            </c:spPr>
            <c:extLst>
              <c:ext xmlns:c16="http://schemas.microsoft.com/office/drawing/2014/chart" uri="{C3380CC4-5D6E-409C-BE32-E72D297353CC}">
                <c16:uniqueId val="{00000015-33F2-2941-95B6-8DF841A6AE50}"/>
              </c:ext>
            </c:extLst>
          </c:dPt>
          <c:dPt>
            <c:idx val="11"/>
            <c:bubble3D val="0"/>
            <c:spPr>
              <a:solidFill>
                <a:schemeClr val="accent6"/>
              </a:solidFill>
            </c:spPr>
            <c:extLst>
              <c:ext xmlns:c16="http://schemas.microsoft.com/office/drawing/2014/chart" uri="{C3380CC4-5D6E-409C-BE32-E72D297353CC}">
                <c16:uniqueId val="{00000017-33F2-2941-95B6-8DF841A6AE50}"/>
              </c:ext>
            </c:extLst>
          </c:dPt>
          <c:dPt>
            <c:idx val="12"/>
            <c:bubble3D val="0"/>
            <c:spPr>
              <a:solidFill>
                <a:schemeClr val="accent1"/>
              </a:solidFill>
            </c:spPr>
            <c:extLst>
              <c:ext xmlns:c16="http://schemas.microsoft.com/office/drawing/2014/chart" uri="{C3380CC4-5D6E-409C-BE32-E72D297353CC}">
                <c16:uniqueId val="{00000019-33F2-2941-95B6-8DF841A6AE50}"/>
              </c:ext>
            </c:extLst>
          </c:dPt>
          <c:dPt>
            <c:idx val="13"/>
            <c:bubble3D val="0"/>
            <c:spPr>
              <a:solidFill>
                <a:schemeClr val="accent2"/>
              </a:solidFill>
            </c:spPr>
            <c:extLst>
              <c:ext xmlns:c16="http://schemas.microsoft.com/office/drawing/2014/chart" uri="{C3380CC4-5D6E-409C-BE32-E72D297353CC}">
                <c16:uniqueId val="{0000001B-33F2-2941-95B6-8DF841A6AE50}"/>
              </c:ext>
            </c:extLst>
          </c:dPt>
          <c:dPt>
            <c:idx val="14"/>
            <c:bubble3D val="0"/>
            <c:spPr>
              <a:solidFill>
                <a:schemeClr val="accent3"/>
              </a:solidFill>
            </c:spPr>
            <c:extLst>
              <c:ext xmlns:c16="http://schemas.microsoft.com/office/drawing/2014/chart" uri="{C3380CC4-5D6E-409C-BE32-E72D297353CC}">
                <c16:uniqueId val="{0000001D-33F2-2941-95B6-8DF841A6AE50}"/>
              </c:ext>
            </c:extLst>
          </c:dPt>
          <c:dPt>
            <c:idx val="15"/>
            <c:bubble3D val="0"/>
            <c:spPr>
              <a:solidFill>
                <a:schemeClr val="accent4"/>
              </a:solidFill>
            </c:spPr>
            <c:extLst>
              <c:ext xmlns:c16="http://schemas.microsoft.com/office/drawing/2014/chart" uri="{C3380CC4-5D6E-409C-BE32-E72D297353CC}">
                <c16:uniqueId val="{0000001F-33F2-2941-95B6-8DF841A6AE50}"/>
              </c:ext>
            </c:extLst>
          </c:dPt>
          <c:dPt>
            <c:idx val="16"/>
            <c:bubble3D val="0"/>
            <c:spPr>
              <a:solidFill>
                <a:schemeClr val="accent5"/>
              </a:solidFill>
            </c:spPr>
            <c:extLst>
              <c:ext xmlns:c16="http://schemas.microsoft.com/office/drawing/2014/chart" uri="{C3380CC4-5D6E-409C-BE32-E72D297353CC}">
                <c16:uniqueId val="{00000021-33F2-2941-95B6-8DF841A6AE50}"/>
              </c:ext>
            </c:extLst>
          </c:dPt>
          <c:dPt>
            <c:idx val="17"/>
            <c:bubble3D val="0"/>
            <c:spPr>
              <a:solidFill>
                <a:schemeClr val="accent6"/>
              </a:solidFill>
            </c:spPr>
            <c:extLst>
              <c:ext xmlns:c16="http://schemas.microsoft.com/office/drawing/2014/chart" uri="{C3380CC4-5D6E-409C-BE32-E72D297353CC}">
                <c16:uniqueId val="{00000023-33F2-2941-95B6-8DF841A6AE50}"/>
              </c:ext>
            </c:extLst>
          </c:dPt>
          <c:dPt>
            <c:idx val="18"/>
            <c:bubble3D val="0"/>
            <c:spPr>
              <a:solidFill>
                <a:schemeClr val="accent1"/>
              </a:solidFill>
            </c:spPr>
            <c:extLst>
              <c:ext xmlns:c16="http://schemas.microsoft.com/office/drawing/2014/chart" uri="{C3380CC4-5D6E-409C-BE32-E72D297353CC}">
                <c16:uniqueId val="{00000025-33F2-2941-95B6-8DF841A6AE50}"/>
              </c:ext>
            </c:extLst>
          </c:dPt>
          <c:cat>
            <c:strRef>
              <c:f>'Recreation &amp; culture'!$F$87:$F$105</c:f>
              <c:strCache>
                <c:ptCount val="19"/>
                <c:pt idx="0">
                  <c:v>concrete</c:v>
                </c:pt>
                <c:pt idx="1">
                  <c:v>carbon steel</c:v>
                </c:pt>
                <c:pt idx="2">
                  <c:v>OSB</c:v>
                </c:pt>
                <c:pt idx="3">
                  <c:v>softwood</c:v>
                </c:pt>
                <c:pt idx="4">
                  <c:v>cold-formed, galvanized steel</c:v>
                </c:pt>
                <c:pt idx="5">
                  <c:v>hot-rolled, structural steel</c:v>
                </c:pt>
                <c:pt idx="6">
                  <c:v>cold-formed, structural steel</c:v>
                </c:pt>
                <c:pt idx="7">
                  <c:v>stucco</c:v>
                </c:pt>
                <c:pt idx="8">
                  <c:v>15 felt moisture barrier</c:v>
                </c:pt>
                <c:pt idx="9">
                  <c:v>glass mat gypsum board</c:v>
                </c:pt>
                <c:pt idx="10">
                  <c:v>aluminum</c:v>
                </c:pt>
                <c:pt idx="11">
                  <c:v>Laminated glass</c:v>
                </c:pt>
                <c:pt idx="12">
                  <c:v>Polyvinyl Butyral (PVB) interlayer film</c:v>
                </c:pt>
                <c:pt idx="13">
                  <c:v>polyisocyanurate foam board</c:v>
                </c:pt>
                <c:pt idx="14">
                  <c:v>asphalt BUR membrane</c:v>
                </c:pt>
                <c:pt idx="15">
                  <c:v>granulated modified bitumen cap sheet</c:v>
                </c:pt>
                <c:pt idx="16">
                  <c:v>clay tiles</c:v>
                </c:pt>
                <c:pt idx="17">
                  <c:v>modified bitumen membrane</c:v>
                </c:pt>
                <c:pt idx="18">
                  <c:v>plywood</c:v>
                </c:pt>
              </c:strCache>
            </c:strRef>
          </c:cat>
          <c:val>
            <c:numRef>
              <c:f>'Recreation &amp; culture'!$G$87:$G$105</c:f>
              <c:numCache>
                <c:formatCode>_(* #,##0_);_(* \(#,##0\);_(* "-"??_);_(@_)</c:formatCode>
                <c:ptCount val="19"/>
                <c:pt idx="0">
                  <c:v>1179375</c:v>
                </c:pt>
                <c:pt idx="1">
                  <c:v>46753.125</c:v>
                </c:pt>
                <c:pt idx="2">
                  <c:v>22602.239999999998</c:v>
                </c:pt>
                <c:pt idx="3">
                  <c:v>93590.275658326427</c:v>
                </c:pt>
                <c:pt idx="4">
                  <c:v>25999.199999999997</c:v>
                </c:pt>
                <c:pt idx="5">
                  <c:v>68104</c:v>
                </c:pt>
                <c:pt idx="6">
                  <c:v>56706</c:v>
                </c:pt>
                <c:pt idx="7">
                  <c:v>166100</c:v>
                </c:pt>
                <c:pt idx="8">
                  <c:v>2265</c:v>
                </c:pt>
                <c:pt idx="9">
                  <c:v>47090</c:v>
                </c:pt>
                <c:pt idx="10">
                  <c:v>672.16666666666663</c:v>
                </c:pt>
                <c:pt idx="11">
                  <c:v>20117.020833333328</c:v>
                </c:pt>
                <c:pt idx="12">
                  <c:v>1038.9550000000002</c:v>
                </c:pt>
                <c:pt idx="13">
                  <c:v>5750</c:v>
                </c:pt>
                <c:pt idx="14">
                  <c:v>57960</c:v>
                </c:pt>
                <c:pt idx="15">
                  <c:v>9200</c:v>
                </c:pt>
                <c:pt idx="16">
                  <c:v>105000</c:v>
                </c:pt>
                <c:pt idx="17">
                  <c:v>20000</c:v>
                </c:pt>
                <c:pt idx="18">
                  <c:v>0</c:v>
                </c:pt>
              </c:numCache>
            </c:numRef>
          </c:val>
          <c:extLst>
            <c:ext xmlns:c16="http://schemas.microsoft.com/office/drawing/2014/chart" uri="{C3380CC4-5D6E-409C-BE32-E72D297353CC}">
              <c16:uniqueId val="{00000026-33F2-2941-95B6-8DF841A6AE50}"/>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79AA-AF4A-A6A1-AEA2E0492A70}"/>
              </c:ext>
            </c:extLst>
          </c:dPt>
          <c:dPt>
            <c:idx val="1"/>
            <c:bubble3D val="0"/>
            <c:spPr>
              <a:solidFill>
                <a:schemeClr val="accent2"/>
              </a:solidFill>
            </c:spPr>
            <c:extLst>
              <c:ext xmlns:c16="http://schemas.microsoft.com/office/drawing/2014/chart" uri="{C3380CC4-5D6E-409C-BE32-E72D297353CC}">
                <c16:uniqueId val="{00000003-79AA-AF4A-A6A1-AEA2E0492A70}"/>
              </c:ext>
            </c:extLst>
          </c:dPt>
          <c:dPt>
            <c:idx val="2"/>
            <c:bubble3D val="0"/>
            <c:spPr>
              <a:solidFill>
                <a:schemeClr val="accent3"/>
              </a:solidFill>
            </c:spPr>
            <c:extLst>
              <c:ext xmlns:c16="http://schemas.microsoft.com/office/drawing/2014/chart" uri="{C3380CC4-5D6E-409C-BE32-E72D297353CC}">
                <c16:uniqueId val="{00000005-79AA-AF4A-A6A1-AEA2E0492A70}"/>
              </c:ext>
            </c:extLst>
          </c:dPt>
          <c:dPt>
            <c:idx val="3"/>
            <c:bubble3D val="0"/>
            <c:spPr>
              <a:solidFill>
                <a:schemeClr val="accent4"/>
              </a:solidFill>
            </c:spPr>
            <c:extLst>
              <c:ext xmlns:c16="http://schemas.microsoft.com/office/drawing/2014/chart" uri="{C3380CC4-5D6E-409C-BE32-E72D297353CC}">
                <c16:uniqueId val="{00000007-79AA-AF4A-A6A1-AEA2E0492A70}"/>
              </c:ext>
            </c:extLst>
          </c:dPt>
          <c:dPt>
            <c:idx val="4"/>
            <c:bubble3D val="0"/>
            <c:spPr>
              <a:solidFill>
                <a:schemeClr val="accent5"/>
              </a:solidFill>
            </c:spPr>
            <c:extLst>
              <c:ext xmlns:c16="http://schemas.microsoft.com/office/drawing/2014/chart" uri="{C3380CC4-5D6E-409C-BE32-E72D297353CC}">
                <c16:uniqueId val="{00000009-79AA-AF4A-A6A1-AEA2E0492A70}"/>
              </c:ext>
            </c:extLst>
          </c:dPt>
          <c:dPt>
            <c:idx val="5"/>
            <c:bubble3D val="0"/>
            <c:spPr>
              <a:solidFill>
                <a:schemeClr val="accent6"/>
              </a:solidFill>
            </c:spPr>
            <c:extLst>
              <c:ext xmlns:c16="http://schemas.microsoft.com/office/drawing/2014/chart" uri="{C3380CC4-5D6E-409C-BE32-E72D297353CC}">
                <c16:uniqueId val="{0000000B-79AA-AF4A-A6A1-AEA2E0492A70}"/>
              </c:ext>
            </c:extLst>
          </c:dPt>
          <c:dPt>
            <c:idx val="6"/>
            <c:bubble3D val="0"/>
            <c:spPr>
              <a:solidFill>
                <a:schemeClr val="accent1"/>
              </a:solidFill>
            </c:spPr>
            <c:extLst>
              <c:ext xmlns:c16="http://schemas.microsoft.com/office/drawing/2014/chart" uri="{C3380CC4-5D6E-409C-BE32-E72D297353CC}">
                <c16:uniqueId val="{0000000D-79AA-AF4A-A6A1-AEA2E0492A70}"/>
              </c:ext>
            </c:extLst>
          </c:dPt>
          <c:dPt>
            <c:idx val="7"/>
            <c:bubble3D val="0"/>
            <c:spPr>
              <a:solidFill>
                <a:schemeClr val="accent2"/>
              </a:solidFill>
            </c:spPr>
            <c:extLst>
              <c:ext xmlns:c16="http://schemas.microsoft.com/office/drawing/2014/chart" uri="{C3380CC4-5D6E-409C-BE32-E72D297353CC}">
                <c16:uniqueId val="{0000000F-79AA-AF4A-A6A1-AEA2E0492A70}"/>
              </c:ext>
            </c:extLst>
          </c:dPt>
          <c:dPt>
            <c:idx val="8"/>
            <c:bubble3D val="0"/>
            <c:spPr>
              <a:solidFill>
                <a:schemeClr val="accent3"/>
              </a:solidFill>
            </c:spPr>
            <c:extLst>
              <c:ext xmlns:c16="http://schemas.microsoft.com/office/drawing/2014/chart" uri="{C3380CC4-5D6E-409C-BE32-E72D297353CC}">
                <c16:uniqueId val="{00000011-79AA-AF4A-A6A1-AEA2E0492A70}"/>
              </c:ext>
            </c:extLst>
          </c:dPt>
          <c:dPt>
            <c:idx val="9"/>
            <c:bubble3D val="0"/>
            <c:spPr>
              <a:solidFill>
                <a:schemeClr val="accent4"/>
              </a:solidFill>
            </c:spPr>
            <c:extLst>
              <c:ext xmlns:c16="http://schemas.microsoft.com/office/drawing/2014/chart" uri="{C3380CC4-5D6E-409C-BE32-E72D297353CC}">
                <c16:uniqueId val="{00000013-79AA-AF4A-A6A1-AEA2E0492A70}"/>
              </c:ext>
            </c:extLst>
          </c:dPt>
          <c:dPt>
            <c:idx val="10"/>
            <c:bubble3D val="0"/>
            <c:spPr>
              <a:solidFill>
                <a:schemeClr val="accent5"/>
              </a:solidFill>
            </c:spPr>
            <c:extLst>
              <c:ext xmlns:c16="http://schemas.microsoft.com/office/drawing/2014/chart" uri="{C3380CC4-5D6E-409C-BE32-E72D297353CC}">
                <c16:uniqueId val="{00000015-79AA-AF4A-A6A1-AEA2E0492A70}"/>
              </c:ext>
            </c:extLst>
          </c:dPt>
          <c:dPt>
            <c:idx val="11"/>
            <c:bubble3D val="0"/>
            <c:spPr>
              <a:solidFill>
                <a:schemeClr val="accent6"/>
              </a:solidFill>
            </c:spPr>
            <c:extLst>
              <c:ext xmlns:c16="http://schemas.microsoft.com/office/drawing/2014/chart" uri="{C3380CC4-5D6E-409C-BE32-E72D297353CC}">
                <c16:uniqueId val="{00000017-79AA-AF4A-A6A1-AEA2E0492A70}"/>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'Recreation &amp; culture'!$F$109:$F$120</c:f>
              <c:strCache>
                <c:ptCount val="12"/>
                <c:pt idx="0">
                  <c:v>concrete</c:v>
                </c:pt>
                <c:pt idx="1">
                  <c:v>steel</c:v>
                </c:pt>
                <c:pt idx="2">
                  <c:v>wood</c:v>
                </c:pt>
                <c:pt idx="3">
                  <c:v>stucco</c:v>
                </c:pt>
                <c:pt idx="4">
                  <c:v>organic mat, asphalt coating</c:v>
                </c:pt>
                <c:pt idx="5">
                  <c:v>gypsum board</c:v>
                </c:pt>
                <c:pt idx="6">
                  <c:v>aluminum</c:v>
                </c:pt>
                <c:pt idx="7">
                  <c:v>Glass</c:v>
                </c:pt>
                <c:pt idx="8">
                  <c:v>plastic</c:v>
                </c:pt>
                <c:pt idx="9">
                  <c:v>asphalt</c:v>
                </c:pt>
                <c:pt idx="10">
                  <c:v>modified bitumen</c:v>
                </c:pt>
                <c:pt idx="11">
                  <c:v>clay</c:v>
                </c:pt>
              </c:strCache>
            </c:strRef>
          </c:cat>
          <c:val>
            <c:numRef>
              <c:f>'Recreation &amp; culture'!$G$109:$G$120</c:f>
              <c:numCache>
                <c:formatCode>_(* #,##0_);_(* \(#,##0\);_(* "-"??_);_(@_)</c:formatCode>
                <c:ptCount val="12"/>
                <c:pt idx="0">
                  <c:v>1179375</c:v>
                </c:pt>
                <c:pt idx="1">
                  <c:v>197562.32500000001</c:v>
                </c:pt>
                <c:pt idx="2">
                  <c:v>116192.51565832642</c:v>
                </c:pt>
                <c:pt idx="3">
                  <c:v>166100</c:v>
                </c:pt>
                <c:pt idx="4">
                  <c:v>2265</c:v>
                </c:pt>
                <c:pt idx="5">
                  <c:v>47090</c:v>
                </c:pt>
                <c:pt idx="6">
                  <c:v>672.16666666666663</c:v>
                </c:pt>
                <c:pt idx="7">
                  <c:v>20117.020833333328</c:v>
                </c:pt>
                <c:pt idx="8">
                  <c:v>6788.9549999999999</c:v>
                </c:pt>
                <c:pt idx="9">
                  <c:v>57960</c:v>
                </c:pt>
                <c:pt idx="10">
                  <c:v>29200</c:v>
                </c:pt>
                <c:pt idx="11">
                  <c:v>105000</c:v>
                </c:pt>
              </c:numCache>
            </c:numRef>
          </c:val>
          <c:extLst>
            <c:ext xmlns:c16="http://schemas.microsoft.com/office/drawing/2014/chart" uri="{C3380CC4-5D6E-409C-BE32-E72D297353CC}">
              <c16:uniqueId val="{00000018-79AA-AF4A-A6A1-AEA2E0492A70}"/>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5A0C-BF46-A9AC-0E1555A3E869}"/>
              </c:ext>
            </c:extLst>
          </c:dPt>
          <c:dPt>
            <c:idx val="1"/>
            <c:bubble3D val="0"/>
            <c:spPr>
              <a:solidFill>
                <a:schemeClr val="accent2"/>
              </a:solidFill>
            </c:spPr>
            <c:extLst>
              <c:ext xmlns:c16="http://schemas.microsoft.com/office/drawing/2014/chart" uri="{C3380CC4-5D6E-409C-BE32-E72D297353CC}">
                <c16:uniqueId val="{00000003-5A0C-BF46-A9AC-0E1555A3E869}"/>
              </c:ext>
            </c:extLst>
          </c:dPt>
          <c:dPt>
            <c:idx val="2"/>
            <c:bubble3D val="0"/>
            <c:spPr>
              <a:solidFill>
                <a:schemeClr val="accent3"/>
              </a:solidFill>
            </c:spPr>
            <c:extLst>
              <c:ext xmlns:c16="http://schemas.microsoft.com/office/drawing/2014/chart" uri="{C3380CC4-5D6E-409C-BE32-E72D297353CC}">
                <c16:uniqueId val="{00000005-5A0C-BF46-A9AC-0E1555A3E869}"/>
              </c:ext>
            </c:extLst>
          </c:dPt>
          <c:dPt>
            <c:idx val="3"/>
            <c:bubble3D val="0"/>
            <c:spPr>
              <a:solidFill>
                <a:schemeClr val="accent4"/>
              </a:solidFill>
            </c:spPr>
            <c:extLst>
              <c:ext xmlns:c16="http://schemas.microsoft.com/office/drawing/2014/chart" uri="{C3380CC4-5D6E-409C-BE32-E72D297353CC}">
                <c16:uniqueId val="{00000007-5A0C-BF46-A9AC-0E1555A3E869}"/>
              </c:ext>
            </c:extLst>
          </c:dPt>
          <c:dPt>
            <c:idx val="4"/>
            <c:bubble3D val="0"/>
            <c:spPr>
              <a:solidFill>
                <a:schemeClr val="accent5"/>
              </a:solidFill>
            </c:spPr>
            <c:extLst>
              <c:ext xmlns:c16="http://schemas.microsoft.com/office/drawing/2014/chart" uri="{C3380CC4-5D6E-409C-BE32-E72D297353CC}">
                <c16:uniqueId val="{00000009-5A0C-BF46-A9AC-0E1555A3E869}"/>
              </c:ext>
            </c:extLst>
          </c:dPt>
          <c:dPt>
            <c:idx val="5"/>
            <c:bubble3D val="0"/>
            <c:spPr>
              <a:solidFill>
                <a:schemeClr val="accent6"/>
              </a:solidFill>
            </c:spPr>
            <c:extLst>
              <c:ext xmlns:c16="http://schemas.microsoft.com/office/drawing/2014/chart" uri="{C3380CC4-5D6E-409C-BE32-E72D297353CC}">
                <c16:uniqueId val="{0000000B-5A0C-BF46-A9AC-0E1555A3E869}"/>
              </c:ext>
            </c:extLst>
          </c:dPt>
          <c:dPt>
            <c:idx val="6"/>
            <c:bubble3D val="0"/>
            <c:spPr>
              <a:solidFill>
                <a:schemeClr val="accent1"/>
              </a:solidFill>
            </c:spPr>
            <c:extLst>
              <c:ext xmlns:c16="http://schemas.microsoft.com/office/drawing/2014/chart" uri="{C3380CC4-5D6E-409C-BE32-E72D297353CC}">
                <c16:uniqueId val="{0000000D-5A0C-BF46-A9AC-0E1555A3E869}"/>
              </c:ext>
            </c:extLst>
          </c:dPt>
          <c:dPt>
            <c:idx val="7"/>
            <c:bubble3D val="0"/>
            <c:spPr>
              <a:solidFill>
                <a:schemeClr val="accent2"/>
              </a:solidFill>
            </c:spPr>
            <c:extLst>
              <c:ext xmlns:c16="http://schemas.microsoft.com/office/drawing/2014/chart" uri="{C3380CC4-5D6E-409C-BE32-E72D297353CC}">
                <c16:uniqueId val="{0000000F-5A0C-BF46-A9AC-0E1555A3E869}"/>
              </c:ext>
            </c:extLst>
          </c:dPt>
          <c:dPt>
            <c:idx val="8"/>
            <c:bubble3D val="0"/>
            <c:spPr>
              <a:solidFill>
                <a:schemeClr val="accent3"/>
              </a:solidFill>
            </c:spPr>
            <c:extLst>
              <c:ext xmlns:c16="http://schemas.microsoft.com/office/drawing/2014/chart" uri="{C3380CC4-5D6E-409C-BE32-E72D297353CC}">
                <c16:uniqueId val="{00000011-5A0C-BF46-A9AC-0E1555A3E869}"/>
              </c:ext>
            </c:extLst>
          </c:dPt>
          <c:dPt>
            <c:idx val="9"/>
            <c:bubble3D val="0"/>
            <c:spPr>
              <a:solidFill>
                <a:schemeClr val="accent4"/>
              </a:solidFill>
            </c:spPr>
            <c:extLst>
              <c:ext xmlns:c16="http://schemas.microsoft.com/office/drawing/2014/chart" uri="{C3380CC4-5D6E-409C-BE32-E72D297353CC}">
                <c16:uniqueId val="{00000013-5A0C-BF46-A9AC-0E1555A3E869}"/>
              </c:ext>
            </c:extLst>
          </c:dPt>
          <c:dPt>
            <c:idx val="10"/>
            <c:bubble3D val="0"/>
            <c:spPr>
              <a:solidFill>
                <a:schemeClr val="accent5"/>
              </a:solidFill>
            </c:spPr>
            <c:extLst>
              <c:ext xmlns:c16="http://schemas.microsoft.com/office/drawing/2014/chart" uri="{C3380CC4-5D6E-409C-BE32-E72D297353CC}">
                <c16:uniqueId val="{00000015-5A0C-BF46-A9AC-0E1555A3E869}"/>
              </c:ext>
            </c:extLst>
          </c:dPt>
          <c:dPt>
            <c:idx val="11"/>
            <c:bubble3D val="0"/>
            <c:spPr>
              <a:solidFill>
                <a:schemeClr val="accent6"/>
              </a:solidFill>
            </c:spPr>
            <c:extLst>
              <c:ext xmlns:c16="http://schemas.microsoft.com/office/drawing/2014/chart" uri="{C3380CC4-5D6E-409C-BE32-E72D297353CC}">
                <c16:uniqueId val="{00000017-5A0C-BF46-A9AC-0E1555A3E869}"/>
              </c:ext>
            </c:extLst>
          </c:dPt>
          <c:dPt>
            <c:idx val="12"/>
            <c:bubble3D val="0"/>
            <c:spPr>
              <a:solidFill>
                <a:schemeClr val="accent1"/>
              </a:solidFill>
            </c:spPr>
            <c:extLst>
              <c:ext xmlns:c16="http://schemas.microsoft.com/office/drawing/2014/chart" uri="{C3380CC4-5D6E-409C-BE32-E72D297353CC}">
                <c16:uniqueId val="{00000019-5A0C-BF46-A9AC-0E1555A3E869}"/>
              </c:ext>
            </c:extLst>
          </c:dPt>
          <c:dPt>
            <c:idx val="13"/>
            <c:bubble3D val="0"/>
            <c:spPr>
              <a:solidFill>
                <a:schemeClr val="accent2"/>
              </a:solidFill>
            </c:spPr>
            <c:extLst>
              <c:ext xmlns:c16="http://schemas.microsoft.com/office/drawing/2014/chart" uri="{C3380CC4-5D6E-409C-BE32-E72D297353CC}">
                <c16:uniqueId val="{0000001B-5A0C-BF46-A9AC-0E1555A3E869}"/>
              </c:ext>
            </c:extLst>
          </c:dPt>
          <c:dPt>
            <c:idx val="14"/>
            <c:bubble3D val="0"/>
            <c:spPr>
              <a:solidFill>
                <a:schemeClr val="accent3"/>
              </a:solidFill>
            </c:spPr>
            <c:extLst>
              <c:ext xmlns:c16="http://schemas.microsoft.com/office/drawing/2014/chart" uri="{C3380CC4-5D6E-409C-BE32-E72D297353CC}">
                <c16:uniqueId val="{0000001D-5A0C-BF46-A9AC-0E1555A3E869}"/>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Security!$F$56:$F$70</c:f>
              <c:strCache>
                <c:ptCount val="15"/>
                <c:pt idx="0">
                  <c:v>concrete</c:v>
                </c:pt>
                <c:pt idx="1">
                  <c:v>carbon steel</c:v>
                </c:pt>
                <c:pt idx="2">
                  <c:v>OSB</c:v>
                </c:pt>
                <c:pt idx="3">
                  <c:v>softwood</c:v>
                </c:pt>
                <c:pt idx="4">
                  <c:v>Stucco</c:v>
                </c:pt>
                <c:pt idx="5">
                  <c:v>#15 FELT</c:v>
                </c:pt>
                <c:pt idx="6">
                  <c:v>glass mat gypsum board</c:v>
                </c:pt>
                <c:pt idx="7">
                  <c:v>solid modular brick</c:v>
                </c:pt>
                <c:pt idx="8">
                  <c:v>Type S mortar</c:v>
                </c:pt>
                <c:pt idx="9">
                  <c:v>Aluminum</c:v>
                </c:pt>
                <c:pt idx="10">
                  <c:v>Laminated glass</c:v>
                </c:pt>
                <c:pt idx="11">
                  <c:v>Polyvinyl Butyral (PVB) interlayer film</c:v>
                </c:pt>
                <c:pt idx="12">
                  <c:v>asphalt shingles</c:v>
                </c:pt>
                <c:pt idx="13">
                  <c:v>#30 felt</c:v>
                </c:pt>
                <c:pt idx="14">
                  <c:v>plywood</c:v>
                </c:pt>
              </c:strCache>
            </c:strRef>
          </c:cat>
          <c:val>
            <c:numRef>
              <c:f>Security!$G$56:$G$70</c:f>
              <c:numCache>
                <c:formatCode>_(* #,##0_);_(* \(#,##0\);_(* "-"??_);_(@_)</c:formatCode>
                <c:ptCount val="15"/>
                <c:pt idx="0">
                  <c:v>780825</c:v>
                </c:pt>
                <c:pt idx="1">
                  <c:v>30910.125</c:v>
                </c:pt>
                <c:pt idx="2">
                  <c:v>14184</c:v>
                </c:pt>
                <c:pt idx="3">
                  <c:v>56128.665000000008</c:v>
                </c:pt>
                <c:pt idx="4">
                  <c:v>57200</c:v>
                </c:pt>
                <c:pt idx="5">
                  <c:v>780</c:v>
                </c:pt>
                <c:pt idx="6">
                  <c:v>9880</c:v>
                </c:pt>
                <c:pt idx="7">
                  <c:v>32400</c:v>
                </c:pt>
                <c:pt idx="8">
                  <c:v>4320</c:v>
                </c:pt>
                <c:pt idx="9">
                  <c:v>1080</c:v>
                </c:pt>
                <c:pt idx="10">
                  <c:v>7110</c:v>
                </c:pt>
                <c:pt idx="11">
                  <c:v>367.2</c:v>
                </c:pt>
                <c:pt idx="12">
                  <c:v>19110</c:v>
                </c:pt>
                <c:pt idx="13">
                  <c:v>4214</c:v>
                </c:pt>
                <c:pt idx="14">
                  <c:v>0</c:v>
                </c:pt>
              </c:numCache>
            </c:numRef>
          </c:val>
          <c:extLst>
            <c:ext xmlns:c16="http://schemas.microsoft.com/office/drawing/2014/chart" uri="{C3380CC4-5D6E-409C-BE32-E72D297353CC}">
              <c16:uniqueId val="{0000001E-5A0C-BF46-A9AC-0E1555A3E86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000" b="0"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8C69-344E-8D9D-738CC710503D}"/>
              </c:ext>
            </c:extLst>
          </c:dPt>
          <c:dPt>
            <c:idx val="1"/>
            <c:bubble3D val="0"/>
            <c:spPr>
              <a:solidFill>
                <a:schemeClr val="accent2"/>
              </a:solidFill>
            </c:spPr>
            <c:extLst>
              <c:ext xmlns:c16="http://schemas.microsoft.com/office/drawing/2014/chart" uri="{C3380CC4-5D6E-409C-BE32-E72D297353CC}">
                <c16:uniqueId val="{00000003-8C69-344E-8D9D-738CC710503D}"/>
              </c:ext>
            </c:extLst>
          </c:dPt>
          <c:dPt>
            <c:idx val="2"/>
            <c:bubble3D val="0"/>
            <c:spPr>
              <a:solidFill>
                <a:schemeClr val="accent3"/>
              </a:solidFill>
            </c:spPr>
            <c:extLst>
              <c:ext xmlns:c16="http://schemas.microsoft.com/office/drawing/2014/chart" uri="{C3380CC4-5D6E-409C-BE32-E72D297353CC}">
                <c16:uniqueId val="{00000005-8C69-344E-8D9D-738CC710503D}"/>
              </c:ext>
            </c:extLst>
          </c:dPt>
          <c:dPt>
            <c:idx val="3"/>
            <c:bubble3D val="0"/>
            <c:spPr>
              <a:solidFill>
                <a:schemeClr val="accent4"/>
              </a:solidFill>
            </c:spPr>
            <c:extLst>
              <c:ext xmlns:c16="http://schemas.microsoft.com/office/drawing/2014/chart" uri="{C3380CC4-5D6E-409C-BE32-E72D297353CC}">
                <c16:uniqueId val="{00000007-8C69-344E-8D9D-738CC710503D}"/>
              </c:ext>
            </c:extLst>
          </c:dPt>
          <c:dPt>
            <c:idx val="4"/>
            <c:bubble3D val="0"/>
            <c:spPr>
              <a:solidFill>
                <a:schemeClr val="accent5"/>
              </a:solidFill>
            </c:spPr>
            <c:extLst>
              <c:ext xmlns:c16="http://schemas.microsoft.com/office/drawing/2014/chart" uri="{C3380CC4-5D6E-409C-BE32-E72D297353CC}">
                <c16:uniqueId val="{00000009-8C69-344E-8D9D-738CC710503D}"/>
              </c:ext>
            </c:extLst>
          </c:dPt>
          <c:dPt>
            <c:idx val="5"/>
            <c:bubble3D val="0"/>
            <c:spPr>
              <a:solidFill>
                <a:schemeClr val="accent6"/>
              </a:solidFill>
            </c:spPr>
            <c:extLst>
              <c:ext xmlns:c16="http://schemas.microsoft.com/office/drawing/2014/chart" uri="{C3380CC4-5D6E-409C-BE32-E72D297353CC}">
                <c16:uniqueId val="{0000000B-8C69-344E-8D9D-738CC710503D}"/>
              </c:ext>
            </c:extLst>
          </c:dPt>
          <c:dPt>
            <c:idx val="6"/>
            <c:bubble3D val="0"/>
            <c:spPr>
              <a:solidFill>
                <a:schemeClr val="accent1"/>
              </a:solidFill>
            </c:spPr>
            <c:extLst>
              <c:ext xmlns:c16="http://schemas.microsoft.com/office/drawing/2014/chart" uri="{C3380CC4-5D6E-409C-BE32-E72D297353CC}">
                <c16:uniqueId val="{0000000D-8C69-344E-8D9D-738CC710503D}"/>
              </c:ext>
            </c:extLst>
          </c:dPt>
          <c:dPt>
            <c:idx val="7"/>
            <c:bubble3D val="0"/>
            <c:spPr>
              <a:solidFill>
                <a:schemeClr val="accent2"/>
              </a:solidFill>
            </c:spPr>
            <c:extLst>
              <c:ext xmlns:c16="http://schemas.microsoft.com/office/drawing/2014/chart" uri="{C3380CC4-5D6E-409C-BE32-E72D297353CC}">
                <c16:uniqueId val="{0000000F-8C69-344E-8D9D-738CC710503D}"/>
              </c:ext>
            </c:extLst>
          </c:dPt>
          <c:dPt>
            <c:idx val="8"/>
            <c:bubble3D val="0"/>
            <c:spPr>
              <a:solidFill>
                <a:schemeClr val="accent3"/>
              </a:solidFill>
            </c:spPr>
            <c:extLst>
              <c:ext xmlns:c16="http://schemas.microsoft.com/office/drawing/2014/chart" uri="{C3380CC4-5D6E-409C-BE32-E72D297353CC}">
                <c16:uniqueId val="{00000011-8C69-344E-8D9D-738CC710503D}"/>
              </c:ext>
            </c:extLst>
          </c:dPt>
          <c:dPt>
            <c:idx val="9"/>
            <c:bubble3D val="0"/>
            <c:spPr>
              <a:solidFill>
                <a:schemeClr val="accent4"/>
              </a:solidFill>
            </c:spPr>
            <c:extLst>
              <c:ext xmlns:c16="http://schemas.microsoft.com/office/drawing/2014/chart" uri="{C3380CC4-5D6E-409C-BE32-E72D297353CC}">
                <c16:uniqueId val="{00000013-8C69-344E-8D9D-738CC710503D}"/>
              </c:ext>
            </c:extLst>
          </c:dPt>
          <c:dPt>
            <c:idx val="10"/>
            <c:bubble3D val="0"/>
            <c:spPr>
              <a:solidFill>
                <a:schemeClr val="accent5"/>
              </a:solidFill>
            </c:spPr>
            <c:extLst>
              <c:ext xmlns:c16="http://schemas.microsoft.com/office/drawing/2014/chart" uri="{C3380CC4-5D6E-409C-BE32-E72D297353CC}">
                <c16:uniqueId val="{00000015-8C69-344E-8D9D-738CC710503D}"/>
              </c:ext>
            </c:extLst>
          </c:dPt>
          <c:dPt>
            <c:idx val="11"/>
            <c:bubble3D val="0"/>
            <c:spPr>
              <a:solidFill>
                <a:schemeClr val="accent6"/>
              </a:solidFill>
            </c:spPr>
            <c:extLst>
              <c:ext xmlns:c16="http://schemas.microsoft.com/office/drawing/2014/chart" uri="{C3380CC4-5D6E-409C-BE32-E72D297353CC}">
                <c16:uniqueId val="{00000017-8C69-344E-8D9D-738CC710503D}"/>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Security!$F$74:$F$85</c:f>
              <c:strCache>
                <c:ptCount val="12"/>
                <c:pt idx="0">
                  <c:v>concrete</c:v>
                </c:pt>
                <c:pt idx="1">
                  <c:v>steel</c:v>
                </c:pt>
                <c:pt idx="2">
                  <c:v>wood</c:v>
                </c:pt>
                <c:pt idx="3">
                  <c:v>stucco</c:v>
                </c:pt>
                <c:pt idx="4">
                  <c:v>organic mat, asphalt coating</c:v>
                </c:pt>
                <c:pt idx="5">
                  <c:v>gypsum board</c:v>
                </c:pt>
                <c:pt idx="6">
                  <c:v>brick</c:v>
                </c:pt>
                <c:pt idx="7">
                  <c:v>mortar</c:v>
                </c:pt>
                <c:pt idx="8">
                  <c:v>Aluminum</c:v>
                </c:pt>
                <c:pt idx="9">
                  <c:v>Laminated glass</c:v>
                </c:pt>
                <c:pt idx="10">
                  <c:v>plastic</c:v>
                </c:pt>
                <c:pt idx="11">
                  <c:v>asphalt</c:v>
                </c:pt>
              </c:strCache>
            </c:strRef>
          </c:cat>
          <c:val>
            <c:numRef>
              <c:f>Security!$G$74:$G$85</c:f>
              <c:numCache>
                <c:formatCode>_(* #,##0_);_(* \(#,##0\);_(* "-"??_);_(@_)</c:formatCode>
                <c:ptCount val="12"/>
                <c:pt idx="0">
                  <c:v>780825</c:v>
                </c:pt>
                <c:pt idx="1">
                  <c:v>30910.125</c:v>
                </c:pt>
                <c:pt idx="2">
                  <c:v>70312.665000000008</c:v>
                </c:pt>
                <c:pt idx="3">
                  <c:v>57200</c:v>
                </c:pt>
                <c:pt idx="4">
                  <c:v>4994</c:v>
                </c:pt>
                <c:pt idx="5">
                  <c:v>9880</c:v>
                </c:pt>
                <c:pt idx="6">
                  <c:v>32400</c:v>
                </c:pt>
                <c:pt idx="7">
                  <c:v>4320</c:v>
                </c:pt>
                <c:pt idx="8">
                  <c:v>1080</c:v>
                </c:pt>
                <c:pt idx="9">
                  <c:v>7110</c:v>
                </c:pt>
                <c:pt idx="10">
                  <c:v>367.2</c:v>
                </c:pt>
                <c:pt idx="11">
                  <c:v>19110</c:v>
                </c:pt>
              </c:numCache>
            </c:numRef>
          </c:val>
          <c:extLst>
            <c:ext xmlns:c16="http://schemas.microsoft.com/office/drawing/2014/chart" uri="{C3380CC4-5D6E-409C-BE32-E72D297353CC}">
              <c16:uniqueId val="{00000018-8C69-344E-8D9D-738CC710503D}"/>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6BE0-BB44-864E-57B20D41F5FC}"/>
              </c:ext>
            </c:extLst>
          </c:dPt>
          <c:dPt>
            <c:idx val="1"/>
            <c:bubble3D val="0"/>
            <c:spPr>
              <a:solidFill>
                <a:schemeClr val="accent2"/>
              </a:solidFill>
            </c:spPr>
            <c:extLst>
              <c:ext xmlns:c16="http://schemas.microsoft.com/office/drawing/2014/chart" uri="{C3380CC4-5D6E-409C-BE32-E72D297353CC}">
                <c16:uniqueId val="{00000003-6BE0-BB44-864E-57B20D41F5FC}"/>
              </c:ext>
            </c:extLst>
          </c:dPt>
          <c:dPt>
            <c:idx val="2"/>
            <c:bubble3D val="0"/>
            <c:spPr>
              <a:solidFill>
                <a:schemeClr val="accent3"/>
              </a:solidFill>
            </c:spPr>
            <c:extLst>
              <c:ext xmlns:c16="http://schemas.microsoft.com/office/drawing/2014/chart" uri="{C3380CC4-5D6E-409C-BE32-E72D297353CC}">
                <c16:uniqueId val="{00000005-6BE0-BB44-864E-57B20D41F5FC}"/>
              </c:ext>
            </c:extLst>
          </c:dPt>
          <c:dPt>
            <c:idx val="3"/>
            <c:bubble3D val="0"/>
            <c:spPr>
              <a:solidFill>
                <a:schemeClr val="accent4"/>
              </a:solidFill>
            </c:spPr>
            <c:extLst>
              <c:ext xmlns:c16="http://schemas.microsoft.com/office/drawing/2014/chart" uri="{C3380CC4-5D6E-409C-BE32-E72D297353CC}">
                <c16:uniqueId val="{00000007-6BE0-BB44-864E-57B20D41F5FC}"/>
              </c:ext>
            </c:extLst>
          </c:dPt>
          <c:dPt>
            <c:idx val="4"/>
            <c:bubble3D val="0"/>
            <c:spPr>
              <a:solidFill>
                <a:schemeClr val="accent5"/>
              </a:solidFill>
            </c:spPr>
            <c:extLst>
              <c:ext xmlns:c16="http://schemas.microsoft.com/office/drawing/2014/chart" uri="{C3380CC4-5D6E-409C-BE32-E72D297353CC}">
                <c16:uniqueId val="{00000009-6BE0-BB44-864E-57B20D41F5FC}"/>
              </c:ext>
            </c:extLst>
          </c:dPt>
          <c:dPt>
            <c:idx val="5"/>
            <c:bubble3D val="0"/>
            <c:spPr>
              <a:solidFill>
                <a:schemeClr val="accent6"/>
              </a:solidFill>
            </c:spPr>
            <c:extLst>
              <c:ext xmlns:c16="http://schemas.microsoft.com/office/drawing/2014/chart" uri="{C3380CC4-5D6E-409C-BE32-E72D297353CC}">
                <c16:uniqueId val="{0000000B-6BE0-BB44-864E-57B20D41F5FC}"/>
              </c:ext>
            </c:extLst>
          </c:dPt>
          <c:dPt>
            <c:idx val="6"/>
            <c:bubble3D val="0"/>
            <c:spPr>
              <a:solidFill>
                <a:schemeClr val="accent1"/>
              </a:solidFill>
            </c:spPr>
            <c:extLst>
              <c:ext xmlns:c16="http://schemas.microsoft.com/office/drawing/2014/chart" uri="{C3380CC4-5D6E-409C-BE32-E72D297353CC}">
                <c16:uniqueId val="{0000000D-6BE0-BB44-864E-57B20D41F5FC}"/>
              </c:ext>
            </c:extLst>
          </c:dPt>
          <c:dPt>
            <c:idx val="7"/>
            <c:bubble3D val="0"/>
            <c:spPr>
              <a:solidFill>
                <a:schemeClr val="accent2"/>
              </a:solidFill>
            </c:spPr>
            <c:extLst>
              <c:ext xmlns:c16="http://schemas.microsoft.com/office/drawing/2014/chart" uri="{C3380CC4-5D6E-409C-BE32-E72D297353CC}">
                <c16:uniqueId val="{0000000F-6BE0-BB44-864E-57B20D41F5FC}"/>
              </c:ext>
            </c:extLst>
          </c:dPt>
          <c:dPt>
            <c:idx val="8"/>
            <c:bubble3D val="0"/>
            <c:spPr>
              <a:solidFill>
                <a:schemeClr val="accent3"/>
              </a:solidFill>
            </c:spPr>
            <c:extLst>
              <c:ext xmlns:c16="http://schemas.microsoft.com/office/drawing/2014/chart" uri="{C3380CC4-5D6E-409C-BE32-E72D297353CC}">
                <c16:uniqueId val="{00000011-6BE0-BB44-864E-57B20D41F5FC}"/>
              </c:ext>
            </c:extLst>
          </c:dPt>
          <c:dPt>
            <c:idx val="9"/>
            <c:bubble3D val="0"/>
            <c:spPr>
              <a:solidFill>
                <a:schemeClr val="accent4"/>
              </a:solidFill>
            </c:spPr>
            <c:extLst>
              <c:ext xmlns:c16="http://schemas.microsoft.com/office/drawing/2014/chart" uri="{C3380CC4-5D6E-409C-BE32-E72D297353CC}">
                <c16:uniqueId val="{00000013-6BE0-BB44-864E-57B20D41F5FC}"/>
              </c:ext>
            </c:extLst>
          </c:dPt>
          <c:dPt>
            <c:idx val="10"/>
            <c:bubble3D val="0"/>
            <c:spPr>
              <a:solidFill>
                <a:schemeClr val="accent5"/>
              </a:solidFill>
            </c:spPr>
            <c:extLst>
              <c:ext xmlns:c16="http://schemas.microsoft.com/office/drawing/2014/chart" uri="{C3380CC4-5D6E-409C-BE32-E72D297353CC}">
                <c16:uniqueId val="{00000015-6BE0-BB44-864E-57B20D41F5FC}"/>
              </c:ext>
            </c:extLst>
          </c:dPt>
          <c:dPt>
            <c:idx val="11"/>
            <c:bubble3D val="0"/>
            <c:spPr>
              <a:solidFill>
                <a:schemeClr val="accent6"/>
              </a:solidFill>
            </c:spPr>
            <c:extLst>
              <c:ext xmlns:c16="http://schemas.microsoft.com/office/drawing/2014/chart" uri="{C3380CC4-5D6E-409C-BE32-E72D297353CC}">
                <c16:uniqueId val="{00000017-6BE0-BB44-864E-57B20D41F5FC}"/>
              </c:ext>
            </c:extLst>
          </c:dPt>
          <c:dPt>
            <c:idx val="12"/>
            <c:bubble3D val="0"/>
            <c:spPr>
              <a:solidFill>
                <a:schemeClr val="accent1"/>
              </a:solidFill>
            </c:spPr>
            <c:extLst>
              <c:ext xmlns:c16="http://schemas.microsoft.com/office/drawing/2014/chart" uri="{C3380CC4-5D6E-409C-BE32-E72D297353CC}">
                <c16:uniqueId val="{00000019-6BE0-BB44-864E-57B20D41F5FC}"/>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'Ship operational'!$F$55:$F$67</c:f>
              <c:strCache>
                <c:ptCount val="13"/>
                <c:pt idx="0">
                  <c:v>concrete</c:v>
                </c:pt>
                <c:pt idx="1">
                  <c:v>carbon steel</c:v>
                </c:pt>
                <c:pt idx="2">
                  <c:v>cold-formed, structural steel</c:v>
                </c:pt>
                <c:pt idx="3">
                  <c:v>hot-rolled, structural steel</c:v>
                </c:pt>
                <c:pt idx="4">
                  <c:v>cold-formed, galvanized steel</c:v>
                </c:pt>
                <c:pt idx="5">
                  <c:v>Laminated glass</c:v>
                </c:pt>
                <c:pt idx="6">
                  <c:v>Polyvinyl Butyral (PVB) interlayer film</c:v>
                </c:pt>
                <c:pt idx="7">
                  <c:v>aluminum</c:v>
                </c:pt>
                <c:pt idx="8">
                  <c:v>#15 felt</c:v>
                </c:pt>
                <c:pt idx="9">
                  <c:v>#30 felt</c:v>
                </c:pt>
                <c:pt idx="10">
                  <c:v>polyisocyanurate foam</c:v>
                </c:pt>
                <c:pt idx="11">
                  <c:v>glass mat gypsum board</c:v>
                </c:pt>
                <c:pt idx="12">
                  <c:v>plywood</c:v>
                </c:pt>
              </c:strCache>
            </c:strRef>
          </c:cat>
          <c:val>
            <c:numRef>
              <c:f>'Ship operational'!$G$55:$G$67</c:f>
              <c:numCache>
                <c:formatCode>_(* #,##0_);_(* \(#,##0\);_(* "-"??_);_(@_)</c:formatCode>
                <c:ptCount val="13"/>
                <c:pt idx="0">
                  <c:v>1774125</c:v>
                </c:pt>
                <c:pt idx="1">
                  <c:v>63202.5</c:v>
                </c:pt>
                <c:pt idx="2">
                  <c:v>28504</c:v>
                </c:pt>
                <c:pt idx="3">
                  <c:v>36288</c:v>
                </c:pt>
                <c:pt idx="4">
                  <c:v>57560</c:v>
                </c:pt>
                <c:pt idx="5">
                  <c:v>5727.5</c:v>
                </c:pt>
                <c:pt idx="6">
                  <c:v>295.8</c:v>
                </c:pt>
                <c:pt idx="7">
                  <c:v>11379.999999999998</c:v>
                </c:pt>
                <c:pt idx="8">
                  <c:v>1575</c:v>
                </c:pt>
                <c:pt idx="9">
                  <c:v>4300</c:v>
                </c:pt>
                <c:pt idx="10">
                  <c:v>16875</c:v>
                </c:pt>
                <c:pt idx="11">
                  <c:v>21875</c:v>
                </c:pt>
                <c:pt idx="12">
                  <c:v>31200</c:v>
                </c:pt>
              </c:numCache>
            </c:numRef>
          </c:val>
          <c:extLst>
            <c:ext xmlns:c16="http://schemas.microsoft.com/office/drawing/2014/chart" uri="{C3380CC4-5D6E-409C-BE32-E72D297353CC}">
              <c16:uniqueId val="{0000001A-6BE0-BB44-864E-57B20D41F5F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3959-D44A-AEB0-0DCC18DF7555}"/>
              </c:ext>
            </c:extLst>
          </c:dPt>
          <c:dPt>
            <c:idx val="1"/>
            <c:bubble3D val="0"/>
            <c:spPr>
              <a:solidFill>
                <a:schemeClr val="accent2"/>
              </a:solidFill>
            </c:spPr>
            <c:extLst>
              <c:ext xmlns:c16="http://schemas.microsoft.com/office/drawing/2014/chart" uri="{C3380CC4-5D6E-409C-BE32-E72D297353CC}">
                <c16:uniqueId val="{00000003-3959-D44A-AEB0-0DCC18DF7555}"/>
              </c:ext>
            </c:extLst>
          </c:dPt>
          <c:dPt>
            <c:idx val="2"/>
            <c:bubble3D val="0"/>
            <c:spPr>
              <a:solidFill>
                <a:schemeClr val="accent3"/>
              </a:solidFill>
            </c:spPr>
            <c:extLst>
              <c:ext xmlns:c16="http://schemas.microsoft.com/office/drawing/2014/chart" uri="{C3380CC4-5D6E-409C-BE32-E72D297353CC}">
                <c16:uniqueId val="{00000005-3959-D44A-AEB0-0DCC18DF7555}"/>
              </c:ext>
            </c:extLst>
          </c:dPt>
          <c:dPt>
            <c:idx val="3"/>
            <c:bubble3D val="0"/>
            <c:spPr>
              <a:solidFill>
                <a:schemeClr val="accent4"/>
              </a:solidFill>
            </c:spPr>
            <c:extLst>
              <c:ext xmlns:c16="http://schemas.microsoft.com/office/drawing/2014/chart" uri="{C3380CC4-5D6E-409C-BE32-E72D297353CC}">
                <c16:uniqueId val="{00000007-3959-D44A-AEB0-0DCC18DF7555}"/>
              </c:ext>
            </c:extLst>
          </c:dPt>
          <c:dPt>
            <c:idx val="4"/>
            <c:bubble3D val="0"/>
            <c:spPr>
              <a:solidFill>
                <a:schemeClr val="accent5"/>
              </a:solidFill>
            </c:spPr>
            <c:extLst>
              <c:ext xmlns:c16="http://schemas.microsoft.com/office/drawing/2014/chart" uri="{C3380CC4-5D6E-409C-BE32-E72D297353CC}">
                <c16:uniqueId val="{00000009-3959-D44A-AEB0-0DCC18DF7555}"/>
              </c:ext>
            </c:extLst>
          </c:dPt>
          <c:dPt>
            <c:idx val="5"/>
            <c:bubble3D val="0"/>
            <c:spPr>
              <a:solidFill>
                <a:schemeClr val="accent6"/>
              </a:solidFill>
            </c:spPr>
            <c:extLst>
              <c:ext xmlns:c16="http://schemas.microsoft.com/office/drawing/2014/chart" uri="{C3380CC4-5D6E-409C-BE32-E72D297353CC}">
                <c16:uniqueId val="{0000000B-3959-D44A-AEB0-0DCC18DF7555}"/>
              </c:ext>
            </c:extLst>
          </c:dPt>
          <c:dPt>
            <c:idx val="6"/>
            <c:bubble3D val="0"/>
            <c:spPr>
              <a:solidFill>
                <a:schemeClr val="accent1"/>
              </a:solidFill>
            </c:spPr>
            <c:extLst>
              <c:ext xmlns:c16="http://schemas.microsoft.com/office/drawing/2014/chart" uri="{C3380CC4-5D6E-409C-BE32-E72D297353CC}">
                <c16:uniqueId val="{0000000D-3959-D44A-AEB0-0DCC18DF7555}"/>
              </c:ext>
            </c:extLst>
          </c:dPt>
          <c:dPt>
            <c:idx val="7"/>
            <c:bubble3D val="0"/>
            <c:spPr>
              <a:solidFill>
                <a:schemeClr val="accent2"/>
              </a:solidFill>
            </c:spPr>
            <c:extLst>
              <c:ext xmlns:c16="http://schemas.microsoft.com/office/drawing/2014/chart" uri="{C3380CC4-5D6E-409C-BE32-E72D297353CC}">
                <c16:uniqueId val="{0000000F-3959-D44A-AEB0-0DCC18DF7555}"/>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'Ship operational'!$F$71:$F$78</c:f>
              <c:strCache>
                <c:ptCount val="8"/>
                <c:pt idx="0">
                  <c:v>concrete</c:v>
                </c:pt>
                <c:pt idx="1">
                  <c:v>steel</c:v>
                </c:pt>
                <c:pt idx="2">
                  <c:v>wood</c:v>
                </c:pt>
                <c:pt idx="3">
                  <c:v>Glass</c:v>
                </c:pt>
                <c:pt idx="4">
                  <c:v>plastic</c:v>
                </c:pt>
                <c:pt idx="5">
                  <c:v>aluminum</c:v>
                </c:pt>
                <c:pt idx="6">
                  <c:v>gypsum board</c:v>
                </c:pt>
                <c:pt idx="7">
                  <c:v>organic mat, asphalt coating</c:v>
                </c:pt>
              </c:strCache>
            </c:strRef>
          </c:cat>
          <c:val>
            <c:numRef>
              <c:f>'Ship operational'!$G$71:$G$78</c:f>
              <c:numCache>
                <c:formatCode>_(* #,##0_);_(* \(#,##0\);_(* "-"??_);_(@_)</c:formatCode>
                <c:ptCount val="8"/>
                <c:pt idx="0">
                  <c:v>1774125</c:v>
                </c:pt>
                <c:pt idx="1">
                  <c:v>185554.5</c:v>
                </c:pt>
                <c:pt idx="2">
                  <c:v>31200</c:v>
                </c:pt>
                <c:pt idx="3">
                  <c:v>5727.5</c:v>
                </c:pt>
                <c:pt idx="4">
                  <c:v>17170.8</c:v>
                </c:pt>
                <c:pt idx="5">
                  <c:v>11379.999999999998</c:v>
                </c:pt>
                <c:pt idx="6">
                  <c:v>21875</c:v>
                </c:pt>
                <c:pt idx="7">
                  <c:v>5875</c:v>
                </c:pt>
              </c:numCache>
            </c:numRef>
          </c:val>
          <c:extLst>
            <c:ext xmlns:c16="http://schemas.microsoft.com/office/drawing/2014/chart" uri="{C3380CC4-5D6E-409C-BE32-E72D297353CC}">
              <c16:uniqueId val="{00000010-3959-D44A-AEB0-0DCC18DF7555}"/>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4D4-184F-B6AA-508EADD07766}"/>
              </c:ext>
            </c:extLst>
          </c:dPt>
          <c:dPt>
            <c:idx val="1"/>
            <c:bubble3D val="0"/>
            <c:spPr>
              <a:solidFill>
                <a:schemeClr val="accent2"/>
              </a:solidFill>
            </c:spPr>
            <c:extLst>
              <c:ext xmlns:c16="http://schemas.microsoft.com/office/drawing/2014/chart" uri="{C3380CC4-5D6E-409C-BE32-E72D297353CC}">
                <c16:uniqueId val="{00000003-04D4-184F-B6AA-508EADD07766}"/>
              </c:ext>
            </c:extLst>
          </c:dPt>
          <c:dPt>
            <c:idx val="2"/>
            <c:bubble3D val="0"/>
            <c:spPr>
              <a:solidFill>
                <a:schemeClr val="accent3"/>
              </a:solidFill>
            </c:spPr>
            <c:extLst>
              <c:ext xmlns:c16="http://schemas.microsoft.com/office/drawing/2014/chart" uri="{C3380CC4-5D6E-409C-BE32-E72D297353CC}">
                <c16:uniqueId val="{00000005-04D4-184F-B6AA-508EADD07766}"/>
              </c:ext>
            </c:extLst>
          </c:dPt>
          <c:dPt>
            <c:idx val="3"/>
            <c:bubble3D val="0"/>
            <c:spPr>
              <a:solidFill>
                <a:schemeClr val="accent4"/>
              </a:solidFill>
            </c:spPr>
            <c:extLst>
              <c:ext xmlns:c16="http://schemas.microsoft.com/office/drawing/2014/chart" uri="{C3380CC4-5D6E-409C-BE32-E72D297353CC}">
                <c16:uniqueId val="{00000007-04D4-184F-B6AA-508EADD07766}"/>
              </c:ext>
            </c:extLst>
          </c:dPt>
          <c:dPt>
            <c:idx val="4"/>
            <c:bubble3D val="0"/>
            <c:spPr>
              <a:solidFill>
                <a:schemeClr val="accent5"/>
              </a:solidFill>
            </c:spPr>
            <c:extLst>
              <c:ext xmlns:c16="http://schemas.microsoft.com/office/drawing/2014/chart" uri="{C3380CC4-5D6E-409C-BE32-E72D297353CC}">
                <c16:uniqueId val="{00000009-04D4-184F-B6AA-508EADD07766}"/>
              </c:ext>
            </c:extLst>
          </c:dPt>
          <c:dPt>
            <c:idx val="5"/>
            <c:bubble3D val="0"/>
            <c:spPr>
              <a:solidFill>
                <a:schemeClr val="accent6"/>
              </a:solidFill>
            </c:spPr>
            <c:extLst>
              <c:ext xmlns:c16="http://schemas.microsoft.com/office/drawing/2014/chart" uri="{C3380CC4-5D6E-409C-BE32-E72D297353CC}">
                <c16:uniqueId val="{0000000B-04D4-184F-B6AA-508EADD07766}"/>
              </c:ext>
            </c:extLst>
          </c:dPt>
          <c:dPt>
            <c:idx val="6"/>
            <c:bubble3D val="0"/>
            <c:spPr>
              <a:solidFill>
                <a:schemeClr val="accent1"/>
              </a:solidFill>
            </c:spPr>
            <c:extLst>
              <c:ext xmlns:c16="http://schemas.microsoft.com/office/drawing/2014/chart" uri="{C3380CC4-5D6E-409C-BE32-E72D297353CC}">
                <c16:uniqueId val="{0000000D-04D4-184F-B6AA-508EADD07766}"/>
              </c:ext>
            </c:extLst>
          </c:dPt>
          <c:dPt>
            <c:idx val="7"/>
            <c:bubble3D val="0"/>
            <c:spPr>
              <a:solidFill>
                <a:schemeClr val="accent2"/>
              </a:solidFill>
            </c:spPr>
            <c:extLst>
              <c:ext xmlns:c16="http://schemas.microsoft.com/office/drawing/2014/chart" uri="{C3380CC4-5D6E-409C-BE32-E72D297353CC}">
                <c16:uniqueId val="{0000000F-04D4-184F-B6AA-508EADD07766}"/>
              </c:ext>
            </c:extLst>
          </c:dPt>
          <c:dPt>
            <c:idx val="8"/>
            <c:bubble3D val="0"/>
            <c:spPr>
              <a:solidFill>
                <a:schemeClr val="accent3"/>
              </a:solidFill>
            </c:spPr>
            <c:extLst>
              <c:ext xmlns:c16="http://schemas.microsoft.com/office/drawing/2014/chart" uri="{C3380CC4-5D6E-409C-BE32-E72D297353CC}">
                <c16:uniqueId val="{00000011-04D4-184F-B6AA-508EADD07766}"/>
              </c:ext>
            </c:extLst>
          </c:dPt>
          <c:dPt>
            <c:idx val="9"/>
            <c:bubble3D val="0"/>
            <c:spPr>
              <a:solidFill>
                <a:schemeClr val="accent4"/>
              </a:solidFill>
            </c:spPr>
            <c:extLst>
              <c:ext xmlns:c16="http://schemas.microsoft.com/office/drawing/2014/chart" uri="{C3380CC4-5D6E-409C-BE32-E72D297353CC}">
                <c16:uniqueId val="{00000013-04D4-184F-B6AA-508EADD07766}"/>
              </c:ext>
            </c:extLst>
          </c:dPt>
          <c:dPt>
            <c:idx val="10"/>
            <c:bubble3D val="0"/>
            <c:spPr>
              <a:solidFill>
                <a:schemeClr val="accent5"/>
              </a:solidFill>
            </c:spPr>
            <c:extLst>
              <c:ext xmlns:c16="http://schemas.microsoft.com/office/drawing/2014/chart" uri="{C3380CC4-5D6E-409C-BE32-E72D297353CC}">
                <c16:uniqueId val="{00000015-04D4-184F-B6AA-508EADD07766}"/>
              </c:ext>
            </c:extLst>
          </c:dPt>
          <c:dPt>
            <c:idx val="11"/>
            <c:bubble3D val="0"/>
            <c:spPr>
              <a:solidFill>
                <a:schemeClr val="accent6"/>
              </a:solidFill>
            </c:spPr>
            <c:extLst>
              <c:ext xmlns:c16="http://schemas.microsoft.com/office/drawing/2014/chart" uri="{C3380CC4-5D6E-409C-BE32-E72D297353CC}">
                <c16:uniqueId val="{00000017-04D4-184F-B6AA-508EADD07766}"/>
              </c:ext>
            </c:extLst>
          </c:dPt>
          <c:dPt>
            <c:idx val="12"/>
            <c:bubble3D val="0"/>
            <c:spPr>
              <a:solidFill>
                <a:schemeClr val="accent1"/>
              </a:solidFill>
            </c:spPr>
            <c:extLst>
              <c:ext xmlns:c16="http://schemas.microsoft.com/office/drawing/2014/chart" uri="{C3380CC4-5D6E-409C-BE32-E72D297353CC}">
                <c16:uniqueId val="{00000019-04D4-184F-B6AA-508EADD07766}"/>
              </c:ext>
            </c:extLst>
          </c:dPt>
          <c:dPt>
            <c:idx val="13"/>
            <c:bubble3D val="0"/>
            <c:spPr>
              <a:solidFill>
                <a:schemeClr val="accent2"/>
              </a:solidFill>
            </c:spPr>
            <c:extLst>
              <c:ext xmlns:c16="http://schemas.microsoft.com/office/drawing/2014/chart" uri="{C3380CC4-5D6E-409C-BE32-E72D297353CC}">
                <c16:uniqueId val="{0000001B-04D4-184F-B6AA-508EADD07766}"/>
              </c:ext>
            </c:extLst>
          </c:dPt>
          <c:dPt>
            <c:idx val="14"/>
            <c:bubble3D val="0"/>
            <c:spPr>
              <a:solidFill>
                <a:schemeClr val="accent3"/>
              </a:solidFill>
            </c:spPr>
            <c:extLst>
              <c:ext xmlns:c16="http://schemas.microsoft.com/office/drawing/2014/chart" uri="{C3380CC4-5D6E-409C-BE32-E72D297353CC}">
                <c16:uniqueId val="{0000001D-04D4-184F-B6AA-508EADD07766}"/>
              </c:ext>
            </c:extLst>
          </c:dPt>
          <c:dPt>
            <c:idx val="15"/>
            <c:bubble3D val="0"/>
            <c:spPr>
              <a:solidFill>
                <a:schemeClr val="accent4"/>
              </a:solidFill>
            </c:spPr>
            <c:extLst>
              <c:ext xmlns:c16="http://schemas.microsoft.com/office/drawing/2014/chart" uri="{C3380CC4-5D6E-409C-BE32-E72D297353CC}">
                <c16:uniqueId val="{0000001F-04D4-184F-B6AA-508EADD07766}"/>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'Store (retail &amp; grocery)'!$F$75:$F$90</c:f>
              <c:strCache>
                <c:ptCount val="16"/>
                <c:pt idx="0">
                  <c:v>concrete</c:v>
                </c:pt>
                <c:pt idx="1">
                  <c:v>carbon steel</c:v>
                </c:pt>
                <c:pt idx="2">
                  <c:v>cold-formed, structural steel</c:v>
                </c:pt>
                <c:pt idx="3">
                  <c:v>cold-formed, galvanized steel</c:v>
                </c:pt>
                <c:pt idx="4">
                  <c:v>hot-rolled, structural steel</c:v>
                </c:pt>
                <c:pt idx="5">
                  <c:v>stucco</c:v>
                </c:pt>
                <c:pt idx="6">
                  <c:v>#15 felt</c:v>
                </c:pt>
                <c:pt idx="7">
                  <c:v>glass mat gypsum board</c:v>
                </c:pt>
                <c:pt idx="8">
                  <c:v>polyisocyanurate foam board</c:v>
                </c:pt>
                <c:pt idx="9">
                  <c:v>laminated glass</c:v>
                </c:pt>
                <c:pt idx="10">
                  <c:v>Polyvinyl Butyral (PVB) interlayer film</c:v>
                </c:pt>
                <c:pt idx="11">
                  <c:v>aluminum</c:v>
                </c:pt>
                <c:pt idx="12">
                  <c:v>aluminum, 20% recycled</c:v>
                </c:pt>
                <c:pt idx="13">
                  <c:v>#30 felt</c:v>
                </c:pt>
                <c:pt idx="14">
                  <c:v>plywood</c:v>
                </c:pt>
                <c:pt idx="15">
                  <c:v>concrete masonry unit</c:v>
                </c:pt>
              </c:strCache>
            </c:strRef>
          </c:cat>
          <c:val>
            <c:numRef>
              <c:f>'Store (retail &amp; grocery)'!$G$75:$G$90</c:f>
              <c:numCache>
                <c:formatCode>_(* #,##0_);_(* \(#,##0\);_(* "-"??_);_(@_)</c:formatCode>
                <c:ptCount val="16"/>
                <c:pt idx="0">
                  <c:v>13673558.333333334</c:v>
                </c:pt>
                <c:pt idx="1">
                  <c:v>571773.83888888883</c:v>
                </c:pt>
                <c:pt idx="2">
                  <c:v>824160</c:v>
                </c:pt>
                <c:pt idx="3">
                  <c:v>288720</c:v>
                </c:pt>
                <c:pt idx="4">
                  <c:v>208080</c:v>
                </c:pt>
                <c:pt idx="5">
                  <c:v>242000</c:v>
                </c:pt>
                <c:pt idx="6">
                  <c:v>3750</c:v>
                </c:pt>
                <c:pt idx="7">
                  <c:v>48050</c:v>
                </c:pt>
                <c:pt idx="8">
                  <c:v>101250</c:v>
                </c:pt>
                <c:pt idx="9">
                  <c:v>15141.666666666666</c:v>
                </c:pt>
                <c:pt idx="10">
                  <c:v>782</c:v>
                </c:pt>
                <c:pt idx="11">
                  <c:v>91927.249999999985</c:v>
                </c:pt>
                <c:pt idx="12">
                  <c:v>11470.875</c:v>
                </c:pt>
                <c:pt idx="13">
                  <c:v>34400</c:v>
                </c:pt>
                <c:pt idx="14">
                  <c:v>249600</c:v>
                </c:pt>
                <c:pt idx="15">
                  <c:v>600000</c:v>
                </c:pt>
              </c:numCache>
            </c:numRef>
          </c:val>
          <c:extLst>
            <c:ext xmlns:c16="http://schemas.microsoft.com/office/drawing/2014/chart" uri="{C3380CC4-5D6E-409C-BE32-E72D297353CC}">
              <c16:uniqueId val="{00000020-04D4-184F-B6AA-508EADD0776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25D-1A46-B885-D98EC763ABC6}"/>
              </c:ext>
            </c:extLst>
          </c:dPt>
          <c:dPt>
            <c:idx val="1"/>
            <c:bubble3D val="0"/>
            <c:spPr>
              <a:solidFill>
                <a:schemeClr val="accent2"/>
              </a:solidFill>
            </c:spPr>
            <c:extLst>
              <c:ext xmlns:c16="http://schemas.microsoft.com/office/drawing/2014/chart" uri="{C3380CC4-5D6E-409C-BE32-E72D297353CC}">
                <c16:uniqueId val="{00000003-025D-1A46-B885-D98EC763ABC6}"/>
              </c:ext>
            </c:extLst>
          </c:dPt>
          <c:dPt>
            <c:idx val="2"/>
            <c:bubble3D val="0"/>
            <c:spPr>
              <a:solidFill>
                <a:schemeClr val="accent3"/>
              </a:solidFill>
            </c:spPr>
            <c:extLst>
              <c:ext xmlns:c16="http://schemas.microsoft.com/office/drawing/2014/chart" uri="{C3380CC4-5D6E-409C-BE32-E72D297353CC}">
                <c16:uniqueId val="{00000005-025D-1A46-B885-D98EC763ABC6}"/>
              </c:ext>
            </c:extLst>
          </c:dPt>
          <c:dPt>
            <c:idx val="3"/>
            <c:bubble3D val="0"/>
            <c:spPr>
              <a:solidFill>
                <a:schemeClr val="accent4"/>
              </a:solidFill>
            </c:spPr>
            <c:extLst>
              <c:ext xmlns:c16="http://schemas.microsoft.com/office/drawing/2014/chart" uri="{C3380CC4-5D6E-409C-BE32-E72D297353CC}">
                <c16:uniqueId val="{00000007-025D-1A46-B885-D98EC763ABC6}"/>
              </c:ext>
            </c:extLst>
          </c:dPt>
          <c:dPt>
            <c:idx val="4"/>
            <c:bubble3D val="0"/>
            <c:spPr>
              <a:solidFill>
                <a:schemeClr val="accent5"/>
              </a:solidFill>
            </c:spPr>
            <c:extLst>
              <c:ext xmlns:c16="http://schemas.microsoft.com/office/drawing/2014/chart" uri="{C3380CC4-5D6E-409C-BE32-E72D297353CC}">
                <c16:uniqueId val="{00000009-025D-1A46-B885-D98EC763ABC6}"/>
              </c:ext>
            </c:extLst>
          </c:dPt>
          <c:dPt>
            <c:idx val="5"/>
            <c:bubble3D val="0"/>
            <c:spPr>
              <a:solidFill>
                <a:schemeClr val="accent6"/>
              </a:solidFill>
            </c:spPr>
            <c:extLst>
              <c:ext xmlns:c16="http://schemas.microsoft.com/office/drawing/2014/chart" uri="{C3380CC4-5D6E-409C-BE32-E72D297353CC}">
                <c16:uniqueId val="{0000000B-025D-1A46-B885-D98EC763ABC6}"/>
              </c:ext>
            </c:extLst>
          </c:dPt>
          <c:dPt>
            <c:idx val="6"/>
            <c:bubble3D val="0"/>
            <c:spPr>
              <a:solidFill>
                <a:schemeClr val="accent1"/>
              </a:solidFill>
            </c:spPr>
            <c:extLst>
              <c:ext xmlns:c16="http://schemas.microsoft.com/office/drawing/2014/chart" uri="{C3380CC4-5D6E-409C-BE32-E72D297353CC}">
                <c16:uniqueId val="{0000000D-025D-1A46-B885-D98EC763ABC6}"/>
              </c:ext>
            </c:extLst>
          </c:dPt>
          <c:dPt>
            <c:idx val="7"/>
            <c:bubble3D val="0"/>
            <c:spPr>
              <a:solidFill>
                <a:schemeClr val="accent2"/>
              </a:solidFill>
            </c:spPr>
            <c:extLst>
              <c:ext xmlns:c16="http://schemas.microsoft.com/office/drawing/2014/chart" uri="{C3380CC4-5D6E-409C-BE32-E72D297353CC}">
                <c16:uniqueId val="{0000000F-025D-1A46-B885-D98EC763ABC6}"/>
              </c:ext>
            </c:extLst>
          </c:dPt>
          <c:dPt>
            <c:idx val="8"/>
            <c:bubble3D val="0"/>
            <c:spPr>
              <a:solidFill>
                <a:schemeClr val="accent3"/>
              </a:solidFill>
            </c:spPr>
            <c:extLst>
              <c:ext xmlns:c16="http://schemas.microsoft.com/office/drawing/2014/chart" uri="{C3380CC4-5D6E-409C-BE32-E72D297353CC}">
                <c16:uniqueId val="{00000011-025D-1A46-B885-D98EC763ABC6}"/>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'Store (retail &amp; grocery)'!$F$94:$F$102</c:f>
              <c:strCache>
                <c:ptCount val="9"/>
                <c:pt idx="0">
                  <c:v>concrete</c:v>
                </c:pt>
                <c:pt idx="1">
                  <c:v>steel</c:v>
                </c:pt>
                <c:pt idx="2">
                  <c:v>stucco</c:v>
                </c:pt>
                <c:pt idx="3">
                  <c:v>organic mat, asphalt coating</c:v>
                </c:pt>
                <c:pt idx="4">
                  <c:v>gypsum board</c:v>
                </c:pt>
                <c:pt idx="5">
                  <c:v>plastic</c:v>
                </c:pt>
                <c:pt idx="6">
                  <c:v>Glass</c:v>
                </c:pt>
                <c:pt idx="7">
                  <c:v>aluminum</c:v>
                </c:pt>
                <c:pt idx="8">
                  <c:v>wood</c:v>
                </c:pt>
              </c:strCache>
            </c:strRef>
          </c:cat>
          <c:val>
            <c:numRef>
              <c:f>'Store (retail &amp; grocery)'!$G$94:$G$102</c:f>
              <c:numCache>
                <c:formatCode>_(* #,##0_);_(* \(#,##0\);_(* "-"??_);_(@_)</c:formatCode>
                <c:ptCount val="9"/>
                <c:pt idx="0">
                  <c:v>14273558.333333334</c:v>
                </c:pt>
                <c:pt idx="1">
                  <c:v>1892733.8388888887</c:v>
                </c:pt>
                <c:pt idx="2">
                  <c:v>242000</c:v>
                </c:pt>
                <c:pt idx="3">
                  <c:v>38150</c:v>
                </c:pt>
                <c:pt idx="4">
                  <c:v>48050</c:v>
                </c:pt>
                <c:pt idx="5">
                  <c:v>102032</c:v>
                </c:pt>
                <c:pt idx="6">
                  <c:v>15141.666666666666</c:v>
                </c:pt>
                <c:pt idx="7">
                  <c:v>103398.12499999999</c:v>
                </c:pt>
                <c:pt idx="8">
                  <c:v>249600</c:v>
                </c:pt>
              </c:numCache>
            </c:numRef>
          </c:val>
          <c:extLst>
            <c:ext xmlns:c16="http://schemas.microsoft.com/office/drawing/2014/chart" uri="{C3380CC4-5D6E-409C-BE32-E72D297353CC}">
              <c16:uniqueId val="{00000012-025D-1A46-B885-D98EC763ABC6}"/>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5DA-8641-B628-A3CF90EEED1C}"/>
              </c:ext>
            </c:extLst>
          </c:dPt>
          <c:dPt>
            <c:idx val="1"/>
            <c:bubble3D val="0"/>
            <c:spPr>
              <a:solidFill>
                <a:schemeClr val="accent2"/>
              </a:solidFill>
            </c:spPr>
            <c:extLst>
              <c:ext xmlns:c16="http://schemas.microsoft.com/office/drawing/2014/chart" uri="{C3380CC4-5D6E-409C-BE32-E72D297353CC}">
                <c16:uniqueId val="{00000003-E5DA-8641-B628-A3CF90EEED1C}"/>
              </c:ext>
            </c:extLst>
          </c:dPt>
          <c:dPt>
            <c:idx val="2"/>
            <c:bubble3D val="0"/>
            <c:spPr>
              <a:solidFill>
                <a:schemeClr val="accent3"/>
              </a:solidFill>
            </c:spPr>
            <c:extLst>
              <c:ext xmlns:c16="http://schemas.microsoft.com/office/drawing/2014/chart" uri="{C3380CC4-5D6E-409C-BE32-E72D297353CC}">
                <c16:uniqueId val="{00000005-E5DA-8641-B628-A3CF90EEED1C}"/>
              </c:ext>
            </c:extLst>
          </c:dPt>
          <c:dPt>
            <c:idx val="3"/>
            <c:bubble3D val="0"/>
            <c:spPr>
              <a:solidFill>
                <a:schemeClr val="accent4"/>
              </a:solidFill>
            </c:spPr>
            <c:extLst>
              <c:ext xmlns:c16="http://schemas.microsoft.com/office/drawing/2014/chart" uri="{C3380CC4-5D6E-409C-BE32-E72D297353CC}">
                <c16:uniqueId val="{00000007-E5DA-8641-B628-A3CF90EEED1C}"/>
              </c:ext>
            </c:extLst>
          </c:dPt>
          <c:dPt>
            <c:idx val="4"/>
            <c:bubble3D val="0"/>
            <c:spPr>
              <a:solidFill>
                <a:schemeClr val="accent5"/>
              </a:solidFill>
            </c:spPr>
            <c:extLst>
              <c:ext xmlns:c16="http://schemas.microsoft.com/office/drawing/2014/chart" uri="{C3380CC4-5D6E-409C-BE32-E72D297353CC}">
                <c16:uniqueId val="{00000009-E5DA-8641-B628-A3CF90EEED1C}"/>
              </c:ext>
            </c:extLst>
          </c:dPt>
          <c:dPt>
            <c:idx val="5"/>
            <c:bubble3D val="0"/>
            <c:spPr>
              <a:solidFill>
                <a:schemeClr val="accent6"/>
              </a:solidFill>
            </c:spPr>
            <c:extLst>
              <c:ext xmlns:c16="http://schemas.microsoft.com/office/drawing/2014/chart" uri="{C3380CC4-5D6E-409C-BE32-E72D297353CC}">
                <c16:uniqueId val="{0000000B-E5DA-8641-B628-A3CF90EEED1C}"/>
              </c:ext>
            </c:extLst>
          </c:dPt>
          <c:dPt>
            <c:idx val="6"/>
            <c:bubble3D val="0"/>
            <c:spPr>
              <a:solidFill>
                <a:schemeClr val="accent1"/>
              </a:solidFill>
            </c:spPr>
            <c:extLst>
              <c:ext xmlns:c16="http://schemas.microsoft.com/office/drawing/2014/chart" uri="{C3380CC4-5D6E-409C-BE32-E72D297353CC}">
                <c16:uniqueId val="{0000000D-E5DA-8641-B628-A3CF90EEED1C}"/>
              </c:ext>
            </c:extLst>
          </c:dPt>
          <c:dPt>
            <c:idx val="7"/>
            <c:bubble3D val="0"/>
            <c:spPr>
              <a:solidFill>
                <a:schemeClr val="accent2"/>
              </a:solidFill>
            </c:spPr>
            <c:extLst>
              <c:ext xmlns:c16="http://schemas.microsoft.com/office/drawing/2014/chart" uri="{C3380CC4-5D6E-409C-BE32-E72D297353CC}">
                <c16:uniqueId val="{0000000F-E5DA-8641-B628-A3CF90EEED1C}"/>
              </c:ext>
            </c:extLst>
          </c:dPt>
          <c:dPt>
            <c:idx val="8"/>
            <c:bubble3D val="0"/>
            <c:spPr>
              <a:solidFill>
                <a:schemeClr val="accent3"/>
              </a:solidFill>
            </c:spPr>
            <c:extLst>
              <c:ext xmlns:c16="http://schemas.microsoft.com/office/drawing/2014/chart" uri="{C3380CC4-5D6E-409C-BE32-E72D297353CC}">
                <c16:uniqueId val="{00000011-E5DA-8641-B628-A3CF90EEED1C}"/>
              </c:ext>
            </c:extLst>
          </c:dPt>
          <c:dPt>
            <c:idx val="9"/>
            <c:bubble3D val="0"/>
            <c:spPr>
              <a:solidFill>
                <a:schemeClr val="accent4"/>
              </a:solidFill>
            </c:spPr>
            <c:extLst>
              <c:ext xmlns:c16="http://schemas.microsoft.com/office/drawing/2014/chart" uri="{C3380CC4-5D6E-409C-BE32-E72D297353CC}">
                <c16:uniqueId val="{00000013-E5DA-8641-B628-A3CF90EEED1C}"/>
              </c:ext>
            </c:extLst>
          </c:dPt>
          <c:dPt>
            <c:idx val="10"/>
            <c:bubble3D val="0"/>
            <c:spPr>
              <a:solidFill>
                <a:schemeClr val="accent5"/>
              </a:solidFill>
            </c:spPr>
            <c:extLst>
              <c:ext xmlns:c16="http://schemas.microsoft.com/office/drawing/2014/chart" uri="{C3380CC4-5D6E-409C-BE32-E72D297353CC}">
                <c16:uniqueId val="{00000015-E5DA-8641-B628-A3CF90EEED1C}"/>
              </c:ext>
            </c:extLst>
          </c:dPt>
          <c:dPt>
            <c:idx val="11"/>
            <c:bubble3D val="0"/>
            <c:spPr>
              <a:solidFill>
                <a:schemeClr val="accent6"/>
              </a:solidFill>
            </c:spPr>
            <c:extLst>
              <c:ext xmlns:c16="http://schemas.microsoft.com/office/drawing/2014/chart" uri="{C3380CC4-5D6E-409C-BE32-E72D297353CC}">
                <c16:uniqueId val="{00000017-E5DA-8641-B628-A3CF90EEED1C}"/>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'Training &amp; academic instruction'!$F$42:$F$53</c:f>
              <c:strCache>
                <c:ptCount val="12"/>
                <c:pt idx="0">
                  <c:v>concrete</c:v>
                </c:pt>
                <c:pt idx="1">
                  <c:v>carbon steel</c:v>
                </c:pt>
                <c:pt idx="2">
                  <c:v>cold-formed, galvanized steel</c:v>
                </c:pt>
                <c:pt idx="3">
                  <c:v>cold-formed, structural steel</c:v>
                </c:pt>
                <c:pt idx="4">
                  <c:v>hot-rolled, structural steel</c:v>
                </c:pt>
                <c:pt idx="5">
                  <c:v>concrete masonry unit</c:v>
                </c:pt>
                <c:pt idx="6">
                  <c:v>aluminum</c:v>
                </c:pt>
                <c:pt idx="7">
                  <c:v>Laminated glass</c:v>
                </c:pt>
                <c:pt idx="8">
                  <c:v>Polyvinyl Butyral (PVB) interlayer film</c:v>
                </c:pt>
                <c:pt idx="9">
                  <c:v>#30 felt</c:v>
                </c:pt>
                <c:pt idx="10">
                  <c:v>polyisocyanurate foam board</c:v>
                </c:pt>
                <c:pt idx="11">
                  <c:v>plywood</c:v>
                </c:pt>
              </c:strCache>
            </c:strRef>
          </c:cat>
          <c:val>
            <c:numRef>
              <c:f>'Training &amp; academic instruction'!$G$42:$G$53</c:f>
              <c:numCache>
                <c:formatCode>_(* #,##0_);_(* \(#,##0\);_(* "-"??_);_(@_)</c:formatCode>
                <c:ptCount val="12"/>
                <c:pt idx="0">
                  <c:v>1219200</c:v>
                </c:pt>
                <c:pt idx="1">
                  <c:v>75368</c:v>
                </c:pt>
                <c:pt idx="2">
                  <c:v>34063.919999999998</c:v>
                </c:pt>
                <c:pt idx="3">
                  <c:v>15070</c:v>
                </c:pt>
                <c:pt idx="4">
                  <c:v>34920</c:v>
                </c:pt>
                <c:pt idx="5">
                  <c:v>1400000</c:v>
                </c:pt>
                <c:pt idx="6">
                  <c:v>13079.329999999998</c:v>
                </c:pt>
                <c:pt idx="7">
                  <c:v>9052.0833333333321</c:v>
                </c:pt>
                <c:pt idx="8">
                  <c:v>467.5</c:v>
                </c:pt>
                <c:pt idx="9">
                  <c:v>4422.55</c:v>
                </c:pt>
                <c:pt idx="10">
                  <c:v>12856.25</c:v>
                </c:pt>
                <c:pt idx="11">
                  <c:v>32089.200000000001</c:v>
                </c:pt>
              </c:numCache>
            </c:numRef>
          </c:val>
          <c:extLst>
            <c:ext xmlns:c16="http://schemas.microsoft.com/office/drawing/2014/chart" uri="{C3380CC4-5D6E-409C-BE32-E72D297353CC}">
              <c16:uniqueId val="{00000018-E5DA-8641-B628-A3CF90EEED1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6165320420832419"/>
          <c:y val="3.0798945006892606E-2"/>
        </c:manualLayout>
      </c:layout>
      <c:overlay val="0"/>
      <c:txPr>
        <a:bodyPr/>
        <a:lstStyle/>
        <a:p>
          <a:pPr lvl="0">
            <a:defRPr sz="12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A08C-4145-B1CA-07B9F4DA7687}"/>
              </c:ext>
            </c:extLst>
          </c:dPt>
          <c:dPt>
            <c:idx val="1"/>
            <c:bubble3D val="0"/>
            <c:spPr>
              <a:solidFill>
                <a:schemeClr val="accent2"/>
              </a:solidFill>
            </c:spPr>
            <c:extLst>
              <c:ext xmlns:c16="http://schemas.microsoft.com/office/drawing/2014/chart" uri="{C3380CC4-5D6E-409C-BE32-E72D297353CC}">
                <c16:uniqueId val="{00000003-A08C-4145-B1CA-07B9F4DA7687}"/>
              </c:ext>
            </c:extLst>
          </c:dPt>
          <c:dPt>
            <c:idx val="2"/>
            <c:bubble3D val="0"/>
            <c:spPr>
              <a:solidFill>
                <a:schemeClr val="accent3"/>
              </a:solidFill>
            </c:spPr>
            <c:extLst>
              <c:ext xmlns:c16="http://schemas.microsoft.com/office/drawing/2014/chart" uri="{C3380CC4-5D6E-409C-BE32-E72D297353CC}">
                <c16:uniqueId val="{00000005-A08C-4145-B1CA-07B9F4DA7687}"/>
              </c:ext>
            </c:extLst>
          </c:dPt>
          <c:dPt>
            <c:idx val="3"/>
            <c:bubble3D val="0"/>
            <c:spPr>
              <a:solidFill>
                <a:schemeClr val="accent4"/>
              </a:solidFill>
            </c:spPr>
            <c:extLst>
              <c:ext xmlns:c16="http://schemas.microsoft.com/office/drawing/2014/chart" uri="{C3380CC4-5D6E-409C-BE32-E72D297353CC}">
                <c16:uniqueId val="{00000007-A08C-4145-B1CA-07B9F4DA7687}"/>
              </c:ext>
            </c:extLst>
          </c:dPt>
          <c:dPt>
            <c:idx val="4"/>
            <c:bubble3D val="0"/>
            <c:spPr>
              <a:solidFill>
                <a:schemeClr val="accent5"/>
              </a:solidFill>
            </c:spPr>
            <c:extLst>
              <c:ext xmlns:c16="http://schemas.microsoft.com/office/drawing/2014/chart" uri="{C3380CC4-5D6E-409C-BE32-E72D297353CC}">
                <c16:uniqueId val="{00000009-A08C-4145-B1CA-07B9F4DA7687}"/>
              </c:ext>
            </c:extLst>
          </c:dPt>
          <c:dPt>
            <c:idx val="5"/>
            <c:bubble3D val="0"/>
            <c:spPr>
              <a:solidFill>
                <a:schemeClr val="accent6"/>
              </a:solidFill>
            </c:spPr>
            <c:extLst>
              <c:ext xmlns:c16="http://schemas.microsoft.com/office/drawing/2014/chart" uri="{C3380CC4-5D6E-409C-BE32-E72D297353CC}">
                <c16:uniqueId val="{0000000B-A08C-4145-B1CA-07B9F4DA7687}"/>
              </c:ext>
            </c:extLst>
          </c:dPt>
          <c:dPt>
            <c:idx val="6"/>
            <c:bubble3D val="0"/>
            <c:spPr>
              <a:solidFill>
                <a:schemeClr val="accent1"/>
              </a:solidFill>
            </c:spPr>
            <c:extLst>
              <c:ext xmlns:c16="http://schemas.microsoft.com/office/drawing/2014/chart" uri="{C3380CC4-5D6E-409C-BE32-E72D297353CC}">
                <c16:uniqueId val="{0000000D-A08C-4145-B1CA-07B9F4DA7687}"/>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'Training &amp; academic instruction'!$F$57:$F$63</c:f>
              <c:strCache>
                <c:ptCount val="7"/>
                <c:pt idx="0">
                  <c:v>concrete</c:v>
                </c:pt>
                <c:pt idx="1">
                  <c:v>steel</c:v>
                </c:pt>
                <c:pt idx="2">
                  <c:v>aluminum</c:v>
                </c:pt>
                <c:pt idx="3">
                  <c:v>Glass</c:v>
                </c:pt>
                <c:pt idx="4">
                  <c:v>plastic</c:v>
                </c:pt>
                <c:pt idx="5">
                  <c:v>organic mat, asphalt coating</c:v>
                </c:pt>
                <c:pt idx="6">
                  <c:v>wood</c:v>
                </c:pt>
              </c:strCache>
            </c:strRef>
          </c:cat>
          <c:val>
            <c:numRef>
              <c:f>'Training &amp; academic instruction'!$G$57:$G$63</c:f>
              <c:numCache>
                <c:formatCode>_(* #,##0_);_(* \(#,##0\);_(* "-"??_);_(@_)</c:formatCode>
                <c:ptCount val="7"/>
                <c:pt idx="0">
                  <c:v>2619200</c:v>
                </c:pt>
                <c:pt idx="1">
                  <c:v>159421.91999999998</c:v>
                </c:pt>
                <c:pt idx="2">
                  <c:v>13079.329999999998</c:v>
                </c:pt>
                <c:pt idx="3">
                  <c:v>9052.0833333333321</c:v>
                </c:pt>
                <c:pt idx="4">
                  <c:v>13323.75</c:v>
                </c:pt>
                <c:pt idx="5">
                  <c:v>4422.55</c:v>
                </c:pt>
                <c:pt idx="6">
                  <c:v>32089.200000000001</c:v>
                </c:pt>
              </c:numCache>
            </c:numRef>
          </c:val>
          <c:extLst>
            <c:ext xmlns:c16="http://schemas.microsoft.com/office/drawing/2014/chart" uri="{C3380CC4-5D6E-409C-BE32-E72D297353CC}">
              <c16:uniqueId val="{0000000E-A08C-4145-B1CA-07B9F4DA7687}"/>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F3B-1B4A-8988-A1FE9B6F1077}"/>
              </c:ext>
            </c:extLst>
          </c:dPt>
          <c:dPt>
            <c:idx val="1"/>
            <c:bubble3D val="0"/>
            <c:spPr>
              <a:solidFill>
                <a:schemeClr val="accent2"/>
              </a:solidFill>
            </c:spPr>
            <c:extLst>
              <c:ext xmlns:c16="http://schemas.microsoft.com/office/drawing/2014/chart" uri="{C3380CC4-5D6E-409C-BE32-E72D297353CC}">
                <c16:uniqueId val="{00000003-7F3B-1B4A-8988-A1FE9B6F1077}"/>
              </c:ext>
            </c:extLst>
          </c:dPt>
          <c:dPt>
            <c:idx val="2"/>
            <c:bubble3D val="0"/>
            <c:spPr>
              <a:solidFill>
                <a:schemeClr val="accent3"/>
              </a:solidFill>
            </c:spPr>
            <c:extLst>
              <c:ext xmlns:c16="http://schemas.microsoft.com/office/drawing/2014/chart" uri="{C3380CC4-5D6E-409C-BE32-E72D297353CC}">
                <c16:uniqueId val="{00000005-7F3B-1B4A-8988-A1FE9B6F1077}"/>
              </c:ext>
            </c:extLst>
          </c:dPt>
          <c:dPt>
            <c:idx val="3"/>
            <c:bubble3D val="0"/>
            <c:spPr>
              <a:solidFill>
                <a:schemeClr val="accent4"/>
              </a:solidFill>
            </c:spPr>
            <c:extLst>
              <c:ext xmlns:c16="http://schemas.microsoft.com/office/drawing/2014/chart" uri="{C3380CC4-5D6E-409C-BE32-E72D297353CC}">
                <c16:uniqueId val="{00000007-7F3B-1B4A-8988-A1FE9B6F1077}"/>
              </c:ext>
            </c:extLst>
          </c:dPt>
          <c:dPt>
            <c:idx val="4"/>
            <c:bubble3D val="0"/>
            <c:spPr>
              <a:solidFill>
                <a:schemeClr val="accent5"/>
              </a:solidFill>
            </c:spPr>
            <c:extLst>
              <c:ext xmlns:c16="http://schemas.microsoft.com/office/drawing/2014/chart" uri="{C3380CC4-5D6E-409C-BE32-E72D297353CC}">
                <c16:uniqueId val="{00000009-7F3B-1B4A-8988-A1FE9B6F1077}"/>
              </c:ext>
            </c:extLst>
          </c:dPt>
          <c:dPt>
            <c:idx val="5"/>
            <c:bubble3D val="0"/>
            <c:spPr>
              <a:solidFill>
                <a:schemeClr val="accent6"/>
              </a:solidFill>
            </c:spPr>
            <c:extLst>
              <c:ext xmlns:c16="http://schemas.microsoft.com/office/drawing/2014/chart" uri="{C3380CC4-5D6E-409C-BE32-E72D297353CC}">
                <c16:uniqueId val="{0000000B-7F3B-1B4A-8988-A1FE9B6F1077}"/>
              </c:ext>
            </c:extLst>
          </c:dPt>
          <c:dPt>
            <c:idx val="6"/>
            <c:bubble3D val="0"/>
            <c:spPr>
              <a:solidFill>
                <a:schemeClr val="accent1"/>
              </a:solidFill>
            </c:spPr>
            <c:extLst>
              <c:ext xmlns:c16="http://schemas.microsoft.com/office/drawing/2014/chart" uri="{C3380CC4-5D6E-409C-BE32-E72D297353CC}">
                <c16:uniqueId val="{0000000D-7F3B-1B4A-8988-A1FE9B6F1077}"/>
              </c:ext>
            </c:extLst>
          </c:dPt>
          <c:dPt>
            <c:idx val="7"/>
            <c:bubble3D val="0"/>
            <c:spPr>
              <a:solidFill>
                <a:schemeClr val="accent2"/>
              </a:solidFill>
            </c:spPr>
            <c:extLst>
              <c:ext xmlns:c16="http://schemas.microsoft.com/office/drawing/2014/chart" uri="{C3380CC4-5D6E-409C-BE32-E72D297353CC}">
                <c16:uniqueId val="{0000000F-7F3B-1B4A-8988-A1FE9B6F1077}"/>
              </c:ext>
            </c:extLst>
          </c:dPt>
          <c:dPt>
            <c:idx val="8"/>
            <c:bubble3D val="0"/>
            <c:spPr>
              <a:solidFill>
                <a:schemeClr val="accent3"/>
              </a:solidFill>
            </c:spPr>
            <c:extLst>
              <c:ext xmlns:c16="http://schemas.microsoft.com/office/drawing/2014/chart" uri="{C3380CC4-5D6E-409C-BE32-E72D297353CC}">
                <c16:uniqueId val="{00000011-7F3B-1B4A-8988-A1FE9B6F1077}"/>
              </c:ext>
            </c:extLst>
          </c:dPt>
          <c:dPt>
            <c:idx val="9"/>
            <c:bubble3D val="0"/>
            <c:spPr>
              <a:solidFill>
                <a:schemeClr val="accent4"/>
              </a:solidFill>
            </c:spPr>
            <c:extLst>
              <c:ext xmlns:c16="http://schemas.microsoft.com/office/drawing/2014/chart" uri="{C3380CC4-5D6E-409C-BE32-E72D297353CC}">
                <c16:uniqueId val="{00000013-7F3B-1B4A-8988-A1FE9B6F1077}"/>
              </c:ext>
            </c:extLst>
          </c:dPt>
          <c:cat>
            <c:strRef>
              <c:f>'Unaccompanied housing (barracks'!$F$50:$F$59</c:f>
              <c:strCache>
                <c:ptCount val="10"/>
                <c:pt idx="0">
                  <c:v>concrete</c:v>
                </c:pt>
                <c:pt idx="1">
                  <c:v>carbon steel</c:v>
                </c:pt>
                <c:pt idx="2">
                  <c:v>concrete masonry units</c:v>
                </c:pt>
                <c:pt idx="3">
                  <c:v>aluminum</c:v>
                </c:pt>
                <c:pt idx="4">
                  <c:v>Laminated glass</c:v>
                </c:pt>
                <c:pt idx="5">
                  <c:v>Polyvinyl Butyral (PVB) interlayer film</c:v>
                </c:pt>
                <c:pt idx="6">
                  <c:v>polyisocyanurate foam board</c:v>
                </c:pt>
                <c:pt idx="7">
                  <c:v>glass mat gypsum board</c:v>
                </c:pt>
                <c:pt idx="8">
                  <c:v>asphalt BUR membrane</c:v>
                </c:pt>
                <c:pt idx="9">
                  <c:v>granulated modified bitumen cap sheet</c:v>
                </c:pt>
              </c:strCache>
            </c:strRef>
          </c:cat>
          <c:val>
            <c:numRef>
              <c:f>'Unaccompanied housing (barracks'!$G$50:$G$59</c:f>
              <c:numCache>
                <c:formatCode>_(* #,##0_);_(* \(#,##0\);_(* "-"??_);_(@_)</c:formatCode>
                <c:ptCount val="10"/>
                <c:pt idx="0">
                  <c:v>9781000</c:v>
                </c:pt>
                <c:pt idx="1">
                  <c:v>583295.5</c:v>
                </c:pt>
                <c:pt idx="2">
                  <c:v>3000000</c:v>
                </c:pt>
                <c:pt idx="3">
                  <c:v>1890</c:v>
                </c:pt>
                <c:pt idx="4">
                  <c:v>12442.5</c:v>
                </c:pt>
                <c:pt idx="5">
                  <c:v>642.60000000000014</c:v>
                </c:pt>
                <c:pt idx="6">
                  <c:v>15625</c:v>
                </c:pt>
                <c:pt idx="7">
                  <c:v>50000</c:v>
                </c:pt>
                <c:pt idx="8">
                  <c:v>157500</c:v>
                </c:pt>
                <c:pt idx="9">
                  <c:v>25000</c:v>
                </c:pt>
              </c:numCache>
            </c:numRef>
          </c:val>
          <c:extLst>
            <c:ext xmlns:c16="http://schemas.microsoft.com/office/drawing/2014/chart" uri="{C3380CC4-5D6E-409C-BE32-E72D297353CC}">
              <c16:uniqueId val="{00000014-7F3B-1B4A-8988-A1FE9B6F107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7386001058168127"/>
          <c:y val="0.12973121216990732"/>
          <c:w val="0.6676354922037907"/>
          <c:h val="0.766039816451514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7D84-9441-BCF3-BC7A25377A17}"/>
              </c:ext>
            </c:extLst>
          </c:dPt>
          <c:dPt>
            <c:idx val="1"/>
            <c:bubble3D val="0"/>
            <c:spPr>
              <a:solidFill>
                <a:schemeClr val="accent2"/>
              </a:solidFill>
            </c:spPr>
            <c:extLst>
              <c:ext xmlns:c16="http://schemas.microsoft.com/office/drawing/2014/chart" uri="{C3380CC4-5D6E-409C-BE32-E72D297353CC}">
                <c16:uniqueId val="{00000003-7D84-9441-BCF3-BC7A25377A17}"/>
              </c:ext>
            </c:extLst>
          </c:dPt>
          <c:dPt>
            <c:idx val="2"/>
            <c:bubble3D val="0"/>
            <c:spPr>
              <a:solidFill>
                <a:schemeClr val="accent3"/>
              </a:solidFill>
            </c:spPr>
            <c:extLst>
              <c:ext xmlns:c16="http://schemas.microsoft.com/office/drawing/2014/chart" uri="{C3380CC4-5D6E-409C-BE32-E72D297353CC}">
                <c16:uniqueId val="{00000005-7D84-9441-BCF3-BC7A25377A17}"/>
              </c:ext>
            </c:extLst>
          </c:dPt>
          <c:dPt>
            <c:idx val="3"/>
            <c:bubble3D val="0"/>
            <c:spPr>
              <a:solidFill>
                <a:schemeClr val="accent4"/>
              </a:solidFill>
            </c:spPr>
            <c:extLst>
              <c:ext xmlns:c16="http://schemas.microsoft.com/office/drawing/2014/chart" uri="{C3380CC4-5D6E-409C-BE32-E72D297353CC}">
                <c16:uniqueId val="{00000007-7D84-9441-BCF3-BC7A25377A17}"/>
              </c:ext>
            </c:extLst>
          </c:dPt>
          <c:dPt>
            <c:idx val="4"/>
            <c:bubble3D val="0"/>
            <c:spPr>
              <a:solidFill>
                <a:schemeClr val="accent5"/>
              </a:solidFill>
            </c:spPr>
            <c:extLst>
              <c:ext xmlns:c16="http://schemas.microsoft.com/office/drawing/2014/chart" uri="{C3380CC4-5D6E-409C-BE32-E72D297353CC}">
                <c16:uniqueId val="{00000009-7D84-9441-BCF3-BC7A25377A17}"/>
              </c:ext>
            </c:extLst>
          </c:dPt>
          <c:dPt>
            <c:idx val="5"/>
            <c:bubble3D val="0"/>
            <c:spPr>
              <a:solidFill>
                <a:schemeClr val="accent6"/>
              </a:solidFill>
            </c:spPr>
            <c:extLst>
              <c:ext xmlns:c16="http://schemas.microsoft.com/office/drawing/2014/chart" uri="{C3380CC4-5D6E-409C-BE32-E72D297353CC}">
                <c16:uniqueId val="{0000000B-7D84-9441-BCF3-BC7A25377A17}"/>
              </c:ext>
            </c:extLst>
          </c:dPt>
          <c:dPt>
            <c:idx val="6"/>
            <c:bubble3D val="0"/>
            <c:spPr>
              <a:solidFill>
                <a:schemeClr val="accent1"/>
              </a:solidFill>
            </c:spPr>
            <c:extLst>
              <c:ext xmlns:c16="http://schemas.microsoft.com/office/drawing/2014/chart" uri="{C3380CC4-5D6E-409C-BE32-E72D297353CC}">
                <c16:uniqueId val="{0000000D-7D84-9441-BCF3-BC7A25377A17}"/>
              </c:ext>
            </c:extLst>
          </c:dPt>
          <c:dPt>
            <c:idx val="7"/>
            <c:bubble3D val="0"/>
            <c:spPr>
              <a:solidFill>
                <a:schemeClr val="accent2"/>
              </a:solidFill>
            </c:spPr>
            <c:extLst>
              <c:ext xmlns:c16="http://schemas.microsoft.com/office/drawing/2014/chart" uri="{C3380CC4-5D6E-409C-BE32-E72D297353CC}">
                <c16:uniqueId val="{0000000F-7D84-9441-BCF3-BC7A25377A17}"/>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'Unaccompanied housing (barracks'!$F$63:$F$70</c:f>
              <c:strCache>
                <c:ptCount val="8"/>
                <c:pt idx="0">
                  <c:v>concrete</c:v>
                </c:pt>
                <c:pt idx="1">
                  <c:v>steel</c:v>
                </c:pt>
                <c:pt idx="2">
                  <c:v>aluminum</c:v>
                </c:pt>
                <c:pt idx="3">
                  <c:v>Glass</c:v>
                </c:pt>
                <c:pt idx="4">
                  <c:v>plastic</c:v>
                </c:pt>
                <c:pt idx="5">
                  <c:v>gypsum board</c:v>
                </c:pt>
                <c:pt idx="6">
                  <c:v>asphalt</c:v>
                </c:pt>
                <c:pt idx="7">
                  <c:v>modified bitumen</c:v>
                </c:pt>
              </c:strCache>
            </c:strRef>
          </c:cat>
          <c:val>
            <c:numRef>
              <c:f>'Unaccompanied housing (barracks'!$G$63:$G$70</c:f>
              <c:numCache>
                <c:formatCode>_(* #,##0_);_(* \(#,##0\);_(* "-"??_);_(@_)</c:formatCode>
                <c:ptCount val="8"/>
                <c:pt idx="0">
                  <c:v>12781000</c:v>
                </c:pt>
                <c:pt idx="1">
                  <c:v>583295.5</c:v>
                </c:pt>
                <c:pt idx="2">
                  <c:v>1890</c:v>
                </c:pt>
                <c:pt idx="3">
                  <c:v>12442.5</c:v>
                </c:pt>
                <c:pt idx="4">
                  <c:v>16267.6</c:v>
                </c:pt>
                <c:pt idx="5">
                  <c:v>50000</c:v>
                </c:pt>
                <c:pt idx="6">
                  <c:v>157500</c:v>
                </c:pt>
                <c:pt idx="7">
                  <c:v>25000</c:v>
                </c:pt>
              </c:numCache>
            </c:numRef>
          </c:val>
          <c:extLst>
            <c:ext xmlns:c16="http://schemas.microsoft.com/office/drawing/2014/chart" uri="{C3380CC4-5D6E-409C-BE32-E72D297353CC}">
              <c16:uniqueId val="{00000010-7D84-9441-BCF3-BC7A25377A17}"/>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A61D-3C4A-A61F-D80436431AD0}"/>
              </c:ext>
            </c:extLst>
          </c:dPt>
          <c:dPt>
            <c:idx val="1"/>
            <c:bubble3D val="0"/>
            <c:spPr>
              <a:solidFill>
                <a:schemeClr val="accent2"/>
              </a:solidFill>
            </c:spPr>
            <c:extLst>
              <c:ext xmlns:c16="http://schemas.microsoft.com/office/drawing/2014/chart" uri="{C3380CC4-5D6E-409C-BE32-E72D297353CC}">
                <c16:uniqueId val="{00000003-A61D-3C4A-A61F-D80436431AD0}"/>
              </c:ext>
            </c:extLst>
          </c:dPt>
          <c:dPt>
            <c:idx val="2"/>
            <c:bubble3D val="0"/>
            <c:spPr>
              <a:solidFill>
                <a:schemeClr val="accent3"/>
              </a:solidFill>
            </c:spPr>
            <c:extLst>
              <c:ext xmlns:c16="http://schemas.microsoft.com/office/drawing/2014/chart" uri="{C3380CC4-5D6E-409C-BE32-E72D297353CC}">
                <c16:uniqueId val="{00000005-A61D-3C4A-A61F-D80436431AD0}"/>
              </c:ext>
            </c:extLst>
          </c:dPt>
          <c:dPt>
            <c:idx val="3"/>
            <c:bubble3D val="0"/>
            <c:spPr>
              <a:solidFill>
                <a:schemeClr val="accent4"/>
              </a:solidFill>
            </c:spPr>
            <c:extLst>
              <c:ext xmlns:c16="http://schemas.microsoft.com/office/drawing/2014/chart" uri="{C3380CC4-5D6E-409C-BE32-E72D297353CC}">
                <c16:uniqueId val="{00000007-A61D-3C4A-A61F-D80436431AD0}"/>
              </c:ext>
            </c:extLst>
          </c:dPt>
          <c:dPt>
            <c:idx val="4"/>
            <c:bubble3D val="0"/>
            <c:spPr>
              <a:solidFill>
                <a:schemeClr val="accent5"/>
              </a:solidFill>
            </c:spPr>
            <c:extLst>
              <c:ext xmlns:c16="http://schemas.microsoft.com/office/drawing/2014/chart" uri="{C3380CC4-5D6E-409C-BE32-E72D297353CC}">
                <c16:uniqueId val="{00000009-A61D-3C4A-A61F-D80436431AD0}"/>
              </c:ext>
            </c:extLst>
          </c:dPt>
          <c:dPt>
            <c:idx val="5"/>
            <c:bubble3D val="0"/>
            <c:spPr>
              <a:solidFill>
                <a:schemeClr val="accent6"/>
              </a:solidFill>
            </c:spPr>
            <c:extLst>
              <c:ext xmlns:c16="http://schemas.microsoft.com/office/drawing/2014/chart" uri="{C3380CC4-5D6E-409C-BE32-E72D297353CC}">
                <c16:uniqueId val="{0000000B-A61D-3C4A-A61F-D80436431AD0}"/>
              </c:ext>
            </c:extLst>
          </c:dPt>
          <c:dPt>
            <c:idx val="6"/>
            <c:bubble3D val="0"/>
            <c:spPr>
              <a:solidFill>
                <a:schemeClr val="accent1"/>
              </a:solidFill>
            </c:spPr>
            <c:extLst>
              <c:ext xmlns:c16="http://schemas.microsoft.com/office/drawing/2014/chart" uri="{C3380CC4-5D6E-409C-BE32-E72D297353CC}">
                <c16:uniqueId val="{0000000D-A61D-3C4A-A61F-D80436431AD0}"/>
              </c:ext>
            </c:extLst>
          </c:dPt>
          <c:dPt>
            <c:idx val="7"/>
            <c:bubble3D val="0"/>
            <c:spPr>
              <a:solidFill>
                <a:schemeClr val="accent2"/>
              </a:solidFill>
            </c:spPr>
            <c:extLst>
              <c:ext xmlns:c16="http://schemas.microsoft.com/office/drawing/2014/chart" uri="{C3380CC4-5D6E-409C-BE32-E72D297353CC}">
                <c16:uniqueId val="{0000000F-A61D-3C4A-A61F-D80436431AD0}"/>
              </c:ext>
            </c:extLst>
          </c:dPt>
          <c:dPt>
            <c:idx val="8"/>
            <c:bubble3D val="0"/>
            <c:spPr>
              <a:solidFill>
                <a:schemeClr val="accent3"/>
              </a:solidFill>
            </c:spPr>
            <c:extLst>
              <c:ext xmlns:c16="http://schemas.microsoft.com/office/drawing/2014/chart" uri="{C3380CC4-5D6E-409C-BE32-E72D297353CC}">
                <c16:uniqueId val="{00000011-A61D-3C4A-A61F-D80436431AD0}"/>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'Warehouse &amp; storage'!$F$44:$F$52</c:f>
              <c:strCache>
                <c:ptCount val="9"/>
                <c:pt idx="0">
                  <c:v>concrete</c:v>
                </c:pt>
                <c:pt idx="1">
                  <c:v>carbon steel</c:v>
                </c:pt>
                <c:pt idx="2">
                  <c:v>cold-formed, structural steel</c:v>
                </c:pt>
                <c:pt idx="3">
                  <c:v>cold-formed, galvanized steel</c:v>
                </c:pt>
                <c:pt idx="4">
                  <c:v>hot-rolled, structural steel</c:v>
                </c:pt>
                <c:pt idx="5">
                  <c:v>expanded polystyrene foam</c:v>
                </c:pt>
                <c:pt idx="6">
                  <c:v>TPO</c:v>
                </c:pt>
                <c:pt idx="7">
                  <c:v>glass mat gypsum board</c:v>
                </c:pt>
                <c:pt idx="8">
                  <c:v>polyisocyanurate foam board</c:v>
                </c:pt>
              </c:strCache>
            </c:strRef>
          </c:cat>
          <c:val>
            <c:numRef>
              <c:f>'Warehouse &amp; storage'!$G$44:$G$52</c:f>
              <c:numCache>
                <c:formatCode>_(* #,##0_);_(* \(#,##0\);_(* "-"??_);_(@_)</c:formatCode>
                <c:ptCount val="9"/>
                <c:pt idx="0">
                  <c:v>21481250</c:v>
                </c:pt>
                <c:pt idx="1">
                  <c:v>857937.5</c:v>
                </c:pt>
                <c:pt idx="2">
                  <c:v>444600</c:v>
                </c:pt>
                <c:pt idx="3">
                  <c:v>153125</c:v>
                </c:pt>
                <c:pt idx="4">
                  <c:v>48600</c:v>
                </c:pt>
                <c:pt idx="5">
                  <c:v>18375</c:v>
                </c:pt>
                <c:pt idx="6">
                  <c:v>43750</c:v>
                </c:pt>
                <c:pt idx="7">
                  <c:v>250000</c:v>
                </c:pt>
                <c:pt idx="8">
                  <c:v>78125</c:v>
                </c:pt>
              </c:numCache>
            </c:numRef>
          </c:val>
          <c:extLst>
            <c:ext xmlns:c16="http://schemas.microsoft.com/office/drawing/2014/chart" uri="{C3380CC4-5D6E-409C-BE32-E72D297353CC}">
              <c16:uniqueId val="{00000012-A61D-3C4A-A61F-D80436431AD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B741-DC4F-ABF5-045ABAB6786D}"/>
              </c:ext>
            </c:extLst>
          </c:dPt>
          <c:dPt>
            <c:idx val="1"/>
            <c:bubble3D val="0"/>
            <c:spPr>
              <a:solidFill>
                <a:schemeClr val="accent2"/>
              </a:solidFill>
            </c:spPr>
            <c:extLst>
              <c:ext xmlns:c16="http://schemas.microsoft.com/office/drawing/2014/chart" uri="{C3380CC4-5D6E-409C-BE32-E72D297353CC}">
                <c16:uniqueId val="{00000003-B741-DC4F-ABF5-045ABAB6786D}"/>
              </c:ext>
            </c:extLst>
          </c:dPt>
          <c:dPt>
            <c:idx val="2"/>
            <c:bubble3D val="0"/>
            <c:spPr>
              <a:solidFill>
                <a:schemeClr val="accent3"/>
              </a:solidFill>
            </c:spPr>
            <c:extLst>
              <c:ext xmlns:c16="http://schemas.microsoft.com/office/drawing/2014/chart" uri="{C3380CC4-5D6E-409C-BE32-E72D297353CC}">
                <c16:uniqueId val="{00000005-B741-DC4F-ABF5-045ABAB6786D}"/>
              </c:ext>
            </c:extLst>
          </c:dPt>
          <c:dPt>
            <c:idx val="3"/>
            <c:bubble3D val="0"/>
            <c:spPr>
              <a:solidFill>
                <a:schemeClr val="accent4"/>
              </a:solidFill>
            </c:spPr>
            <c:extLst>
              <c:ext xmlns:c16="http://schemas.microsoft.com/office/drawing/2014/chart" uri="{C3380CC4-5D6E-409C-BE32-E72D297353CC}">
                <c16:uniqueId val="{00000007-B741-DC4F-ABF5-045ABAB6786D}"/>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'Warehouse &amp; storage'!$F$56:$F$59</c:f>
              <c:strCache>
                <c:ptCount val="4"/>
                <c:pt idx="0">
                  <c:v>concrete</c:v>
                </c:pt>
                <c:pt idx="1">
                  <c:v>steel</c:v>
                </c:pt>
                <c:pt idx="2">
                  <c:v>plastic</c:v>
                </c:pt>
                <c:pt idx="3">
                  <c:v>gypsum board</c:v>
                </c:pt>
              </c:strCache>
            </c:strRef>
          </c:cat>
          <c:val>
            <c:numRef>
              <c:f>'Warehouse &amp; storage'!$G$56:$G$59</c:f>
              <c:numCache>
                <c:formatCode>_(* #,##0_);_(* \(#,##0\);_(* "-"??_);_(@_)</c:formatCode>
                <c:ptCount val="4"/>
                <c:pt idx="0">
                  <c:v>21481250</c:v>
                </c:pt>
                <c:pt idx="1">
                  <c:v>1504262.5</c:v>
                </c:pt>
                <c:pt idx="2">
                  <c:v>140250</c:v>
                </c:pt>
                <c:pt idx="3">
                  <c:v>250000</c:v>
                </c:pt>
              </c:numCache>
            </c:numRef>
          </c:val>
          <c:extLst>
            <c:ext xmlns:c16="http://schemas.microsoft.com/office/drawing/2014/chart" uri="{C3380CC4-5D6E-409C-BE32-E72D297353CC}">
              <c16:uniqueId val="{00000008-B741-DC4F-ABF5-045ABAB6786D}"/>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chart" Target="../charts/chart44.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7.xml"/><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oneCellAnchor>
    <xdr:from>
      <xdr:col>4</xdr:col>
      <xdr:colOff>695325</xdr:colOff>
      <xdr:row>26</xdr:row>
      <xdr:rowOff>142875</xdr:rowOff>
    </xdr:from>
    <xdr:ext cx="9067800" cy="5838825"/>
    <xdr:graphicFrame macro="">
      <xdr:nvGraphicFramePr>
        <xdr:cNvPr id="347946910" name="Chart 1">
          <a:extLst>
            <a:ext uri="{FF2B5EF4-FFF2-40B4-BE49-F238E27FC236}">
              <a16:creationId xmlns:a16="http://schemas.microsoft.com/office/drawing/2014/main" id="{00000000-0008-0000-0400-00009E3FB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333375</xdr:colOff>
      <xdr:row>49</xdr:row>
      <xdr:rowOff>171450</xdr:rowOff>
    </xdr:from>
    <xdr:ext cx="9334500" cy="6238875"/>
    <xdr:graphicFrame macro="">
      <xdr:nvGraphicFramePr>
        <xdr:cNvPr id="1379356446" name="Chart 2">
          <a:extLst>
            <a:ext uri="{FF2B5EF4-FFF2-40B4-BE49-F238E27FC236}">
              <a16:creationId xmlns:a16="http://schemas.microsoft.com/office/drawing/2014/main" id="{00000000-0008-0000-0500-00001E4F3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63</xdr:row>
      <xdr:rowOff>123825</xdr:rowOff>
    </xdr:from>
    <xdr:ext cx="6143625" cy="5781675"/>
    <xdr:graphicFrame macro="">
      <xdr:nvGraphicFramePr>
        <xdr:cNvPr id="599793444" name="Chart 3">
          <a:extLst>
            <a:ext uri="{FF2B5EF4-FFF2-40B4-BE49-F238E27FC236}">
              <a16:creationId xmlns:a16="http://schemas.microsoft.com/office/drawing/2014/main" id="{00000000-0008-0000-0500-0000241FC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333375</xdr:colOff>
      <xdr:row>20</xdr:row>
      <xdr:rowOff>171450</xdr:rowOff>
    </xdr:from>
    <xdr:ext cx="9172575" cy="6238875"/>
    <xdr:graphicFrame macro="">
      <xdr:nvGraphicFramePr>
        <xdr:cNvPr id="240415831" name="Chart 4">
          <a:extLst>
            <a:ext uri="{FF2B5EF4-FFF2-40B4-BE49-F238E27FC236}">
              <a16:creationId xmlns:a16="http://schemas.microsoft.com/office/drawing/2014/main" id="{00000000-0008-0000-0600-000057745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34</xdr:row>
      <xdr:rowOff>123825</xdr:rowOff>
    </xdr:from>
    <xdr:ext cx="6143625" cy="5781675"/>
    <xdr:graphicFrame macro="">
      <xdr:nvGraphicFramePr>
        <xdr:cNvPr id="384079453" name="Chart 5">
          <a:extLst>
            <a:ext uri="{FF2B5EF4-FFF2-40B4-BE49-F238E27FC236}">
              <a16:creationId xmlns:a16="http://schemas.microsoft.com/office/drawing/2014/main" id="{00000000-0008-0000-0600-00005D96E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333375</xdr:colOff>
      <xdr:row>91</xdr:row>
      <xdr:rowOff>171450</xdr:rowOff>
    </xdr:from>
    <xdr:ext cx="9172575" cy="6238875"/>
    <xdr:graphicFrame macro="">
      <xdr:nvGraphicFramePr>
        <xdr:cNvPr id="692043655" name="Chart 6">
          <a:extLst>
            <a:ext uri="{FF2B5EF4-FFF2-40B4-BE49-F238E27FC236}">
              <a16:creationId xmlns:a16="http://schemas.microsoft.com/office/drawing/2014/main" id="{00000000-0008-0000-0700-000087BF3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105</xdr:row>
      <xdr:rowOff>123825</xdr:rowOff>
    </xdr:from>
    <xdr:ext cx="6143625" cy="5781675"/>
    <xdr:graphicFrame macro="">
      <xdr:nvGraphicFramePr>
        <xdr:cNvPr id="1944252222" name="Chart 8">
          <a:extLst>
            <a:ext uri="{FF2B5EF4-FFF2-40B4-BE49-F238E27FC236}">
              <a16:creationId xmlns:a16="http://schemas.microsoft.com/office/drawing/2014/main" id="{00000000-0008-0000-0700-00003EEFE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333375</xdr:colOff>
      <xdr:row>41</xdr:row>
      <xdr:rowOff>171450</xdr:rowOff>
    </xdr:from>
    <xdr:ext cx="9172575" cy="7477125"/>
    <xdr:graphicFrame macro="">
      <xdr:nvGraphicFramePr>
        <xdr:cNvPr id="1202683786" name="Chart 7">
          <a:extLst>
            <a:ext uri="{FF2B5EF4-FFF2-40B4-BE49-F238E27FC236}">
              <a16:creationId xmlns:a16="http://schemas.microsoft.com/office/drawing/2014/main" id="{00000000-0008-0000-0800-00008A7FA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42</xdr:row>
      <xdr:rowOff>161925</xdr:rowOff>
    </xdr:from>
    <xdr:ext cx="8029575" cy="6410325"/>
    <xdr:graphicFrame macro="">
      <xdr:nvGraphicFramePr>
        <xdr:cNvPr id="1688486626" name="Chart 9">
          <a:extLst>
            <a:ext uri="{FF2B5EF4-FFF2-40B4-BE49-F238E27FC236}">
              <a16:creationId xmlns:a16="http://schemas.microsoft.com/office/drawing/2014/main" id="{00000000-0008-0000-0800-0000E242A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8</xdr:col>
      <xdr:colOff>333375</xdr:colOff>
      <xdr:row>43</xdr:row>
      <xdr:rowOff>171450</xdr:rowOff>
    </xdr:from>
    <xdr:ext cx="9172575" cy="7477125"/>
    <xdr:graphicFrame macro="">
      <xdr:nvGraphicFramePr>
        <xdr:cNvPr id="2085201005" name="Chart 10">
          <a:extLst>
            <a:ext uri="{FF2B5EF4-FFF2-40B4-BE49-F238E27FC236}">
              <a16:creationId xmlns:a16="http://schemas.microsoft.com/office/drawing/2014/main" id="{00000000-0008-0000-0900-00006DA44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44</xdr:row>
      <xdr:rowOff>161925</xdr:rowOff>
    </xdr:from>
    <xdr:ext cx="8029575" cy="6410325"/>
    <xdr:graphicFrame macro="">
      <xdr:nvGraphicFramePr>
        <xdr:cNvPr id="293454132" name="Chart 11">
          <a:extLst>
            <a:ext uri="{FF2B5EF4-FFF2-40B4-BE49-F238E27FC236}">
              <a16:creationId xmlns:a16="http://schemas.microsoft.com/office/drawing/2014/main" id="{00000000-0008-0000-0900-000034C17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8</xdr:col>
      <xdr:colOff>333375</xdr:colOff>
      <xdr:row>60</xdr:row>
      <xdr:rowOff>171450</xdr:rowOff>
    </xdr:from>
    <xdr:ext cx="9172575" cy="6238875"/>
    <xdr:graphicFrame macro="">
      <xdr:nvGraphicFramePr>
        <xdr:cNvPr id="1689624706" name="Chart 12">
          <a:extLst>
            <a:ext uri="{FF2B5EF4-FFF2-40B4-BE49-F238E27FC236}">
              <a16:creationId xmlns:a16="http://schemas.microsoft.com/office/drawing/2014/main" id="{00000000-0008-0000-0A00-000082A0B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74</xdr:row>
      <xdr:rowOff>123825</xdr:rowOff>
    </xdr:from>
    <xdr:ext cx="6143625" cy="5781675"/>
    <xdr:graphicFrame macro="">
      <xdr:nvGraphicFramePr>
        <xdr:cNvPr id="260584308" name="Chart 13">
          <a:extLst>
            <a:ext uri="{FF2B5EF4-FFF2-40B4-BE49-F238E27FC236}">
              <a16:creationId xmlns:a16="http://schemas.microsoft.com/office/drawing/2014/main" id="{00000000-0008-0000-0A00-000074338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8</xdr:col>
      <xdr:colOff>333375</xdr:colOff>
      <xdr:row>35</xdr:row>
      <xdr:rowOff>171450</xdr:rowOff>
    </xdr:from>
    <xdr:ext cx="9172575" cy="6238875"/>
    <xdr:graphicFrame macro="">
      <xdr:nvGraphicFramePr>
        <xdr:cNvPr id="673871192" name="Chart 14">
          <a:extLst>
            <a:ext uri="{FF2B5EF4-FFF2-40B4-BE49-F238E27FC236}">
              <a16:creationId xmlns:a16="http://schemas.microsoft.com/office/drawing/2014/main" id="{00000000-0008-0000-0B00-000058752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933450</xdr:colOff>
      <xdr:row>49</xdr:row>
      <xdr:rowOff>152400</xdr:rowOff>
    </xdr:from>
    <xdr:ext cx="5610225" cy="5781675"/>
    <xdr:graphicFrame macro="">
      <xdr:nvGraphicFramePr>
        <xdr:cNvPr id="2063607651" name="Chart 15">
          <a:extLst>
            <a:ext uri="{FF2B5EF4-FFF2-40B4-BE49-F238E27FC236}">
              <a16:creationId xmlns:a16="http://schemas.microsoft.com/office/drawing/2014/main" id="{00000000-0008-0000-0B00-000063270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8</xdr:col>
      <xdr:colOff>333375</xdr:colOff>
      <xdr:row>82</xdr:row>
      <xdr:rowOff>171450</xdr:rowOff>
    </xdr:from>
    <xdr:ext cx="9172575" cy="6238875"/>
    <xdr:graphicFrame macro="">
      <xdr:nvGraphicFramePr>
        <xdr:cNvPr id="1192194752" name="Chart 16">
          <a:extLst>
            <a:ext uri="{FF2B5EF4-FFF2-40B4-BE49-F238E27FC236}">
              <a16:creationId xmlns:a16="http://schemas.microsoft.com/office/drawing/2014/main" id="{00000000-0008-0000-0C00-0000C0720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83</xdr:row>
      <xdr:rowOff>161925</xdr:rowOff>
    </xdr:from>
    <xdr:ext cx="8029575" cy="6410325"/>
    <xdr:graphicFrame macro="">
      <xdr:nvGraphicFramePr>
        <xdr:cNvPr id="1127173020" name="Chart 17">
          <a:extLst>
            <a:ext uri="{FF2B5EF4-FFF2-40B4-BE49-F238E27FC236}">
              <a16:creationId xmlns:a16="http://schemas.microsoft.com/office/drawing/2014/main" id="{00000000-0008-0000-0C00-00009C4B2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8</xdr:col>
      <xdr:colOff>333375</xdr:colOff>
      <xdr:row>71</xdr:row>
      <xdr:rowOff>171450</xdr:rowOff>
    </xdr:from>
    <xdr:ext cx="9172575" cy="6238875"/>
    <xdr:graphicFrame macro="">
      <xdr:nvGraphicFramePr>
        <xdr:cNvPr id="365690706" name="Chart 18">
          <a:extLst>
            <a:ext uri="{FF2B5EF4-FFF2-40B4-BE49-F238E27FC236}">
              <a16:creationId xmlns:a16="http://schemas.microsoft.com/office/drawing/2014/main" id="{00000000-0008-0000-0D00-000052FFC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72</xdr:row>
      <xdr:rowOff>161925</xdr:rowOff>
    </xdr:from>
    <xdr:ext cx="8029575" cy="6410325"/>
    <xdr:graphicFrame macro="">
      <xdr:nvGraphicFramePr>
        <xdr:cNvPr id="1212646431" name="Chart 19">
          <a:extLst>
            <a:ext uri="{FF2B5EF4-FFF2-40B4-BE49-F238E27FC236}">
              <a16:creationId xmlns:a16="http://schemas.microsoft.com/office/drawing/2014/main" id="{00000000-0008-0000-0D00-00001F844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dr:oneCellAnchor>
    <xdr:from>
      <xdr:col>8</xdr:col>
      <xdr:colOff>333375</xdr:colOff>
      <xdr:row>39</xdr:row>
      <xdr:rowOff>171450</xdr:rowOff>
    </xdr:from>
    <xdr:ext cx="9172575" cy="6238875"/>
    <xdr:graphicFrame macro="">
      <xdr:nvGraphicFramePr>
        <xdr:cNvPr id="952256954" name="Chart 20">
          <a:extLst>
            <a:ext uri="{FF2B5EF4-FFF2-40B4-BE49-F238E27FC236}">
              <a16:creationId xmlns:a16="http://schemas.microsoft.com/office/drawing/2014/main" id="{00000000-0008-0000-0E00-0000BA49C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40</xdr:row>
      <xdr:rowOff>161925</xdr:rowOff>
    </xdr:from>
    <xdr:ext cx="8029575" cy="6410325"/>
    <xdr:graphicFrame macro="">
      <xdr:nvGraphicFramePr>
        <xdr:cNvPr id="1122408762" name="Chart 21">
          <a:extLst>
            <a:ext uri="{FF2B5EF4-FFF2-40B4-BE49-F238E27FC236}">
              <a16:creationId xmlns:a16="http://schemas.microsoft.com/office/drawing/2014/main" id="{00000000-0008-0000-0E00-00003A99E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8</xdr:col>
      <xdr:colOff>333375</xdr:colOff>
      <xdr:row>54</xdr:row>
      <xdr:rowOff>171450</xdr:rowOff>
    </xdr:from>
    <xdr:ext cx="9172575" cy="6238875"/>
    <xdr:graphicFrame macro="">
      <xdr:nvGraphicFramePr>
        <xdr:cNvPr id="390690936" name="Chart 22">
          <a:extLst>
            <a:ext uri="{FF2B5EF4-FFF2-40B4-BE49-F238E27FC236}">
              <a16:creationId xmlns:a16="http://schemas.microsoft.com/office/drawing/2014/main" id="{00000000-0008-0000-0F00-000078784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933450</xdr:colOff>
      <xdr:row>68</xdr:row>
      <xdr:rowOff>152400</xdr:rowOff>
    </xdr:from>
    <xdr:ext cx="5610225" cy="5781675"/>
    <xdr:graphicFrame macro="">
      <xdr:nvGraphicFramePr>
        <xdr:cNvPr id="1828739005" name="Chart 23">
          <a:extLst>
            <a:ext uri="{FF2B5EF4-FFF2-40B4-BE49-F238E27FC236}">
              <a16:creationId xmlns:a16="http://schemas.microsoft.com/office/drawing/2014/main" id="{00000000-0008-0000-0F00-0000BD570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8</xdr:col>
      <xdr:colOff>333375</xdr:colOff>
      <xdr:row>60</xdr:row>
      <xdr:rowOff>171450</xdr:rowOff>
    </xdr:from>
    <xdr:ext cx="9172575" cy="6238875"/>
    <xdr:graphicFrame macro="">
      <xdr:nvGraphicFramePr>
        <xdr:cNvPr id="298510997" name="Chart 24">
          <a:extLst>
            <a:ext uri="{FF2B5EF4-FFF2-40B4-BE49-F238E27FC236}">
              <a16:creationId xmlns:a16="http://schemas.microsoft.com/office/drawing/2014/main" id="{00000000-0008-0000-1000-000095EAC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74</xdr:row>
      <xdr:rowOff>123825</xdr:rowOff>
    </xdr:from>
    <xdr:ext cx="6143625" cy="5781675"/>
    <xdr:graphicFrame macro="">
      <xdr:nvGraphicFramePr>
        <xdr:cNvPr id="478324822" name="Chart 25">
          <a:extLst>
            <a:ext uri="{FF2B5EF4-FFF2-40B4-BE49-F238E27FC236}">
              <a16:creationId xmlns:a16="http://schemas.microsoft.com/office/drawing/2014/main" id="{00000000-0008-0000-1000-000056A88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oneCellAnchor>
    <xdr:from>
      <xdr:col>8</xdr:col>
      <xdr:colOff>333375</xdr:colOff>
      <xdr:row>47</xdr:row>
      <xdr:rowOff>171450</xdr:rowOff>
    </xdr:from>
    <xdr:ext cx="9172575" cy="7477125"/>
    <xdr:graphicFrame macro="">
      <xdr:nvGraphicFramePr>
        <xdr:cNvPr id="470758461" name="Chart 26">
          <a:extLst>
            <a:ext uri="{FF2B5EF4-FFF2-40B4-BE49-F238E27FC236}">
              <a16:creationId xmlns:a16="http://schemas.microsoft.com/office/drawing/2014/main" id="{00000000-0008-0000-1100-00003D340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48</xdr:row>
      <xdr:rowOff>161925</xdr:rowOff>
    </xdr:from>
    <xdr:ext cx="8029575" cy="6410325"/>
    <xdr:graphicFrame macro="">
      <xdr:nvGraphicFramePr>
        <xdr:cNvPr id="2035126193" name="Chart 27">
          <a:extLst>
            <a:ext uri="{FF2B5EF4-FFF2-40B4-BE49-F238E27FC236}">
              <a16:creationId xmlns:a16="http://schemas.microsoft.com/office/drawing/2014/main" id="{00000000-0008-0000-1100-0000B18F4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10</xdr:col>
      <xdr:colOff>285750</xdr:colOff>
      <xdr:row>71</xdr:row>
      <xdr:rowOff>95250</xdr:rowOff>
    </xdr:from>
    <xdr:ext cx="10763250" cy="5610225"/>
    <xdr:graphicFrame macro="">
      <xdr:nvGraphicFramePr>
        <xdr:cNvPr id="1166437688" name="Chart 28">
          <a:extLst>
            <a:ext uri="{FF2B5EF4-FFF2-40B4-BE49-F238E27FC236}">
              <a16:creationId xmlns:a16="http://schemas.microsoft.com/office/drawing/2014/main" id="{00000000-0008-0000-1200-0000386D8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85725</xdr:colOff>
      <xdr:row>72</xdr:row>
      <xdr:rowOff>409575</xdr:rowOff>
    </xdr:from>
    <xdr:ext cx="8248650" cy="5181600"/>
    <xdr:graphicFrame macro="">
      <xdr:nvGraphicFramePr>
        <xdr:cNvPr id="1563117077" name="Chart 29">
          <a:extLst>
            <a:ext uri="{FF2B5EF4-FFF2-40B4-BE49-F238E27FC236}">
              <a16:creationId xmlns:a16="http://schemas.microsoft.com/office/drawing/2014/main" id="{00000000-0008-0000-1200-000015462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dr:oneCellAnchor>
    <xdr:from>
      <xdr:col>8</xdr:col>
      <xdr:colOff>333375</xdr:colOff>
      <xdr:row>70</xdr:row>
      <xdr:rowOff>171450</xdr:rowOff>
    </xdr:from>
    <xdr:ext cx="9172575" cy="6238875"/>
    <xdr:graphicFrame macro="">
      <xdr:nvGraphicFramePr>
        <xdr:cNvPr id="867861408" name="Chart 30">
          <a:extLst>
            <a:ext uri="{FF2B5EF4-FFF2-40B4-BE49-F238E27FC236}">
              <a16:creationId xmlns:a16="http://schemas.microsoft.com/office/drawing/2014/main" id="{00000000-0008-0000-1300-0000A083B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71</xdr:row>
      <xdr:rowOff>161925</xdr:rowOff>
    </xdr:from>
    <xdr:ext cx="8029575" cy="6410325"/>
    <xdr:graphicFrame macro="">
      <xdr:nvGraphicFramePr>
        <xdr:cNvPr id="179003590" name="Chart 31">
          <a:extLst>
            <a:ext uri="{FF2B5EF4-FFF2-40B4-BE49-F238E27FC236}">
              <a16:creationId xmlns:a16="http://schemas.microsoft.com/office/drawing/2014/main" id="{00000000-0008-0000-1300-0000C660A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dr:oneCellAnchor>
    <xdr:from>
      <xdr:col>8</xdr:col>
      <xdr:colOff>333375</xdr:colOff>
      <xdr:row>55</xdr:row>
      <xdr:rowOff>171450</xdr:rowOff>
    </xdr:from>
    <xdr:ext cx="9172575" cy="7477125"/>
    <xdr:graphicFrame macro="">
      <xdr:nvGraphicFramePr>
        <xdr:cNvPr id="870167658" name="Chart 32">
          <a:extLst>
            <a:ext uri="{FF2B5EF4-FFF2-40B4-BE49-F238E27FC236}">
              <a16:creationId xmlns:a16="http://schemas.microsoft.com/office/drawing/2014/main" id="{00000000-0008-0000-1400-00006AB4D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56</xdr:row>
      <xdr:rowOff>161925</xdr:rowOff>
    </xdr:from>
    <xdr:ext cx="8029575" cy="6410325"/>
    <xdr:graphicFrame macro="">
      <xdr:nvGraphicFramePr>
        <xdr:cNvPr id="1935018199" name="Chart 33">
          <a:extLst>
            <a:ext uri="{FF2B5EF4-FFF2-40B4-BE49-F238E27FC236}">
              <a16:creationId xmlns:a16="http://schemas.microsoft.com/office/drawing/2014/main" id="{00000000-0008-0000-1400-0000D7085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dr:oneCellAnchor>
    <xdr:from>
      <xdr:col>8</xdr:col>
      <xdr:colOff>333375</xdr:colOff>
      <xdr:row>83</xdr:row>
      <xdr:rowOff>171450</xdr:rowOff>
    </xdr:from>
    <xdr:ext cx="9172575" cy="6238875"/>
    <xdr:graphicFrame macro="">
      <xdr:nvGraphicFramePr>
        <xdr:cNvPr id="876352375" name="Chart 34">
          <a:extLst>
            <a:ext uri="{FF2B5EF4-FFF2-40B4-BE49-F238E27FC236}">
              <a16:creationId xmlns:a16="http://schemas.microsoft.com/office/drawing/2014/main" id="{00000000-0008-0000-1500-000077133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84</xdr:row>
      <xdr:rowOff>161925</xdr:rowOff>
    </xdr:from>
    <xdr:ext cx="8029575" cy="6410325"/>
    <xdr:graphicFrame macro="">
      <xdr:nvGraphicFramePr>
        <xdr:cNvPr id="1628532838" name="Chart 35">
          <a:extLst>
            <a:ext uri="{FF2B5EF4-FFF2-40B4-BE49-F238E27FC236}">
              <a16:creationId xmlns:a16="http://schemas.microsoft.com/office/drawing/2014/main" id="{00000000-0008-0000-1500-000066701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dr:oneCellAnchor>
    <xdr:from>
      <xdr:col>8</xdr:col>
      <xdr:colOff>333375</xdr:colOff>
      <xdr:row>52</xdr:row>
      <xdr:rowOff>171450</xdr:rowOff>
    </xdr:from>
    <xdr:ext cx="9172575" cy="6238875"/>
    <xdr:graphicFrame macro="">
      <xdr:nvGraphicFramePr>
        <xdr:cNvPr id="825060989" name="Chart 36">
          <a:extLst>
            <a:ext uri="{FF2B5EF4-FFF2-40B4-BE49-F238E27FC236}">
              <a16:creationId xmlns:a16="http://schemas.microsoft.com/office/drawing/2014/main" id="{00000000-0008-0000-1600-00007D6E2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933450</xdr:colOff>
      <xdr:row>66</xdr:row>
      <xdr:rowOff>152400</xdr:rowOff>
    </xdr:from>
    <xdr:ext cx="5610225" cy="5781675"/>
    <xdr:graphicFrame macro="">
      <xdr:nvGraphicFramePr>
        <xdr:cNvPr id="1696996853" name="Chart 37">
          <a:extLst>
            <a:ext uri="{FF2B5EF4-FFF2-40B4-BE49-F238E27FC236}">
              <a16:creationId xmlns:a16="http://schemas.microsoft.com/office/drawing/2014/main" id="{00000000-0008-0000-1600-0000F51D2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dr:oneCellAnchor>
    <xdr:from>
      <xdr:col>8</xdr:col>
      <xdr:colOff>333375</xdr:colOff>
      <xdr:row>51</xdr:row>
      <xdr:rowOff>171450</xdr:rowOff>
    </xdr:from>
    <xdr:ext cx="9172575" cy="6238875"/>
    <xdr:graphicFrame macro="">
      <xdr:nvGraphicFramePr>
        <xdr:cNvPr id="2040008276" name="Chart 38">
          <a:extLst>
            <a:ext uri="{FF2B5EF4-FFF2-40B4-BE49-F238E27FC236}">
              <a16:creationId xmlns:a16="http://schemas.microsoft.com/office/drawing/2014/main" id="{00000000-0008-0000-1700-0000540E9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65</xdr:row>
      <xdr:rowOff>123825</xdr:rowOff>
    </xdr:from>
    <xdr:ext cx="6143625" cy="5781675"/>
    <xdr:graphicFrame macro="">
      <xdr:nvGraphicFramePr>
        <xdr:cNvPr id="1265517780" name="Chart 39">
          <a:extLst>
            <a:ext uri="{FF2B5EF4-FFF2-40B4-BE49-F238E27FC236}">
              <a16:creationId xmlns:a16="http://schemas.microsoft.com/office/drawing/2014/main" id="{00000000-0008-0000-1700-0000D4446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dr:oneCellAnchor>
    <xdr:from>
      <xdr:col>8</xdr:col>
      <xdr:colOff>333375</xdr:colOff>
      <xdr:row>71</xdr:row>
      <xdr:rowOff>171450</xdr:rowOff>
    </xdr:from>
    <xdr:ext cx="9172575" cy="6238875"/>
    <xdr:graphicFrame macro="">
      <xdr:nvGraphicFramePr>
        <xdr:cNvPr id="2095992641" name="Chart 40">
          <a:extLst>
            <a:ext uri="{FF2B5EF4-FFF2-40B4-BE49-F238E27FC236}">
              <a16:creationId xmlns:a16="http://schemas.microsoft.com/office/drawing/2014/main" id="{00000000-0008-0000-1800-0000414FE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85</xdr:row>
      <xdr:rowOff>123825</xdr:rowOff>
    </xdr:from>
    <xdr:ext cx="6143625" cy="5781675"/>
    <xdr:graphicFrame macro="">
      <xdr:nvGraphicFramePr>
        <xdr:cNvPr id="1524208851" name="Chart 41">
          <a:extLst>
            <a:ext uri="{FF2B5EF4-FFF2-40B4-BE49-F238E27FC236}">
              <a16:creationId xmlns:a16="http://schemas.microsoft.com/office/drawing/2014/main" id="{00000000-0008-0000-1800-0000D394D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dr:oneCellAnchor>
    <xdr:from>
      <xdr:col>8</xdr:col>
      <xdr:colOff>333375</xdr:colOff>
      <xdr:row>38</xdr:row>
      <xdr:rowOff>171450</xdr:rowOff>
    </xdr:from>
    <xdr:ext cx="9172575" cy="7477125"/>
    <xdr:graphicFrame macro="">
      <xdr:nvGraphicFramePr>
        <xdr:cNvPr id="309221918" name="Chart 42">
          <a:extLst>
            <a:ext uri="{FF2B5EF4-FFF2-40B4-BE49-F238E27FC236}">
              <a16:creationId xmlns:a16="http://schemas.microsoft.com/office/drawing/2014/main" id="{00000000-0008-0000-1900-00001E5A6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781050</xdr:colOff>
      <xdr:row>39</xdr:row>
      <xdr:rowOff>161925</xdr:rowOff>
    </xdr:from>
    <xdr:ext cx="8029575" cy="6410325"/>
    <xdr:graphicFrame macro="">
      <xdr:nvGraphicFramePr>
        <xdr:cNvPr id="1523007540" name="Chart 43">
          <a:extLst>
            <a:ext uri="{FF2B5EF4-FFF2-40B4-BE49-F238E27FC236}">
              <a16:creationId xmlns:a16="http://schemas.microsoft.com/office/drawing/2014/main" id="{00000000-0008-0000-1900-00003440C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dr:oneCellAnchor>
    <xdr:from>
      <xdr:col>8</xdr:col>
      <xdr:colOff>333375</xdr:colOff>
      <xdr:row>46</xdr:row>
      <xdr:rowOff>171450</xdr:rowOff>
    </xdr:from>
    <xdr:ext cx="9172575" cy="6238875"/>
    <xdr:graphicFrame macro="">
      <xdr:nvGraphicFramePr>
        <xdr:cNvPr id="2002308255" name="Chart 44">
          <a:extLst>
            <a:ext uri="{FF2B5EF4-FFF2-40B4-BE49-F238E27FC236}">
              <a16:creationId xmlns:a16="http://schemas.microsoft.com/office/drawing/2014/main" id="{00000000-0008-0000-1A00-00009FCC5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552450</xdr:colOff>
      <xdr:row>57</xdr:row>
      <xdr:rowOff>28575</xdr:rowOff>
    </xdr:from>
    <xdr:ext cx="8029575" cy="6438900"/>
    <xdr:graphicFrame macro="">
      <xdr:nvGraphicFramePr>
        <xdr:cNvPr id="608696891" name="Chart 45">
          <a:extLst>
            <a:ext uri="{FF2B5EF4-FFF2-40B4-BE49-F238E27FC236}">
              <a16:creationId xmlns:a16="http://schemas.microsoft.com/office/drawing/2014/main" id="{00000000-0008-0000-1A00-00003BFA4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dr:oneCellAnchor>
    <xdr:from>
      <xdr:col>8</xdr:col>
      <xdr:colOff>333375</xdr:colOff>
      <xdr:row>40</xdr:row>
      <xdr:rowOff>171450</xdr:rowOff>
    </xdr:from>
    <xdr:ext cx="9172575" cy="6238875"/>
    <xdr:graphicFrame macro="">
      <xdr:nvGraphicFramePr>
        <xdr:cNvPr id="1510288095" name="Chart 46">
          <a:extLst>
            <a:ext uri="{FF2B5EF4-FFF2-40B4-BE49-F238E27FC236}">
              <a16:creationId xmlns:a16="http://schemas.microsoft.com/office/drawing/2014/main" id="{00000000-0008-0000-1B00-0000DF2A0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54</xdr:row>
      <xdr:rowOff>123825</xdr:rowOff>
    </xdr:from>
    <xdr:ext cx="6143625" cy="5781675"/>
    <xdr:graphicFrame macro="">
      <xdr:nvGraphicFramePr>
        <xdr:cNvPr id="488931575" name="Chart 47">
          <a:extLst>
            <a:ext uri="{FF2B5EF4-FFF2-40B4-BE49-F238E27FC236}">
              <a16:creationId xmlns:a16="http://schemas.microsoft.com/office/drawing/2014/main" id="{00000000-0008-0000-1B00-0000F7802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https://vulcraft.com/catalogs/JoistGirder/Load_Tables_ASD_K-Series.pdf" TargetMode="External"/><Relationship Id="rId13" Type="http://schemas.openxmlformats.org/officeDocument/2006/relationships/hyperlink" Target="https://therm-all.com/a-guide-to-metal-building-insulation/" TargetMode="External"/><Relationship Id="rId18" Type="http://schemas.openxmlformats.org/officeDocument/2006/relationships/hyperlink" Target="https://www.hansenpolebuildings.com/2015/08/standing-seam-steel/" TargetMode="External"/><Relationship Id="rId3" Type="http://schemas.openxmlformats.org/officeDocument/2006/relationships/hyperlink" Target="https://constructionmentor.net/wood-joist-floor-assembly/" TargetMode="External"/><Relationship Id="rId21" Type="http://schemas.openxmlformats.org/officeDocument/2006/relationships/vmlDrawing" Target="../drawings/vmlDrawing1.vml"/><Relationship Id="rId7" Type="http://schemas.openxmlformats.org/officeDocument/2006/relationships/hyperlink" Target="https://vulcraft.com/learning/designing-lecture/Roof%20Design%20with%20Joists%20and%20Joist%20Girders.pdf" TargetMode="External"/><Relationship Id="rId12" Type="http://schemas.openxmlformats.org/officeDocument/2006/relationships/hyperlink" Target="https://www.greenbuildingadvisor.com/cad/detail/wall-section-metal-lap-siding-1-rigid-insulation" TargetMode="External"/><Relationship Id="rId17" Type="http://schemas.openxmlformats.org/officeDocument/2006/relationships/hyperlink" Target="https://roofonline.com/weight-of-roofing-materials/" TargetMode="External"/><Relationship Id="rId2" Type="http://schemas.openxmlformats.org/officeDocument/2006/relationships/hyperlink" Target="https://roofobservations.com/2x12-lumber-weight/" TargetMode="External"/><Relationship Id="rId16" Type="http://schemas.openxmlformats.org/officeDocument/2006/relationships/hyperlink" Target="https://armstrongmetalcrafts.com/reference/SheetMetalGaugeWeight.aspx" TargetMode="External"/><Relationship Id="rId20" Type="http://schemas.openxmlformats.org/officeDocument/2006/relationships/drawing" Target="../drawings/drawing2.xm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vulcraft.com/learning/designing-lecture/Roof%20Design%20with%20Joists%20and%20Joist%20Girders.pdf" TargetMode="External"/><Relationship Id="rId11" Type="http://schemas.openxmlformats.org/officeDocument/2006/relationships/hyperlink" Target="https://www.concretebuildings.org/tiltup/faq.html" TargetMode="External"/><Relationship Id="rId5" Type="http://schemas.openxmlformats.org/officeDocument/2006/relationships/hyperlink" Target="https://www.hunker.com/13401564/how-to-calculate-the-weight-of-plywood/" TargetMode="External"/><Relationship Id="rId15" Type="http://schemas.openxmlformats.org/officeDocument/2006/relationships/hyperlink" Target="https://www.vortexdoors.com/blog/commercial-roll-up-door-sizes" TargetMode="External"/><Relationship Id="rId10" Type="http://schemas.openxmlformats.org/officeDocument/2006/relationships/hyperlink" Target="https://www.bowmancc.com/articles/what-is-cmu-veneer" TargetMode="External"/><Relationship Id="rId19" Type="http://schemas.openxmlformats.org/officeDocument/2006/relationships/hyperlink" Target="https://www.soundproofingcompany.com/soundproofing_101/building-materials-weights-guide" TargetMode="External"/><Relationship Id="rId4" Type="http://schemas.openxmlformats.org/officeDocument/2006/relationships/hyperlink" Target="https://awc.org/calculators/span-options-calculator-for-wood-joists-and-rafters/" TargetMode="External"/><Relationship Id="rId9" Type="http://schemas.openxmlformats.org/officeDocument/2006/relationships/hyperlink" Target="https://www.riversidesheetmetal.net/sheet-metal/gauge-and-weight-chart/" TargetMode="External"/><Relationship Id="rId14" Type="http://schemas.openxmlformats.org/officeDocument/2006/relationships/hyperlink" Target="https://thegannagency.com/semi-truck-trailer-dimensions/" TargetMode="External"/><Relationship Id="rId22"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concretebuildings.org/tiltup/faq.html" TargetMode="External"/><Relationship Id="rId7" Type="http://schemas.openxmlformats.org/officeDocument/2006/relationships/comments" Target="../comments2.xml"/><Relationship Id="rId2" Type="http://schemas.openxmlformats.org/officeDocument/2006/relationships/hyperlink" Target="https://www.concretebuildings.org/tiltup/faq.html" TargetMode="Externa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hyperlink" Target="https://www.concretebuildings.org/tiltup/faq.htm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tilt-up.org/tilt-uptoday/wp-content/uploads/2021/04/S1-2500-2.jpg" TargetMode="External"/><Relationship Id="rId13" Type="http://schemas.openxmlformats.org/officeDocument/2006/relationships/hyperlink" Target="https://www.concretebuildings.org/tiltup/faq.html" TargetMode="External"/><Relationship Id="rId18" Type="http://schemas.openxmlformats.org/officeDocument/2006/relationships/hyperlink" Target="https://www.steelwindows.com/swi_pages/specs/specs_coldrolled.asp" TargetMode="External"/><Relationship Id="rId26" Type="http://schemas.openxmlformats.org/officeDocument/2006/relationships/drawing" Target="../drawings/drawing4.xml"/><Relationship Id="rId3" Type="http://schemas.openxmlformats.org/officeDocument/2006/relationships/hyperlink" Target="https://vulcraft.com/catalogs/JoistGirder/Load_Tables_ASD_K-Series.pdf" TargetMode="External"/><Relationship Id="rId21" Type="http://schemas.openxmlformats.org/officeDocument/2006/relationships/hyperlink" Target="https://www.starlinewindows.com/files/file/5c6de10c550b8/Aluminum-Glass-and-IGU-Design-Guidelines.pdf" TargetMode="External"/><Relationship Id="rId7" Type="http://schemas.openxmlformats.org/officeDocument/2006/relationships/hyperlink" Target="https://vulcraft.com/catalogs/JoistGirder/Load_Tables_ASD_K-Series.pdf" TargetMode="External"/><Relationship Id="rId12" Type="http://schemas.openxmlformats.org/officeDocument/2006/relationships/hyperlink" Target="https://www.engineeringtoolbox.com/square-hollow-structural-sections-hss-d_1478.html" TargetMode="External"/><Relationship Id="rId17" Type="http://schemas.openxmlformats.org/officeDocument/2006/relationships/hyperlink" Target="https://www.metalbuildingdoors.com/steel-walk-doors.html" TargetMode="External"/><Relationship Id="rId25" Type="http://schemas.openxmlformats.org/officeDocument/2006/relationships/hyperlink" Target="https://www.jm.com/content/dam/jm/global/en/commercial-roofing/Data%20sheets/Cover%20Boards/RS-5594%20DensDeck.pdf" TargetMode="External"/><Relationship Id="rId2" Type="http://schemas.openxmlformats.org/officeDocument/2006/relationships/hyperlink" Target="https://constructionmentor.net/open-web-steel-joists/" TargetMode="External"/><Relationship Id="rId16" Type="http://schemas.openxmlformats.org/officeDocument/2006/relationships/hyperlink" Target="https://therm-all.com/a-guide-to-metal-building-insulation/" TargetMode="External"/><Relationship Id="rId20" Type="http://schemas.openxmlformats.org/officeDocument/2006/relationships/hyperlink" Target="https://www.westcoastglass.com/wp-content/uploads/2019/03/GIB-LD-08-0814-Weight-of-Laminated-Architectural-Glass.pdf" TargetMode="External"/><Relationship Id="rId1" Type="http://schemas.openxmlformats.org/officeDocument/2006/relationships/hyperlink" Target="https://vulcraft.com/learning/designing-lecture/Roof%20Design%20with%20Joists%20and%20Joist%20Girders.pdf" TargetMode="External"/><Relationship Id="rId6" Type="http://schemas.openxmlformats.org/officeDocument/2006/relationships/hyperlink" Target="https://constructionmentor.net/open-web-steel-joists/" TargetMode="External"/><Relationship Id="rId11" Type="http://schemas.openxmlformats.org/officeDocument/2006/relationships/hyperlink" Target="https://www.extraspace.com/blog/self-storage/average-car-dimensions/" TargetMode="External"/><Relationship Id="rId24" Type="http://schemas.openxmlformats.org/officeDocument/2006/relationships/hyperlink" Target="https://roofonline.com/weight-of-roofing-materials/" TargetMode="External"/><Relationship Id="rId5" Type="http://schemas.openxmlformats.org/officeDocument/2006/relationships/hyperlink" Target="https://vulcraft.com/learning/designing-lecture/Roof%20Design%20with%20Joists%20and%20Joist%20Girders.pdf" TargetMode="External"/><Relationship Id="rId15" Type="http://schemas.openxmlformats.org/officeDocument/2006/relationships/hyperlink" Target="https://www.concretebuildings.org/tiltup/faq.html" TargetMode="External"/><Relationship Id="rId23" Type="http://schemas.openxmlformats.org/officeDocument/2006/relationships/hyperlink" Target="https://www.westcoastglass.com/wp-content/uploads/2019/03/GIB-LD-08-0814-Weight-of-Laminated-Architectural-Glass.pdf" TargetMode="External"/><Relationship Id="rId28" Type="http://schemas.openxmlformats.org/officeDocument/2006/relationships/comments" Target="../comments3.xml"/><Relationship Id="rId10" Type="http://schemas.openxmlformats.org/officeDocument/2006/relationships/hyperlink" Target="https://www.riversidesheetmetal.net/sheet-metal/gauge-and-weight-chart/" TargetMode="External"/><Relationship Id="rId19" Type="http://schemas.openxmlformats.org/officeDocument/2006/relationships/hyperlink" Target="https://syracuseglass.com/E-DOCS/general/EDOCS/Approximate%20Weight%20of%20Architectural%20Flat%20Glass.pdf" TargetMode="External"/><Relationship Id="rId4" Type="http://schemas.openxmlformats.org/officeDocument/2006/relationships/hyperlink" Target="https://www.riversidesheetmetal.net/sheet-metal/gauge-and-weight-chart/" TargetMode="External"/><Relationship Id="rId9" Type="http://schemas.openxmlformats.org/officeDocument/2006/relationships/hyperlink" Target="https://www.mkmetal.net/steel/roofing-siding" TargetMode="External"/><Relationship Id="rId14" Type="http://schemas.openxmlformats.org/officeDocument/2006/relationships/hyperlink" Target="https://www.bowmancc.com/articles/what-is-cmu-veneer" TargetMode="External"/><Relationship Id="rId22" Type="http://schemas.openxmlformats.org/officeDocument/2006/relationships/hyperlink" Target="https://syracuseglass.com/E-DOCS/general/EDOCS/Approximate%20Weight%20of%20Architectural%20Flat%20Glass.pdf" TargetMode="External"/><Relationship Id="rId27"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8" Type="http://schemas.openxmlformats.org/officeDocument/2006/relationships/hyperlink" Target="https://web.archive.org/web/20230607194323/https:/www.wbdg.org/building-types/armories" TargetMode="External"/><Relationship Id="rId13" Type="http://schemas.openxmlformats.org/officeDocument/2006/relationships/hyperlink" Target="https://roofonline.com/weight-of-roofing-materials/" TargetMode="External"/><Relationship Id="rId3" Type="http://schemas.openxmlformats.org/officeDocument/2006/relationships/hyperlink" Target="https://montanaroofingsolutions.com/blog/roof-sheathing-thickness/" TargetMode="External"/><Relationship Id="rId7" Type="http://schemas.openxmlformats.org/officeDocument/2006/relationships/hyperlink" Target="https://www.concretebuildings.org/tiltup/faq.html" TargetMode="External"/><Relationship Id="rId12" Type="http://schemas.openxmlformats.org/officeDocument/2006/relationships/hyperlink" Target="https://www.jm.com/content/dam/jm/global/en/commercial-roofing/Data%20sheets/Cover%20Boards/RS-5594%20DensDeck.pdf" TargetMode="External"/><Relationship Id="rId2" Type="http://schemas.openxmlformats.org/officeDocument/2006/relationships/hyperlink" Target="https://www.billraganroofing.com/blog/what-roof-decking" TargetMode="External"/><Relationship Id="rId16" Type="http://schemas.openxmlformats.org/officeDocument/2006/relationships/comments" Target="../comments4.xm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www.bowmancc.com/articles/what-is-cmu-veneer" TargetMode="External"/><Relationship Id="rId11" Type="http://schemas.openxmlformats.org/officeDocument/2006/relationships/hyperlink" Target="https://web.archive.org/web/20230607194323/https:/www.wbdg.org/building-types/armories" TargetMode="External"/><Relationship Id="rId5" Type="http://schemas.openxmlformats.org/officeDocument/2006/relationships/hyperlink" Target="https://vulcraft.com/learning/designing-lecture/Roof%20Design%20with%20Joists%20and%20Joist%20Girders.pdf" TargetMode="External"/><Relationship Id="rId15" Type="http://schemas.openxmlformats.org/officeDocument/2006/relationships/vmlDrawing" Target="../drawings/vmlDrawing4.vml"/><Relationship Id="rId10" Type="http://schemas.openxmlformats.org/officeDocument/2006/relationships/hyperlink" Target="https://syracuseglass.com/E-DOCS/general/EDOCS/Approximate%20Weight%20of%20Architectural%20Flat%20Glass.pdf" TargetMode="External"/><Relationship Id="rId4" Type="http://schemas.openxmlformats.org/officeDocument/2006/relationships/hyperlink" Target="https://vulcraft.com/catalogs/JoistGirder/Load_Tables_ASD_K-Series.pdf" TargetMode="External"/><Relationship Id="rId9" Type="http://schemas.openxmlformats.org/officeDocument/2006/relationships/hyperlink" Target="https://www.steelwindows.com/swi_pages/specs/specs_coldrolled.asp" TargetMode="External"/><Relationship Id="rId1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concretebuildings.org/tiltup/faq.html" TargetMode="External"/><Relationship Id="rId13" Type="http://schemas.openxmlformats.org/officeDocument/2006/relationships/drawing" Target="../drawings/drawing6.xml"/><Relationship Id="rId3" Type="http://schemas.openxmlformats.org/officeDocument/2006/relationships/hyperlink" Target="https://www.westernstatesmetalroofing.com/blog/metal-purlins" TargetMode="External"/><Relationship Id="rId7" Type="http://schemas.openxmlformats.org/officeDocument/2006/relationships/hyperlink" Target="https://www.bowmancc.com/articles/what-is-cmu-veneer" TargetMode="External"/><Relationship Id="rId12" Type="http://schemas.openxmlformats.org/officeDocument/2006/relationships/hyperlink" Target="https://roofonline.com/weight-of-roofing-materials/" TargetMode="External"/><Relationship Id="rId2" Type="http://schemas.openxmlformats.org/officeDocument/2006/relationships/hyperlink" Target="https://montanaroofingsolutions.com/blog/roof-sheathing-thickness/" TargetMode="External"/><Relationship Id="rId1" Type="http://schemas.openxmlformats.org/officeDocument/2006/relationships/hyperlink" Target="https://www.billraganroofing.com/blog/what-roof-decking" TargetMode="External"/><Relationship Id="rId6" Type="http://schemas.openxmlformats.org/officeDocument/2006/relationships/hyperlink" Target="https://vulcraft.com/catalogs/JoistGirder/Load_Tables_ASD_K-Series.pdf" TargetMode="External"/><Relationship Id="rId11" Type="http://schemas.openxmlformats.org/officeDocument/2006/relationships/hyperlink" Target="https://www.jm.com/content/dam/jm/global/en/commercial-roofing/Data%20sheets/Cover%20Boards/RS-5594%20DensDeck.pdf" TargetMode="External"/><Relationship Id="rId5" Type="http://schemas.openxmlformats.org/officeDocument/2006/relationships/hyperlink" Target="http://trantor.sheridanc.on.ca/webct/arct4001/Lesson-plans/TASC_BeamsOWSJ.pdf" TargetMode="External"/><Relationship Id="rId15" Type="http://schemas.openxmlformats.org/officeDocument/2006/relationships/comments" Target="../comments5.xml"/><Relationship Id="rId10" Type="http://schemas.openxmlformats.org/officeDocument/2006/relationships/hyperlink" Target="https://syracuseglass.com/E-DOCS/general/EDOCS/Approximate%20Weight%20of%20Architectural%20Flat%20Glass.pdf" TargetMode="External"/><Relationship Id="rId4" Type="http://schemas.openxmlformats.org/officeDocument/2006/relationships/hyperlink" Target="https://www.mbci.com/products/cees-and-zees/?srsltid=AfmBOoppsz5Rp_DBlhE_10hxjN-5OQHeUvAm6IbUh2bNboYusIovBbHx" TargetMode="External"/><Relationship Id="rId9" Type="http://schemas.openxmlformats.org/officeDocument/2006/relationships/hyperlink" Target="https://www.steelwindows.com/swi_pages/specs/specs_coldrolled.asp" TargetMode="External"/><Relationship Id="rId14"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riversidesheetmetal.net/sheet-metal/gauge-and-weight-chart/" TargetMode="External"/><Relationship Id="rId13" Type="http://schemas.openxmlformats.org/officeDocument/2006/relationships/hyperlink" Target="https://www.concretebuildings.org/tiltup/faq.html" TargetMode="External"/><Relationship Id="rId18" Type="http://schemas.openxmlformats.org/officeDocument/2006/relationships/hyperlink" Target="https://www.westcoastglass.com/wp-content/uploads/2019/03/GIB-LD-08-0814-Weight-of-Laminated-Architectural-Glass.pdf" TargetMode="External"/><Relationship Id="rId3" Type="http://schemas.openxmlformats.org/officeDocument/2006/relationships/hyperlink" Target="https://help.oneclicklca.com/en/articles/275888-average-quantities-of-reinforcement-in-concrete" TargetMode="External"/><Relationship Id="rId21" Type="http://schemas.openxmlformats.org/officeDocument/2006/relationships/drawing" Target="../drawings/drawing7.xml"/><Relationship Id="rId7" Type="http://schemas.openxmlformats.org/officeDocument/2006/relationships/hyperlink" Target="https://www.mbci.com/products/cees-and-zees/?srsltid=AfmBOoppsz5Rp_DBlhE_10hxjN-5OQHeUvAm6IbUh2bNboYusIovBbHx" TargetMode="External"/><Relationship Id="rId12" Type="http://schemas.openxmlformats.org/officeDocument/2006/relationships/hyperlink" Target="https://www.bowmancc.com/articles/what-is-cmu-veneer" TargetMode="External"/><Relationship Id="rId17" Type="http://schemas.openxmlformats.org/officeDocument/2006/relationships/hyperlink" Target="https://syracuseglass.com/E-DOCS/general/EDOCS/Approximate%20Weight%20of%20Architectural%20Flat%20Glass.pdf" TargetMode="External"/><Relationship Id="rId2" Type="http://schemas.openxmlformats.org/officeDocument/2006/relationships/hyperlink" Target="https://www.concretebuildings.org/tiltup/faq.html" TargetMode="External"/><Relationship Id="rId16" Type="http://schemas.openxmlformats.org/officeDocument/2006/relationships/hyperlink" Target="https://gealanwindows.com/blog/standard-window-sizes-in-the-us/" TargetMode="External"/><Relationship Id="rId20" Type="http://schemas.openxmlformats.org/officeDocument/2006/relationships/hyperlink" Target="https://www.jm.com/content/dam/jm/global/en/commercial-roofing/Data%20sheets/Cover%20Boards/RS-5594%20DensDeck.pdf" TargetMode="Externa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www.westernstatesmetalroofing.com/blog/metal-purlins" TargetMode="External"/><Relationship Id="rId11" Type="http://schemas.openxmlformats.org/officeDocument/2006/relationships/hyperlink" Target="https://www.concretebuildings.org/tiltup/faq.html" TargetMode="External"/><Relationship Id="rId5" Type="http://schemas.openxmlformats.org/officeDocument/2006/relationships/hyperlink" Target="http://trantor.sheridanc.on.ca/webct/arct4001/Lesson-plans/TASC_BeamsOWSJ.pdf" TargetMode="External"/><Relationship Id="rId15" Type="http://schemas.openxmlformats.org/officeDocument/2006/relationships/hyperlink" Target="https://www.steelwindows.com/swi_pages/specs/specs_coldrolled.asp" TargetMode="External"/><Relationship Id="rId23" Type="http://schemas.openxmlformats.org/officeDocument/2006/relationships/comments" Target="../comments6.xml"/><Relationship Id="rId10" Type="http://schemas.openxmlformats.org/officeDocument/2006/relationships/hyperlink" Target="https://structurepoint.org/pdfs/Two-Way-Concrete-Floor-Slab-with-Beams-Design-Detailing.htm" TargetMode="External"/><Relationship Id="rId19" Type="http://schemas.openxmlformats.org/officeDocument/2006/relationships/hyperlink" Target="https://roofonline.com/weight-of-roofing-materials/" TargetMode="External"/><Relationship Id="rId4" Type="http://schemas.openxmlformats.org/officeDocument/2006/relationships/hyperlink" Target="https://structurepoint.org/pdfs/Two-Way-Concrete-Floor-Slab-with-Beams-Design-Detailing.htm" TargetMode="External"/><Relationship Id="rId9" Type="http://schemas.openxmlformats.org/officeDocument/2006/relationships/hyperlink" Target="https://help.oneclicklca.com/en/articles/275888-average-quantities-of-reinforcement-in-concrete" TargetMode="External"/><Relationship Id="rId14" Type="http://schemas.openxmlformats.org/officeDocument/2006/relationships/hyperlink" Target="https://www.metalbuildingdoors.com/steel-walk-doors.html" TargetMode="External"/><Relationship Id="rId22"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8" Type="http://schemas.openxmlformats.org/officeDocument/2006/relationships/hyperlink" Target="https://www.dow.com/en-us/market/mkt-building-construction/silicone-construction-calculators.html" TargetMode="External"/><Relationship Id="rId13" Type="http://schemas.openxmlformats.org/officeDocument/2006/relationships/drawing" Target="../drawings/drawing8.xml"/><Relationship Id="rId3" Type="http://schemas.openxmlformats.org/officeDocument/2006/relationships/hyperlink" Target="https://alsyedconstruction.com/rafters-in-construction-in-usa/" TargetMode="External"/><Relationship Id="rId7" Type="http://schemas.openxmlformats.org/officeDocument/2006/relationships/hyperlink" Target="https://syracuseglass.com/E-DOCS/general/EDOCS/Approximate%20Weight%20of%20Architectural%20Flat%20Glass.pdf" TargetMode="External"/><Relationship Id="rId12" Type="http://schemas.openxmlformats.org/officeDocument/2006/relationships/hyperlink" Target="https://bayvalleyroofing.com/blog/what-size-plywood-for-roofing/" TargetMode="External"/><Relationship Id="rId2" Type="http://schemas.openxmlformats.org/officeDocument/2006/relationships/hyperlink" Target="https://montanaroofingsolutions.com/blog/roof-sheathing-thickness/" TargetMode="External"/><Relationship Id="rId1" Type="http://schemas.openxmlformats.org/officeDocument/2006/relationships/hyperlink" Target="https://www.billraganroofing.com/blog/what-roof-decking" TargetMode="External"/><Relationship Id="rId6" Type="http://schemas.openxmlformats.org/officeDocument/2006/relationships/hyperlink" Target="https://www.westcoastglass.com/wp-content/uploads/2019/03/GIB-LD-08-0814-Weight-of-Laminated-Architectural-Glass.pdf" TargetMode="External"/><Relationship Id="rId11" Type="http://schemas.openxmlformats.org/officeDocument/2006/relationships/hyperlink" Target="https://roofonline.com/weight-of-roofing-materials/" TargetMode="External"/><Relationship Id="rId5" Type="http://schemas.openxmlformats.org/officeDocument/2006/relationships/hyperlink" Target="https://www.starlinewindows.com/files/file/5c6de10c550b8/Aluminum-Glass-and-IGU-Design-Guidelines.pdf" TargetMode="External"/><Relationship Id="rId15" Type="http://schemas.openxmlformats.org/officeDocument/2006/relationships/comments" Target="../comments7.xml"/><Relationship Id="rId10" Type="http://schemas.openxmlformats.org/officeDocument/2006/relationships/hyperlink" Target="https://roofonline.com/weight-of-roofing-materials/" TargetMode="External"/><Relationship Id="rId4" Type="http://schemas.openxmlformats.org/officeDocument/2006/relationships/hyperlink" Target="https://www.hansenpolebuildings.com/2020/08/stick-framing/" TargetMode="External"/><Relationship Id="rId9" Type="http://schemas.openxmlformats.org/officeDocument/2006/relationships/hyperlink" Target="https://roofonline.com/weight-of-roofing-materials/" TargetMode="External"/><Relationship Id="rId14"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8" Type="http://schemas.openxmlformats.org/officeDocument/2006/relationships/hyperlink" Target="https://rmadocs.venturacounty.gov/images/pdf/bs/handouts/B-91.pdf" TargetMode="External"/><Relationship Id="rId13" Type="http://schemas.openxmlformats.org/officeDocument/2006/relationships/hyperlink" Target="https://syracuseglass.com/E-DOCS/general/EDOCS/Approximate%20Weight%20of%20Architectural%20Flat%20Glass.pdf" TargetMode="External"/><Relationship Id="rId18" Type="http://schemas.openxmlformats.org/officeDocument/2006/relationships/hyperlink" Target="https://roofonline.com/weight-of-roofing-materials/" TargetMode="External"/><Relationship Id="rId3" Type="http://schemas.openxmlformats.org/officeDocument/2006/relationships/hyperlink" Target="https://rmadocs.venturacounty.gov/images/pdf/bs/handouts/B-91.pdf" TargetMode="External"/><Relationship Id="rId21" Type="http://schemas.openxmlformats.org/officeDocument/2006/relationships/comments" Target="../comments8.xml"/><Relationship Id="rId7" Type="http://schemas.openxmlformats.org/officeDocument/2006/relationships/hyperlink" Target="https://montanaroofingsolutions.com/blog/roof-sheathing-thickness/" TargetMode="External"/><Relationship Id="rId12" Type="http://schemas.openxmlformats.org/officeDocument/2006/relationships/hyperlink" Target="https://www.starlinewindows.com/files/file/5c6de10c550b8/Aluminum-Glass-and-IGU-Design-Guidelines.pdf" TargetMode="External"/><Relationship Id="rId17" Type="http://schemas.openxmlformats.org/officeDocument/2006/relationships/hyperlink" Target="https://www.jm.com/content/dam/jm/global/en/commercial-roofing/Data%20sheets/Cover%20Boards/RS-5594%20DensDeck.pdf" TargetMode="External"/><Relationship Id="rId2" Type="http://schemas.openxmlformats.org/officeDocument/2006/relationships/hyperlink" Target="https://montanaroofingsolutions.com/blog/roof-sheathing-thickness/" TargetMode="External"/><Relationship Id="rId16" Type="http://schemas.openxmlformats.org/officeDocument/2006/relationships/hyperlink" Target="https://www.karaymetals.com/metals-density-table" TargetMode="External"/><Relationship Id="rId20" Type="http://schemas.openxmlformats.org/officeDocument/2006/relationships/vmlDrawing" Target="../drawings/vmlDrawing8.vml"/><Relationship Id="rId1" Type="http://schemas.openxmlformats.org/officeDocument/2006/relationships/hyperlink" Target="https://www.billraganroofing.com/blog/what-roof-decking" TargetMode="External"/><Relationship Id="rId6" Type="http://schemas.openxmlformats.org/officeDocument/2006/relationships/hyperlink" Target="https://www.billraganroofing.com/blog/what-roof-decking" TargetMode="External"/><Relationship Id="rId11" Type="http://schemas.openxmlformats.org/officeDocument/2006/relationships/hyperlink" Target="https://www.cdfdistributors.com/what-are-the-average-dimensions-of-a-commercial-door/" TargetMode="External"/><Relationship Id="rId5" Type="http://schemas.openxmlformats.org/officeDocument/2006/relationships/hyperlink" Target="https://www.hansenpolebuildings.com/2020/08/stick-framing/" TargetMode="External"/><Relationship Id="rId15" Type="http://schemas.openxmlformats.org/officeDocument/2006/relationships/hyperlink" Target="https://www.westcoastglass.com/wp-content/uploads/2019/03/GIB-LD-08-0814-Weight-of-Laminated-Architectural-Glass.pdf" TargetMode="External"/><Relationship Id="rId10" Type="http://schemas.openxmlformats.org/officeDocument/2006/relationships/hyperlink" Target="https://www.ci.port-hueneme.ca.us/DocumentCenter/View/3430/Patio-Cover-Attached" TargetMode="External"/><Relationship Id="rId19" Type="http://schemas.openxmlformats.org/officeDocument/2006/relationships/drawing" Target="../drawings/drawing9.xml"/><Relationship Id="rId4" Type="http://schemas.openxmlformats.org/officeDocument/2006/relationships/hyperlink" Target="https://pallyroofing.com/all-about-rafter-spacing-for-metal-roofs/" TargetMode="External"/><Relationship Id="rId9" Type="http://schemas.openxmlformats.org/officeDocument/2006/relationships/hyperlink" Target="https://www.ci.port-hueneme.ca.us/DocumentCenter/View/3430/Patio-Cover-Attached" TargetMode="External"/><Relationship Id="rId14" Type="http://schemas.openxmlformats.org/officeDocument/2006/relationships/hyperlink" Target="https://www.westcoastglass.com/wp-content/uploads/2019/03/GIB-LD-08-0814-Weight-of-Laminated-Architectural-Glass.pdf"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cascade-mfg-co.com/files/media/rooftrussspanchart.pdf" TargetMode="External"/><Relationship Id="rId13" Type="http://schemas.openxmlformats.org/officeDocument/2006/relationships/hyperlink" Target="https://riversidebrick.com/wp-content/uploads/2021/10/Masonry-Estimating-Guide-2.pdf" TargetMode="External"/><Relationship Id="rId18" Type="http://schemas.openxmlformats.org/officeDocument/2006/relationships/hyperlink" Target="https://roofonline.com/weight-of-roofing-materials/" TargetMode="External"/><Relationship Id="rId3" Type="http://schemas.openxmlformats.org/officeDocument/2006/relationships/hyperlink" Target="https://montanaroofingsolutions.com/blog/roof-sheathing-thickness/" TargetMode="External"/><Relationship Id="rId21" Type="http://schemas.openxmlformats.org/officeDocument/2006/relationships/comments" Target="../comments9.xml"/><Relationship Id="rId7" Type="http://schemas.openxmlformats.org/officeDocument/2006/relationships/hyperlink" Target="https://rangertruss.com/blog/importance-of-truss-spacing-best-practices/" TargetMode="External"/><Relationship Id="rId12" Type="http://schemas.openxmlformats.org/officeDocument/2006/relationships/hyperlink" Target="https://up.codes/s/general-masonry-construction" TargetMode="External"/><Relationship Id="rId17" Type="http://schemas.openxmlformats.org/officeDocument/2006/relationships/hyperlink" Target="https://www.jm.com/content/dam/jm/global/en/commercial-roofing/Data%20sheets/Cover%20Boards/RS-5594%20DensDeck.pdf" TargetMode="External"/><Relationship Id="rId2" Type="http://schemas.openxmlformats.org/officeDocument/2006/relationships/hyperlink" Target="https://www.billraganroofing.com/blog/what-roof-decking" TargetMode="External"/><Relationship Id="rId16" Type="http://schemas.openxmlformats.org/officeDocument/2006/relationships/hyperlink" Target="https://www.westcoastglass.com/wp-content/uploads/2019/03/GIB-LD-08-0814-Weight-of-Laminated-Architectural-Glass.pdf" TargetMode="External"/><Relationship Id="rId20" Type="http://schemas.openxmlformats.org/officeDocument/2006/relationships/vmlDrawing" Target="../drawings/vmlDrawing9.vm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www.d2rdesign.com/post/the-ultimate-flat-roof-calculator-guide?srsltid=AfmBOorVyK6m2mzBccAc0smV-KLrCr6cRntgA7ZZ9zPfZ1nU-p457Q-e" TargetMode="External"/><Relationship Id="rId11" Type="http://schemas.openxmlformats.org/officeDocument/2006/relationships/hyperlink" Target="https://web.archive.org/web/20230407231501/https:/www.wbdg.org/guides-specifications/building-envelope-design-guide/wall-systems/masonry-wall-systems" TargetMode="External"/><Relationship Id="rId5" Type="http://schemas.openxmlformats.org/officeDocument/2006/relationships/hyperlink" Target="https://pallyroofing.com/all-about-rafter-spacing-for-metal-roofs/" TargetMode="External"/><Relationship Id="rId15" Type="http://schemas.openxmlformats.org/officeDocument/2006/relationships/hyperlink" Target="https://syracuseglass.com/E-DOCS/general/EDOCS/Approximate%20Weight%20of%20Architectural%20Flat%20Glass.pdf" TargetMode="External"/><Relationship Id="rId10" Type="http://schemas.openxmlformats.org/officeDocument/2006/relationships/hyperlink" Target="https://www.hansenpolebuildings.com/2020/08/stick-framing/" TargetMode="External"/><Relationship Id="rId19" Type="http://schemas.openxmlformats.org/officeDocument/2006/relationships/drawing" Target="../drawings/drawing10.xml"/><Relationship Id="rId4" Type="http://schemas.openxmlformats.org/officeDocument/2006/relationships/hyperlink" Target="https://rmadocs.venturacounty.gov/images/pdf/bs/handouts/B-91.pdf" TargetMode="External"/><Relationship Id="rId9" Type="http://schemas.openxmlformats.org/officeDocument/2006/relationships/hyperlink" Target="https://roofobservations.com/2x6-lumber-weight/" TargetMode="External"/><Relationship Id="rId14" Type="http://schemas.openxmlformats.org/officeDocument/2006/relationships/hyperlink" Target="https://www.starlinewindows.com/files/file/5c6de10c550b8/Aluminum-Glass-and-IGU-Design-Guidelines.pdf"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realcedar.com/siding/pre-installation/" TargetMode="External"/><Relationship Id="rId13" Type="http://schemas.openxmlformats.org/officeDocument/2006/relationships/vmlDrawing" Target="../drawings/vmlDrawing10.vml"/><Relationship Id="rId3" Type="http://schemas.openxmlformats.org/officeDocument/2006/relationships/hyperlink" Target="https://montanaroofingsolutions.com/blog/roof-sheathing-thickness/" TargetMode="External"/><Relationship Id="rId7" Type="http://schemas.openxmlformats.org/officeDocument/2006/relationships/hyperlink" Target="https://ecoquery.ecoinvent.org/3.11/cutoff/dataset/12738/documentation" TargetMode="External"/><Relationship Id="rId12" Type="http://schemas.openxmlformats.org/officeDocument/2006/relationships/drawing" Target="../drawings/drawing11.xml"/><Relationship Id="rId2" Type="http://schemas.openxmlformats.org/officeDocument/2006/relationships/hyperlink" Target="https://www.billraganroofing.com/blog/what-roof-decking" TargetMode="Externa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www.hansenpolebuildings.com/2020/08/stick-framing/" TargetMode="External"/><Relationship Id="rId11" Type="http://schemas.openxmlformats.org/officeDocument/2006/relationships/hyperlink" Target="https://roofonline.com/weight-of-roofing-materials/" TargetMode="External"/><Relationship Id="rId5" Type="http://schemas.openxmlformats.org/officeDocument/2006/relationships/hyperlink" Target="https://pallyroofing.com/all-about-rafter-spacing-for-metal-roofs/" TargetMode="External"/><Relationship Id="rId10" Type="http://schemas.openxmlformats.org/officeDocument/2006/relationships/hyperlink" Target="https://www.jm.com/content/dam/jm/global/en/commercial-roofing/Data%20sheets/Cover%20Boards/RS-5594%20DensDeck.pdf" TargetMode="External"/><Relationship Id="rId4" Type="http://schemas.openxmlformats.org/officeDocument/2006/relationships/hyperlink" Target="https://rmadocs.venturacounty.gov/images/pdf/bs/handouts/B-91.pdf" TargetMode="External"/><Relationship Id="rId9" Type="http://schemas.openxmlformats.org/officeDocument/2006/relationships/hyperlink" Target="https://www.jugenheimersupplies.com/itemdetail/JI105870" TargetMode="External"/><Relationship Id="rId1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8" Type="http://schemas.openxmlformats.org/officeDocument/2006/relationships/hyperlink" Target="https://montanaroofingsolutions.com/blog/roof-sheathing-thickness/" TargetMode="External"/><Relationship Id="rId13" Type="http://schemas.openxmlformats.org/officeDocument/2006/relationships/hyperlink" Target="https://www.homedepot.com/c/ab/exterior-door-buying-guide/9ba683603be9fa5395fab90f82b562d" TargetMode="External"/><Relationship Id="rId3" Type="http://schemas.openxmlformats.org/officeDocument/2006/relationships/hyperlink" Target="https://constructionmentor.net/wood-joist-floor-assembly/" TargetMode="External"/><Relationship Id="rId7" Type="http://schemas.openxmlformats.org/officeDocument/2006/relationships/hyperlink" Target="https://www.billraganroofing.com/blog/what-roof-decking" TargetMode="External"/><Relationship Id="rId12" Type="http://schemas.openxmlformats.org/officeDocument/2006/relationships/hyperlink" Target="https://www.homedepot.com/p/MasterPiece-72-in-x-80-in-Smooth-White-Exterior-and-Interior-Right-Hand-Composite-Sliding-Patio-Door-G6068R00201/202339614" TargetMode="External"/><Relationship Id="rId17" Type="http://schemas.openxmlformats.org/officeDocument/2006/relationships/comments" Target="../comments11.xml"/><Relationship Id="rId2" Type="http://schemas.openxmlformats.org/officeDocument/2006/relationships/hyperlink" Target="https://rmadocs.venturacounty.gov/images/pdf/bs/handouts/B-91.pdf" TargetMode="External"/><Relationship Id="rId16" Type="http://schemas.openxmlformats.org/officeDocument/2006/relationships/vmlDrawing" Target="../drawings/vmlDrawing11.vm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www.hunker.com/13401564/how-to-calculate-the-weight-of-plywood/" TargetMode="External"/><Relationship Id="rId11" Type="http://schemas.openxmlformats.org/officeDocument/2006/relationships/hyperlink" Target="https://www.hansenpolebuildings.com/2020/08/stick-framing/" TargetMode="External"/><Relationship Id="rId5" Type="http://schemas.openxmlformats.org/officeDocument/2006/relationships/hyperlink" Target="https://www.woodfloorbusiness.com/installation/subfloor-prep/article/15124714/a-guide-to-subfloors-used-under-wood-flooring" TargetMode="External"/><Relationship Id="rId15" Type="http://schemas.openxmlformats.org/officeDocument/2006/relationships/drawing" Target="../drawings/drawing12.xml"/><Relationship Id="rId10" Type="http://schemas.openxmlformats.org/officeDocument/2006/relationships/hyperlink" Target="https://rmadocs.venturacounty.gov/images/pdf/bs/handouts/B-91.pdf" TargetMode="External"/><Relationship Id="rId4" Type="http://schemas.openxmlformats.org/officeDocument/2006/relationships/hyperlink" Target="https://homeinspectioninsider.com/floor-joist/%20&amp;%20IRC%20Table%20R502.3.1" TargetMode="External"/><Relationship Id="rId9" Type="http://schemas.openxmlformats.org/officeDocument/2006/relationships/hyperlink" Target="https://rmadocs.venturacounty.gov/images/pdf/bs/handouts/B-91.pdf" TargetMode="External"/><Relationship Id="rId14" Type="http://schemas.openxmlformats.org/officeDocument/2006/relationships/hyperlink" Target="https://roofonline.com/weight-of-roofing-materials/"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concretebuildings.org/tiltup/faq.html" TargetMode="External"/><Relationship Id="rId13" Type="http://schemas.openxmlformats.org/officeDocument/2006/relationships/hyperlink" Target="https://www.steelwindows.com/swi_pages/specs/specs_coldrolled.asp" TargetMode="External"/><Relationship Id="rId18" Type="http://schemas.openxmlformats.org/officeDocument/2006/relationships/drawing" Target="../drawings/drawing13.xml"/><Relationship Id="rId3" Type="http://schemas.openxmlformats.org/officeDocument/2006/relationships/hyperlink" Target="https://vulcraft.com/catalogs/JoistGirder/Load_Tables_ASD_K-Series.pdf" TargetMode="External"/><Relationship Id="rId7" Type="http://schemas.openxmlformats.org/officeDocument/2006/relationships/hyperlink" Target="https://www.bowmancc.com/articles/what-is-cmu-veneer" TargetMode="External"/><Relationship Id="rId12" Type="http://schemas.openxmlformats.org/officeDocument/2006/relationships/hyperlink" Target="https://www.grainger.com/product/3NWK5?N:N:PS:Paid:GGL:CSM-2295:ZPF8P7:20800401:APZ_1&amp;gad_source=1&amp;gad_campaignid=22373307501&amp;gclid=Cj0KCQjwlMfABhCWARIsADGXdy-kfJ0P0P-POO0K58vfraEV4PY1R7Z8-bwpbPA8yEXppYMPRwMvLKYaAqueEALw_wcB&amp;gclsrc=aw.ds" TargetMode="External"/><Relationship Id="rId17" Type="http://schemas.openxmlformats.org/officeDocument/2006/relationships/hyperlink" Target="https://www.thermal-tec.com/transite-asbestos-4-identifiable-characteristics/" TargetMode="External"/><Relationship Id="rId2" Type="http://schemas.openxmlformats.org/officeDocument/2006/relationships/hyperlink" Target="https://constructionmentor.net/open-web-steel-joists/" TargetMode="External"/><Relationship Id="rId16" Type="http://schemas.openxmlformats.org/officeDocument/2006/relationships/hyperlink" Target="https://www.satterleylaw.com/asbestos-mesothelioma/asbestos-products/asbestos-and-transite-mesothelioma-lawsuits/" TargetMode="External"/><Relationship Id="rId20" Type="http://schemas.openxmlformats.org/officeDocument/2006/relationships/comments" Target="../comments12.xml"/><Relationship Id="rId1" Type="http://schemas.openxmlformats.org/officeDocument/2006/relationships/hyperlink" Target="https://vulcraft.com/learning/designing-lecture/Roof%20Design%20with%20Joists%20and%20Joist%20Girders.pdf" TargetMode="External"/><Relationship Id="rId6" Type="http://schemas.openxmlformats.org/officeDocument/2006/relationships/hyperlink" Target="https://www.concretebuildings.org/tiltup/faq.html" TargetMode="External"/><Relationship Id="rId11" Type="http://schemas.openxmlformats.org/officeDocument/2006/relationships/hyperlink" Target="https://therm-all.com/a-guide-to-metal-building-insulation/" TargetMode="External"/><Relationship Id="rId5" Type="http://schemas.openxmlformats.org/officeDocument/2006/relationships/hyperlink" Target="https://www.riversidesheetmetal.net/sheet-metal/gauge-and-weight-chart/" TargetMode="External"/><Relationship Id="rId15" Type="http://schemas.openxmlformats.org/officeDocument/2006/relationships/hyperlink" Target="https://www.westcoastglass.com/wp-content/uploads/2019/03/GIB-LD-08-0814-Weight-of-Laminated-Architectural-Glass.pdf" TargetMode="External"/><Relationship Id="rId10" Type="http://schemas.openxmlformats.org/officeDocument/2006/relationships/hyperlink" Target="https://therm-all.com/a-guide-to-metal-building-insulation/" TargetMode="External"/><Relationship Id="rId19" Type="http://schemas.openxmlformats.org/officeDocument/2006/relationships/vmlDrawing" Target="../drawings/vmlDrawing12.vml"/><Relationship Id="rId4" Type="http://schemas.openxmlformats.org/officeDocument/2006/relationships/hyperlink" Target="https://tilt-up.org/tilt-uptoday/wp-content/uploads/2021/04/S1-2500-2.jpg" TargetMode="External"/><Relationship Id="rId9" Type="http://schemas.openxmlformats.org/officeDocument/2006/relationships/hyperlink" Target="https://www.greenbuildingadvisor.com/cad/detail/wall-section-metal-lap-siding-1-rigid-insulation" TargetMode="External"/><Relationship Id="rId14" Type="http://schemas.openxmlformats.org/officeDocument/2006/relationships/hyperlink" Target="https://syracuseglass.com/E-DOCS/general/EDOCS/Approximate%20Weight%20of%20Architectural%20Flat%20Glass.pdf"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jm.com/content/dam/jm/global/en/commercial-roofing/Data%20sheets/Cover%20Boards/RS-5594%20DensDeck.pdf" TargetMode="External"/><Relationship Id="rId3" Type="http://schemas.openxmlformats.org/officeDocument/2006/relationships/hyperlink" Target="https://www.billraganroofing.com/blog/what-roof-decking" TargetMode="External"/><Relationship Id="rId7" Type="http://schemas.openxmlformats.org/officeDocument/2006/relationships/hyperlink" Target="https://codes.iccsafe.org/s/IBC2018/chapter-7-fire-and-smoke-protection-features/IBC2018-Ch07-Sec722.5.1" TargetMode="External"/><Relationship Id="rId12" Type="http://schemas.openxmlformats.org/officeDocument/2006/relationships/comments" Target="../comments13.xml"/><Relationship Id="rId2" Type="http://schemas.openxmlformats.org/officeDocument/2006/relationships/hyperlink" Target="https://help.oneclicklca.com/en/articles/275888-average-quantities-of-reinforcement-in-concrete" TargetMode="External"/><Relationship Id="rId1" Type="http://schemas.openxmlformats.org/officeDocument/2006/relationships/hyperlink" Target="https://structurepoint.org/pdfs/Two-Way-Concrete-Floor-Slab-with-Beams-Design-Detailing.htm" TargetMode="External"/><Relationship Id="rId6" Type="http://schemas.openxmlformats.org/officeDocument/2006/relationships/hyperlink" Target="https://www.mbci.com/products/cees-and-zees/?srsltid=AfmBOoppsz5Rp_DBlhE_10hxjN-5OQHeUvAm6IbUh2bNboYusIovBbHx" TargetMode="External"/><Relationship Id="rId11" Type="http://schemas.openxmlformats.org/officeDocument/2006/relationships/vmlDrawing" Target="../drawings/vmlDrawing13.vml"/><Relationship Id="rId5" Type="http://schemas.openxmlformats.org/officeDocument/2006/relationships/hyperlink" Target="https://www.westernstatesmetalroofing.com/blog/metal-purlins" TargetMode="External"/><Relationship Id="rId10" Type="http://schemas.openxmlformats.org/officeDocument/2006/relationships/drawing" Target="../drawings/drawing14.xml"/><Relationship Id="rId4" Type="http://schemas.openxmlformats.org/officeDocument/2006/relationships/hyperlink" Target="https://montanaroofingsolutions.com/blog/roof-sheathing-thickness/" TargetMode="External"/><Relationship Id="rId9" Type="http://schemas.openxmlformats.org/officeDocument/2006/relationships/hyperlink" Target="https://roofonline.com/weight-of-roofing-materials/" TargetMode="External"/></Relationships>
</file>

<file path=xl/worksheets/_rels/sheet19.xml.rels><?xml version="1.0" encoding="UTF-8" standalone="yes"?>
<Relationships xmlns="http://schemas.openxmlformats.org/package/2006/relationships"><Relationship Id="rId8" Type="http://schemas.openxmlformats.org/officeDocument/2006/relationships/drawing" Target="../drawings/drawing15.xml"/><Relationship Id="rId3" Type="http://schemas.openxmlformats.org/officeDocument/2006/relationships/hyperlink" Target="https://www.engineeringtoolbox.com/american-wide-flange-steel-beams-d_1319.html" TargetMode="External"/><Relationship Id="rId7" Type="http://schemas.openxmlformats.org/officeDocument/2006/relationships/hyperlink" Target="https://roofonline.com/weight-of-roofing-materials/" TargetMode="External"/><Relationship Id="rId2" Type="http://schemas.openxmlformats.org/officeDocument/2006/relationships/hyperlink" Target="https://help.oneclicklca.com/en/articles/275888-average-quantities-of-reinforcement-in-concrete" TargetMode="External"/><Relationship Id="rId1" Type="http://schemas.openxmlformats.org/officeDocument/2006/relationships/hyperlink" Target="https://structurepoint.org/pdfs/Two-Way-Concrete-Floor-Slab-with-Beams-Design-Detailing.htm" TargetMode="External"/><Relationship Id="rId6" Type="http://schemas.openxmlformats.org/officeDocument/2006/relationships/hyperlink" Target="https://www.karaymetals.com/metals-density-table" TargetMode="External"/><Relationship Id="rId5" Type="http://schemas.openxmlformats.org/officeDocument/2006/relationships/hyperlink" Target="https://codes.iccsafe.org/s/IBC2018/chapter-7-fire-and-smoke-protection-features/IBC2018-Ch07-Sec722.5.1" TargetMode="External"/><Relationship Id="rId10" Type="http://schemas.openxmlformats.org/officeDocument/2006/relationships/comments" Target="../comments14.xml"/><Relationship Id="rId4" Type="http://schemas.openxmlformats.org/officeDocument/2006/relationships/hyperlink" Target="https://www.engineeringtoolbox.com/american-wide-flange-steel-beams-d_1319.html" TargetMode="External"/><Relationship Id="rId9"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8" Type="http://schemas.openxmlformats.org/officeDocument/2006/relationships/hyperlink" Target="https://www.westcoastglass.com/wp-content/uploads/2019/03/GIB-LD-08-0814-Weight-of-Laminated-Architectural-Glass.pdf" TargetMode="External"/><Relationship Id="rId13" Type="http://schemas.openxmlformats.org/officeDocument/2006/relationships/hyperlink" Target="https://armstrongmetalcrafts.com/reference/SheetMetalGaugeWeight.aspx" TargetMode="External"/><Relationship Id="rId18" Type="http://schemas.openxmlformats.org/officeDocument/2006/relationships/vmlDrawing" Target="../drawings/vmlDrawing15.vml"/><Relationship Id="rId3" Type="http://schemas.openxmlformats.org/officeDocument/2006/relationships/hyperlink" Target="https://montanaroofingsolutions.com/blog/roof-sheathing-thickness/" TargetMode="External"/><Relationship Id="rId7" Type="http://schemas.openxmlformats.org/officeDocument/2006/relationships/hyperlink" Target="https://syracuseglass.com/E-DOCS/general/EDOCS/Approximate%20Weight%20of%20Architectural%20Flat%20Glass.pdf" TargetMode="External"/><Relationship Id="rId12" Type="http://schemas.openxmlformats.org/officeDocument/2006/relationships/hyperlink" Target="https://roofonline.com/weight-of-roofing-materials/" TargetMode="External"/><Relationship Id="rId17" Type="http://schemas.openxmlformats.org/officeDocument/2006/relationships/drawing" Target="../drawings/drawing16.xml"/><Relationship Id="rId2" Type="http://schemas.openxmlformats.org/officeDocument/2006/relationships/hyperlink" Target="https://www.billraganroofing.com/blog/what-roof-decking" TargetMode="External"/><Relationship Id="rId16" Type="http://schemas.openxmlformats.org/officeDocument/2006/relationships/hyperlink" Target="https://www.soundproofingcompany.com/soundproofing_101/building-materials-weights-guide" TargetMode="Externa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www.starlinewindows.com/files/file/5c6de10c550b8/Aluminum-Glass-and-IGU-Design-Guidelines.pdf" TargetMode="External"/><Relationship Id="rId11" Type="http://schemas.openxmlformats.org/officeDocument/2006/relationships/hyperlink" Target="https://www.jm.com/content/dam/jm/global/en/commercial-roofing/Data%20sheets/Cover%20Boards/RS-5594%20DensDeck.pdf" TargetMode="External"/><Relationship Id="rId5" Type="http://schemas.openxmlformats.org/officeDocument/2006/relationships/hyperlink" Target="https://www.cdfdistributors.com/what-are-the-average-dimensions-of-a-commercial-door/" TargetMode="External"/><Relationship Id="rId15" Type="http://schemas.openxmlformats.org/officeDocument/2006/relationships/hyperlink" Target="https://www.hansenpolebuildings.com/2015/08/standing-seam-steel/" TargetMode="External"/><Relationship Id="rId10" Type="http://schemas.openxmlformats.org/officeDocument/2006/relationships/hyperlink" Target="https://www.karaymetals.com/metals-density-table" TargetMode="External"/><Relationship Id="rId19" Type="http://schemas.openxmlformats.org/officeDocument/2006/relationships/comments" Target="../comments15.xml"/><Relationship Id="rId4" Type="http://schemas.openxmlformats.org/officeDocument/2006/relationships/hyperlink" Target="https://www.riversidesheetmetal.net/sheet-metal/gauge-and-weight-chart/" TargetMode="External"/><Relationship Id="rId9" Type="http://schemas.openxmlformats.org/officeDocument/2006/relationships/hyperlink" Target="https://www.westcoastglass.com/wp-content/uploads/2019/03/GIB-LD-08-0814-Weight-of-Laminated-Architectural-Glass.pdf" TargetMode="External"/><Relationship Id="rId14" Type="http://schemas.openxmlformats.org/officeDocument/2006/relationships/hyperlink" Target="https://roofonline.com/weight-of-roofing-materials/"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concretebuildings.org/tiltup/faq.html" TargetMode="External"/><Relationship Id="rId13" Type="http://schemas.openxmlformats.org/officeDocument/2006/relationships/hyperlink" Target="https://www.westcoastglass.com/wp-content/uploads/2019/03/GIB-LD-08-0814-Weight-of-Laminated-Architectural-Glass.pdf" TargetMode="External"/><Relationship Id="rId18" Type="http://schemas.openxmlformats.org/officeDocument/2006/relationships/comments" Target="../comments16.xml"/><Relationship Id="rId3" Type="http://schemas.openxmlformats.org/officeDocument/2006/relationships/hyperlink" Target="https://montanaroofingsolutions.com/blog/roof-sheathing-thickness/" TargetMode="External"/><Relationship Id="rId7" Type="http://schemas.openxmlformats.org/officeDocument/2006/relationships/hyperlink" Target="https://www.bowmancc.com/articles/what-is-cmu-veneer" TargetMode="External"/><Relationship Id="rId12" Type="http://schemas.openxmlformats.org/officeDocument/2006/relationships/hyperlink" Target="https://syracuseglass.com/E-DOCS/general/EDOCS/Approximate%20Weight%20of%20Architectural%20Flat%20Glass.pdf" TargetMode="External"/><Relationship Id="rId17" Type="http://schemas.openxmlformats.org/officeDocument/2006/relationships/vmlDrawing" Target="../drawings/vmlDrawing16.vml"/><Relationship Id="rId2" Type="http://schemas.openxmlformats.org/officeDocument/2006/relationships/hyperlink" Target="https://www.billraganroofing.com/blog/what-roof-decking" TargetMode="External"/><Relationship Id="rId16" Type="http://schemas.openxmlformats.org/officeDocument/2006/relationships/drawing" Target="../drawings/drawing17.xm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constructionmentor.net/open-web-steel-joists/" TargetMode="External"/><Relationship Id="rId11" Type="http://schemas.openxmlformats.org/officeDocument/2006/relationships/hyperlink" Target="https://www.starlinewindows.com/files/file/5c6de10c550b8/Aluminum-Glass-and-IGU-Design-Guidelines.pdf" TargetMode="External"/><Relationship Id="rId5" Type="http://schemas.openxmlformats.org/officeDocument/2006/relationships/hyperlink" Target="https://vulcraft.com/learning/designing-lecture/Roof%20Design%20with%20Joists%20and%20Joist%20Girders.pdf" TargetMode="External"/><Relationship Id="rId15" Type="http://schemas.openxmlformats.org/officeDocument/2006/relationships/hyperlink" Target="https://roofonline.com/weight-of-roofing-materials/" TargetMode="External"/><Relationship Id="rId10" Type="http://schemas.openxmlformats.org/officeDocument/2006/relationships/hyperlink" Target="https://therm-all.com/a-guide-to-metal-building-insulation/" TargetMode="External"/><Relationship Id="rId4" Type="http://schemas.openxmlformats.org/officeDocument/2006/relationships/hyperlink" Target="https://vulcraft.com/catalogs/JoistGirder/Load_Tables_ASD_K-Series.pdf" TargetMode="External"/><Relationship Id="rId9" Type="http://schemas.openxmlformats.org/officeDocument/2006/relationships/hyperlink" Target="https://www.greenbuildingadvisor.com/cad/detail/wall-section-metal-lap-siding-1-rigid-insulation" TargetMode="External"/><Relationship Id="rId14" Type="http://schemas.openxmlformats.org/officeDocument/2006/relationships/hyperlink" Target="https://www.jm.com/content/dam/jm/global/en/commercial-roofing/Data%20sheets/Cover%20Boards/RS-5594%20DensDeck.pdf"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codes.iccsafe.org/s/IBC2018/chapter-7-fire-and-smoke-protection-features/IBC2018-Ch07-Sec722.5.1" TargetMode="External"/><Relationship Id="rId13" Type="http://schemas.openxmlformats.org/officeDocument/2006/relationships/hyperlink" Target="https://www.westcoastglass.com/wp-content/uploads/2019/03/GIB-LD-08-0814-Weight-of-Laminated-Architectural-Glass.pdf" TargetMode="External"/><Relationship Id="rId18" Type="http://schemas.openxmlformats.org/officeDocument/2006/relationships/hyperlink" Target="https://roofonline.com/weight-of-roofing-materials/" TargetMode="External"/><Relationship Id="rId3" Type="http://schemas.openxmlformats.org/officeDocument/2006/relationships/hyperlink" Target="https://montanaroofingsolutions.com/blog/roof-sheathing-thickness/" TargetMode="External"/><Relationship Id="rId21" Type="http://schemas.openxmlformats.org/officeDocument/2006/relationships/vmlDrawing" Target="../drawings/vmlDrawing17.vml"/><Relationship Id="rId7" Type="http://schemas.openxmlformats.org/officeDocument/2006/relationships/hyperlink" Target="https://vulcraft.com/learning/designing-lecture/Roof%20Design%20with%20Joists%20and%20Joist%20Girders.pdf" TargetMode="External"/><Relationship Id="rId12" Type="http://schemas.openxmlformats.org/officeDocument/2006/relationships/hyperlink" Target="https://www.westcoastglass.com/wp-content/uploads/2019/03/GIB-LD-08-0814-Weight-of-Laminated-Architectural-Glass.pdf" TargetMode="External"/><Relationship Id="rId17" Type="http://schemas.openxmlformats.org/officeDocument/2006/relationships/hyperlink" Target="https://www.jm.com/content/dam/jm/global/en/commercial-roofing/Data%20sheets/Cover%20Boards/RS-5594%20DensDeck.pdf" TargetMode="External"/><Relationship Id="rId2" Type="http://schemas.openxmlformats.org/officeDocument/2006/relationships/hyperlink" Target="https://www.billraganroofing.com/blog/what-roof-decking" TargetMode="External"/><Relationship Id="rId16" Type="http://schemas.openxmlformats.org/officeDocument/2006/relationships/hyperlink" Target="https://www.karaymetals.com/metals-density-table" TargetMode="External"/><Relationship Id="rId20" Type="http://schemas.openxmlformats.org/officeDocument/2006/relationships/drawing" Target="../drawings/drawing18.xm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www.riversidesheetmetal.net/sheet-metal/gauge-and-weight-chart/" TargetMode="External"/><Relationship Id="rId11" Type="http://schemas.openxmlformats.org/officeDocument/2006/relationships/hyperlink" Target="https://syracuseglass.com/E-DOCS/general/EDOCS/Approximate%20Weight%20of%20Architectural%20Flat%20Glass.pdf" TargetMode="External"/><Relationship Id="rId5" Type="http://schemas.openxmlformats.org/officeDocument/2006/relationships/hyperlink" Target="https://pallyroofing.com/all-about-rafter-spacing-for-metal-roofs/" TargetMode="External"/><Relationship Id="rId15" Type="http://schemas.openxmlformats.org/officeDocument/2006/relationships/hyperlink" Target="https://www.westcoastglass.com/wp-content/uploads/2019/03/GIB-LD-08-0814-Weight-of-Laminated-Architectural-Glass.pdf" TargetMode="External"/><Relationship Id="rId10" Type="http://schemas.openxmlformats.org/officeDocument/2006/relationships/hyperlink" Target="https://www.starlinewindows.com/files/file/5c6de10c550b8/Aluminum-Glass-and-IGU-Design-Guidelines.pdf" TargetMode="External"/><Relationship Id="rId19" Type="http://schemas.openxmlformats.org/officeDocument/2006/relationships/hyperlink" Target="https://roofonline.com/weight-of-roofing-materials/" TargetMode="External"/><Relationship Id="rId4" Type="http://schemas.openxmlformats.org/officeDocument/2006/relationships/hyperlink" Target="https://rmadocs.venturacounty.gov/images/pdf/bs/handouts/B-91.pdf" TargetMode="External"/><Relationship Id="rId9" Type="http://schemas.openxmlformats.org/officeDocument/2006/relationships/hyperlink" Target="https://www.cdfdistributors.com/what-are-the-average-dimensions-of-a-commercial-door/" TargetMode="External"/><Relationship Id="rId14" Type="http://schemas.openxmlformats.org/officeDocument/2006/relationships/hyperlink" Target="https://syracuseglass.com/E-DOCS/general/EDOCS/Approximate%20Weight%20of%20Architectural%20Flat%20Glass.pdf" TargetMode="External"/><Relationship Id="rId22"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8" Type="http://schemas.openxmlformats.org/officeDocument/2006/relationships/hyperlink" Target="https://up.codes/s/general-masonry-construction" TargetMode="External"/><Relationship Id="rId13" Type="http://schemas.openxmlformats.org/officeDocument/2006/relationships/hyperlink" Target="https://roofonline.com/weight-of-roofing-materials/" TargetMode="External"/><Relationship Id="rId18" Type="http://schemas.openxmlformats.org/officeDocument/2006/relationships/vmlDrawing" Target="../drawings/vmlDrawing18.vml"/><Relationship Id="rId3" Type="http://schemas.openxmlformats.org/officeDocument/2006/relationships/hyperlink" Target="https://montanaroofingsolutions.com/blog/roof-sheathing-thickness/" TargetMode="External"/><Relationship Id="rId7" Type="http://schemas.openxmlformats.org/officeDocument/2006/relationships/hyperlink" Target="https://web.archive.org/web/20230407231501/https:/www.wbdg.org/guides-specifications/building-envelope-design-guide/wall-systems/masonry-wall-systems" TargetMode="External"/><Relationship Id="rId12" Type="http://schemas.openxmlformats.org/officeDocument/2006/relationships/hyperlink" Target="https://syracuseglass.com/E-DOCS/general/EDOCS/Approximate%20Weight%20of%20Architectural%20Flat%20Glass.pdf" TargetMode="External"/><Relationship Id="rId17" Type="http://schemas.openxmlformats.org/officeDocument/2006/relationships/drawing" Target="../drawings/drawing19.xml"/><Relationship Id="rId2" Type="http://schemas.openxmlformats.org/officeDocument/2006/relationships/hyperlink" Target="https://www.billraganroofing.com/blog/what-roof-decking" TargetMode="External"/><Relationship Id="rId16" Type="http://schemas.openxmlformats.org/officeDocument/2006/relationships/hyperlink" Target="https://bayvalleyroofing.com/blog/what-size-plywood-for-roofing/" TargetMode="Externa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www.gobrick.com/resources/technical-notes" TargetMode="External"/><Relationship Id="rId11" Type="http://schemas.openxmlformats.org/officeDocument/2006/relationships/hyperlink" Target="https://www.westcoastglass.com/wp-content/uploads/2019/03/GIB-LD-08-0814-Weight-of-Laminated-Architectural-Glass.pdf" TargetMode="External"/><Relationship Id="rId5" Type="http://schemas.openxmlformats.org/officeDocument/2006/relationships/hyperlink" Target="https://www.hansenpolebuildings.com/2020/08/stick-framing/" TargetMode="External"/><Relationship Id="rId15" Type="http://schemas.openxmlformats.org/officeDocument/2006/relationships/hyperlink" Target="https://roofonline.com/weight-of-roofing-materials/" TargetMode="External"/><Relationship Id="rId10" Type="http://schemas.openxmlformats.org/officeDocument/2006/relationships/hyperlink" Target="https://www.starlinewindows.com/files/file/5c6de10c550b8/Aluminum-Glass-and-IGU-Design-Guidelines.pdf" TargetMode="External"/><Relationship Id="rId19" Type="http://schemas.openxmlformats.org/officeDocument/2006/relationships/comments" Target="../comments18.xml"/><Relationship Id="rId4" Type="http://schemas.openxmlformats.org/officeDocument/2006/relationships/hyperlink" Target="https://alsyedconstruction.com/rafters-in-construction-in-usa/" TargetMode="External"/><Relationship Id="rId9" Type="http://schemas.openxmlformats.org/officeDocument/2006/relationships/hyperlink" Target="https://riversidebrick.com/wp-content/uploads/2021/10/Masonry-Estimating-Guide-2.pdf" TargetMode="External"/><Relationship Id="rId14" Type="http://schemas.openxmlformats.org/officeDocument/2006/relationships/hyperlink" Target="https://roofonline.com/weight-of-roofing-materials/"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concretebuildings.org/tiltup/faq.html" TargetMode="External"/><Relationship Id="rId13" Type="http://schemas.openxmlformats.org/officeDocument/2006/relationships/drawing" Target="../drawings/drawing20.xml"/><Relationship Id="rId3" Type="http://schemas.openxmlformats.org/officeDocument/2006/relationships/hyperlink" Target="https://www.mbci.com/products/cees-and-zees/?srsltid=AfmBOoppsz5Rp_DBlhE_10hxjN-5OQHeUvAm6IbUh2bNboYusIovBbHx" TargetMode="External"/><Relationship Id="rId7" Type="http://schemas.openxmlformats.org/officeDocument/2006/relationships/hyperlink" Target="https://www.riversidesheetmetal.net/sheet-metal/gauge-and-weight-chart/" TargetMode="External"/><Relationship Id="rId12" Type="http://schemas.openxmlformats.org/officeDocument/2006/relationships/hyperlink" Target="https://www.westcoastglass.com/wp-content/uploads/2019/03/GIB-LD-08-0814-Weight-of-Laminated-Architectural-Glass.pdf" TargetMode="External"/><Relationship Id="rId2" Type="http://schemas.openxmlformats.org/officeDocument/2006/relationships/hyperlink" Target="https://www.westernstatesmetalroofing.com/blog/metal-purlins" TargetMode="Externa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tilt-up.org/tilt-uptoday/wp-content/uploads/2021/04/S1-2500-2.jpg" TargetMode="External"/><Relationship Id="rId11" Type="http://schemas.openxmlformats.org/officeDocument/2006/relationships/hyperlink" Target="https://syracuseglass.com/E-DOCS/general/EDOCS/Approximate%20Weight%20of%20Architectural%20Flat%20Glass.pdf" TargetMode="External"/><Relationship Id="rId5" Type="http://schemas.openxmlformats.org/officeDocument/2006/relationships/hyperlink" Target="https://vulcraft.com/learning/designing-lecture/Roof%20Design%20with%20Joists%20and%20Joist%20Girders.pdf" TargetMode="External"/><Relationship Id="rId15" Type="http://schemas.openxmlformats.org/officeDocument/2006/relationships/comments" Target="../comments19.xml"/><Relationship Id="rId10" Type="http://schemas.openxmlformats.org/officeDocument/2006/relationships/hyperlink" Target="https://therm-all.com/a-guide-to-metal-building-insulation/" TargetMode="External"/><Relationship Id="rId4" Type="http://schemas.openxmlformats.org/officeDocument/2006/relationships/hyperlink" Target="https://vulcraft.com/catalogs/JoistGirder/Load_Tables_ASD_K-Series.pdf" TargetMode="External"/><Relationship Id="rId9" Type="http://schemas.openxmlformats.org/officeDocument/2006/relationships/hyperlink" Target="https://www.greenbuildingadvisor.com/cad/detail/wall-section-metal-lap-siding-1-rigid-insulation" TargetMode="External"/><Relationship Id="rId14" Type="http://schemas.openxmlformats.org/officeDocument/2006/relationships/vmlDrawing" Target="../drawings/vmlDrawing19.vml"/></Relationships>
</file>

<file path=xl/worksheets/_rels/sheet25.xml.rels><?xml version="1.0" encoding="UTF-8" standalone="yes"?>
<Relationships xmlns="http://schemas.openxmlformats.org/package/2006/relationships"><Relationship Id="rId8" Type="http://schemas.openxmlformats.org/officeDocument/2006/relationships/hyperlink" Target="https://codes.iccsafe.org/s/IBC2018/chapter-7-fire-and-smoke-protection-features/IBC2018-Ch07-Sec722.5.1" TargetMode="External"/><Relationship Id="rId13" Type="http://schemas.openxmlformats.org/officeDocument/2006/relationships/hyperlink" Target="https://therm-all.com/a-guide-to-metal-building-insulation/" TargetMode="External"/><Relationship Id="rId18" Type="http://schemas.openxmlformats.org/officeDocument/2006/relationships/hyperlink" Target="https://www.karaymetals.com/metals-density-table" TargetMode="External"/><Relationship Id="rId26" Type="http://schemas.openxmlformats.org/officeDocument/2006/relationships/hyperlink" Target="https://www.soundproofingcompany.com/soundproofing_101/building-materials-weights-guide" TargetMode="External"/><Relationship Id="rId3" Type="http://schemas.openxmlformats.org/officeDocument/2006/relationships/hyperlink" Target="https://structurepoint.org/pdfs/Two-Way-Concrete-Floor-Slab-with-Beams-Design-Detailing.htm" TargetMode="External"/><Relationship Id="rId21" Type="http://schemas.openxmlformats.org/officeDocument/2006/relationships/hyperlink" Target="https://www.westcoastglass.com/wp-content/uploads/2019/03/GIB-LD-08-0814-Weight-of-Laminated-Architectural-Glass.pdf" TargetMode="External"/><Relationship Id="rId7" Type="http://schemas.openxmlformats.org/officeDocument/2006/relationships/hyperlink" Target="https://www.riversidesheetmetal.net/sheet-metal/gauge-and-weight-chart/" TargetMode="External"/><Relationship Id="rId12" Type="http://schemas.openxmlformats.org/officeDocument/2006/relationships/hyperlink" Target="https://www.greenbuildingadvisor.com/cad/detail/wall-section-metal-lap-siding-1-rigid-insulation" TargetMode="External"/><Relationship Id="rId17" Type="http://schemas.openxmlformats.org/officeDocument/2006/relationships/hyperlink" Target="https://www.westcoastglass.com/wp-content/uploads/2019/03/GIB-LD-08-0814-Weight-of-Laminated-Architectural-Glass.pdf" TargetMode="External"/><Relationship Id="rId25" Type="http://schemas.openxmlformats.org/officeDocument/2006/relationships/hyperlink" Target="https://www.hansenpolebuildings.com/2015/08/standing-seam-steel/" TargetMode="External"/><Relationship Id="rId2" Type="http://schemas.openxmlformats.org/officeDocument/2006/relationships/hyperlink" Target="https://constructionmentor.net/open-web-steel-joists/" TargetMode="External"/><Relationship Id="rId16" Type="http://schemas.openxmlformats.org/officeDocument/2006/relationships/hyperlink" Target="https://www.cdfdistributors.com/what-are-the-average-dimensions-of-a-commercial-door/" TargetMode="External"/><Relationship Id="rId20" Type="http://schemas.openxmlformats.org/officeDocument/2006/relationships/hyperlink" Target="https://constructionmentor.net/storefronts-curtainwalls-and-window-walls/" TargetMode="External"/><Relationship Id="rId29" Type="http://schemas.openxmlformats.org/officeDocument/2006/relationships/comments" Target="../comments20.xm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vulcraft.com/catalogs/JoistGirder/Load_Tables_ASD_K-Series.pdf" TargetMode="External"/><Relationship Id="rId11" Type="http://schemas.openxmlformats.org/officeDocument/2006/relationships/hyperlink" Target="https://www.concretebuildings.org/tiltup/faq.html" TargetMode="External"/><Relationship Id="rId24" Type="http://schemas.openxmlformats.org/officeDocument/2006/relationships/hyperlink" Target="https://roofonline.com/weight-of-roofing-materials/" TargetMode="External"/><Relationship Id="rId5" Type="http://schemas.openxmlformats.org/officeDocument/2006/relationships/hyperlink" Target="https://vulcraft.com/learning/designing-lecture/Roof%20Design%20with%20Joists%20and%20Joist%20Girders.pdf" TargetMode="External"/><Relationship Id="rId15" Type="http://schemas.openxmlformats.org/officeDocument/2006/relationships/hyperlink" Target="https://www.vortexdoors.com/blog/commercial-roll-up-door-sizes" TargetMode="External"/><Relationship Id="rId23" Type="http://schemas.openxmlformats.org/officeDocument/2006/relationships/hyperlink" Target="https://armstrongmetalcrafts.com/reference/SheetMetalGaugeWeight.aspx" TargetMode="External"/><Relationship Id="rId28" Type="http://schemas.openxmlformats.org/officeDocument/2006/relationships/vmlDrawing" Target="../drawings/vmlDrawing20.vml"/><Relationship Id="rId10" Type="http://schemas.openxmlformats.org/officeDocument/2006/relationships/hyperlink" Target="https://www.bowmancc.com/articles/what-is-cmu-veneer" TargetMode="External"/><Relationship Id="rId19" Type="http://schemas.openxmlformats.org/officeDocument/2006/relationships/hyperlink" Target="https://www.buildingenclosureonline.com/articles/85428-curtainwalls-vs-storefronts-selecting-architectural-aluminum" TargetMode="External"/><Relationship Id="rId4" Type="http://schemas.openxmlformats.org/officeDocument/2006/relationships/hyperlink" Target="https://structurepoint.org/pdfs/Two-Way-Concrete-Floor-Slab-with-Beams-Design-Detailing.htm" TargetMode="External"/><Relationship Id="rId9" Type="http://schemas.openxmlformats.org/officeDocument/2006/relationships/hyperlink" Target="https://www.concretebuildings.org/tiltup/faq.html" TargetMode="External"/><Relationship Id="rId14" Type="http://schemas.openxmlformats.org/officeDocument/2006/relationships/hyperlink" Target="https://thegannagency.com/semi-truck-trailer-dimensions/" TargetMode="External"/><Relationship Id="rId22" Type="http://schemas.openxmlformats.org/officeDocument/2006/relationships/hyperlink" Target="https://www.westcoastglass.com/wp-content/uploads/2019/03/GIB-LD-08-0814-Weight-of-Laminated-Architectural-Glass.pdf" TargetMode="External"/><Relationship Id="rId27"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https://www.bowmancc.com/articles/what-is-cmu-veneer" TargetMode="External"/><Relationship Id="rId7" Type="http://schemas.openxmlformats.org/officeDocument/2006/relationships/hyperlink" Target="https://www.westcoastglass.com/wp-content/uploads/2019/03/GIB-LD-08-0814-Weight-of-Laminated-Architectural-Glass.pdf" TargetMode="External"/><Relationship Id="rId2" Type="http://schemas.openxmlformats.org/officeDocument/2006/relationships/hyperlink" Target="https://montanaroofingsolutions.com/blog/roof-sheathing-thickness/" TargetMode="External"/><Relationship Id="rId1" Type="http://schemas.openxmlformats.org/officeDocument/2006/relationships/hyperlink" Target="https://www.billraganroofing.com/blog/what-roof-decking" TargetMode="External"/><Relationship Id="rId6" Type="http://schemas.openxmlformats.org/officeDocument/2006/relationships/hyperlink" Target="https://syracuseglass.com/E-DOCS/general/EDOCS/Approximate%20Weight%20of%20Architectural%20Flat%20Glass.pdf" TargetMode="External"/><Relationship Id="rId5" Type="http://schemas.openxmlformats.org/officeDocument/2006/relationships/hyperlink" Target="https://www.starlinewindows.com/files/file/5c6de10c550b8/Aluminum-Glass-and-IGU-Design-Guidelines.pdf" TargetMode="External"/><Relationship Id="rId4" Type="http://schemas.openxmlformats.org/officeDocument/2006/relationships/hyperlink" Target="https://www.concretebuildings.org/tiltup/faq.html"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bowmancc.com/articles/what-is-cmu-veneer" TargetMode="External"/><Relationship Id="rId13" Type="http://schemas.openxmlformats.org/officeDocument/2006/relationships/hyperlink" Target="https://www.starlinewindows.com/files/file/5c6de10c550b8/Aluminum-Glass-and-IGU-Design-Guidelines.pdf" TargetMode="External"/><Relationship Id="rId18" Type="http://schemas.openxmlformats.org/officeDocument/2006/relationships/drawing" Target="../drawings/drawing23.xml"/><Relationship Id="rId3" Type="http://schemas.openxmlformats.org/officeDocument/2006/relationships/hyperlink" Target="https://help.oneclicklca.com/en/articles/275888-average-quantities-of-reinforcement-in-concrete" TargetMode="External"/><Relationship Id="rId7" Type="http://schemas.openxmlformats.org/officeDocument/2006/relationships/hyperlink" Target="https://structurepoint.org/pdfs/Two-Way-Concrete-Floor-Slab-with-Beams-Design-Detailing.htm" TargetMode="External"/><Relationship Id="rId12" Type="http://schemas.openxmlformats.org/officeDocument/2006/relationships/hyperlink" Target="https://www.usqualityconstruction.com/blog/average-window-size/" TargetMode="External"/><Relationship Id="rId17" Type="http://schemas.openxmlformats.org/officeDocument/2006/relationships/hyperlink" Target="https://roofonline.com/weight-of-roofing-materials/" TargetMode="External"/><Relationship Id="rId2" Type="http://schemas.openxmlformats.org/officeDocument/2006/relationships/hyperlink" Target="https://help.oneclicklca.com/en/articles/275888-average-quantities-of-reinforcement-in-concrete" TargetMode="External"/><Relationship Id="rId16" Type="http://schemas.openxmlformats.org/officeDocument/2006/relationships/hyperlink" Target="https://www.jm.com/content/dam/jm/global/en/commercial-roofing/Data%20sheets/Cover%20Boards/RS-5594%20DensDeck.pdf" TargetMode="External"/><Relationship Id="rId20" Type="http://schemas.openxmlformats.org/officeDocument/2006/relationships/comments" Target="../comments21.xm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constructionmentor.net/open-web-steel-joists/" TargetMode="External"/><Relationship Id="rId11" Type="http://schemas.openxmlformats.org/officeDocument/2006/relationships/hyperlink" Target="https://www.porte-fenetre-dicaire.com/en/news/712/different-kinds-of-windows-for-your-apartment" TargetMode="External"/><Relationship Id="rId5" Type="http://schemas.openxmlformats.org/officeDocument/2006/relationships/hyperlink" Target="https://help.oneclicklca.com/en/articles/275888-average-quantities-of-reinforcement-in-concrete" TargetMode="External"/><Relationship Id="rId15" Type="http://schemas.openxmlformats.org/officeDocument/2006/relationships/hyperlink" Target="https://www.westcoastglass.com/wp-content/uploads/2019/03/GIB-LD-08-0814-Weight-of-Laminated-Architectural-Glass.pdf" TargetMode="External"/><Relationship Id="rId10" Type="http://schemas.openxmlformats.org/officeDocument/2006/relationships/hyperlink" Target="https://www.homedepot.com/c/ab/exterior-door-buying-guide/9ba683603be9fa5395fab90f82b562d" TargetMode="External"/><Relationship Id="rId19" Type="http://schemas.openxmlformats.org/officeDocument/2006/relationships/vmlDrawing" Target="../drawings/vmlDrawing21.vml"/><Relationship Id="rId4" Type="http://schemas.openxmlformats.org/officeDocument/2006/relationships/hyperlink" Target="https://structurepoint.org/pdfs/Two-Way-Concrete-Floor-Slab-with-Beams-Design-Detailing.htm" TargetMode="External"/><Relationship Id="rId9" Type="http://schemas.openxmlformats.org/officeDocument/2006/relationships/hyperlink" Target="https://www.concretebuildings.org/tiltup/faq.html" TargetMode="External"/><Relationship Id="rId14" Type="http://schemas.openxmlformats.org/officeDocument/2006/relationships/hyperlink" Target="https://syracuseglass.com/E-DOCS/general/EDOCS/Approximate%20Weight%20of%20Architectural%20Flat%20Glass.pdf"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www.overheaddoor.com/commercial/commercial-details/rolling-steel-service-doors-610" TargetMode="External"/><Relationship Id="rId13" Type="http://schemas.openxmlformats.org/officeDocument/2006/relationships/drawing" Target="../drawings/drawing24.xml"/><Relationship Id="rId3" Type="http://schemas.openxmlformats.org/officeDocument/2006/relationships/hyperlink" Target="https://tilt-up.org/tilt-uptoday/2021/04/27/replacing-joists-at-office-warehouse-and-distribution-buildings/" TargetMode="External"/><Relationship Id="rId7" Type="http://schemas.openxmlformats.org/officeDocument/2006/relationships/hyperlink" Target="https://codes.iccsafe.org/s/IBC2018/chapter-7-fire-and-smoke-protection-features/IBC2018-Ch07-Sec722.5.1" TargetMode="External"/><Relationship Id="rId12" Type="http://schemas.openxmlformats.org/officeDocument/2006/relationships/hyperlink" Target="https://www.jm.com/content/dam/jm/global/en/commercial-roofing/Data%20sheets/Cover%20Boards/RS-5594%20DensDeck.pdf" TargetMode="External"/><Relationship Id="rId2" Type="http://schemas.openxmlformats.org/officeDocument/2006/relationships/hyperlink" Target="https://tilt-up.org/tilt-uptoday/2021/04/27/replacing-joists-at-office-warehouse-and-distribution-buildings/" TargetMode="External"/><Relationship Id="rId1" Type="http://schemas.openxmlformats.org/officeDocument/2006/relationships/hyperlink" Target="https://help.oneclicklca.com/en/articles/275888-average-quantities-of-reinforcement-in-concrete" TargetMode="External"/><Relationship Id="rId6" Type="http://schemas.openxmlformats.org/officeDocument/2006/relationships/hyperlink" Target="https://tilt-up.org/tilt-uptoday/2021/04/27/replacing-joists-at-office-warehouse-and-distribution-buildings/" TargetMode="External"/><Relationship Id="rId11" Type="http://schemas.openxmlformats.org/officeDocument/2006/relationships/hyperlink" Target="https://roofonline.com/weight-of-roofing-materials/" TargetMode="External"/><Relationship Id="rId5" Type="http://schemas.openxmlformats.org/officeDocument/2006/relationships/hyperlink" Target="https://www.riversidesheetmetal.net/sheet-metal/gauge-and-weight-chart/" TargetMode="External"/><Relationship Id="rId15" Type="http://schemas.openxmlformats.org/officeDocument/2006/relationships/comments" Target="../comments22.xml"/><Relationship Id="rId10" Type="http://schemas.openxmlformats.org/officeDocument/2006/relationships/hyperlink" Target="https://www.riversidesheetmetal.net/sheet-metal/gauge-and-weight-chart/" TargetMode="External"/><Relationship Id="rId4" Type="http://schemas.openxmlformats.org/officeDocument/2006/relationships/hyperlink" Target="https://tilt-up.org/tilt-uptoday/wp-content/uploads/2021/04/S1-2500-2.jpg" TargetMode="External"/><Relationship Id="rId9" Type="http://schemas.openxmlformats.org/officeDocument/2006/relationships/hyperlink" Target="https://www.overheaddoorco.com/blog/different-types-of-commercial-and-industrial-overhead-doors" TargetMode="External"/><Relationship Id="rId14" Type="http://schemas.openxmlformats.org/officeDocument/2006/relationships/vmlDrawing" Target="../drawings/vmlDrawing2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zoomScale="200" zoomScaleNormal="200" workbookViewId="0">
      <selection activeCell="E2" sqref="E2"/>
    </sheetView>
  </sheetViews>
  <sheetFormatPr baseColWidth="10" defaultColWidth="14.5" defaultRowHeight="15" customHeight="1" x14ac:dyDescent="0.2"/>
  <cols>
    <col min="1" max="1" width="51.83203125" customWidth="1"/>
    <col min="2" max="2" width="12.33203125" customWidth="1"/>
    <col min="3" max="4" width="13.5" customWidth="1"/>
    <col min="5" max="6" width="10.83203125" customWidth="1"/>
    <col min="7" max="7" width="8.6640625" customWidth="1"/>
    <col min="8" max="8" width="19" customWidth="1"/>
    <col min="9" max="9" width="18.1640625" customWidth="1"/>
    <col min="10" max="10" width="18.5" customWidth="1"/>
    <col min="11" max="12" width="19.6640625" customWidth="1"/>
    <col min="13" max="13" width="17.1640625" customWidth="1"/>
    <col min="14" max="14" width="11.5" customWidth="1"/>
    <col min="15" max="15" width="16.83203125" customWidth="1"/>
    <col min="16" max="16" width="10" customWidth="1"/>
    <col min="17" max="17" width="9" customWidth="1"/>
    <col min="18" max="18" width="8.6640625" customWidth="1"/>
    <col min="19" max="19" width="6.33203125" customWidth="1"/>
    <col min="20" max="20" width="12.33203125" customWidth="1"/>
    <col min="21" max="21" width="21.6640625" customWidth="1"/>
    <col min="22" max="22" width="15.5" customWidth="1"/>
    <col min="23" max="23" width="17.5" customWidth="1"/>
    <col min="24" max="24" width="10" customWidth="1"/>
    <col min="25" max="25" width="12" customWidth="1"/>
    <col min="26" max="26" width="20.33203125" customWidth="1"/>
    <col min="27" max="27" width="8.6640625" customWidth="1"/>
    <col min="28" max="28" width="11" customWidth="1"/>
    <col min="29" max="29" width="8.6640625" customWidth="1"/>
    <col min="30" max="30" width="20.5" customWidth="1"/>
  </cols>
  <sheetData>
    <row r="1" spans="1:30" ht="14.25" customHeight="1" x14ac:dyDescent="0.2">
      <c r="A1" s="162" t="s">
        <v>0</v>
      </c>
      <c r="B1" s="164" t="s">
        <v>1</v>
      </c>
      <c r="C1" s="165"/>
      <c r="D1" s="165"/>
      <c r="E1" s="165"/>
      <c r="F1" s="165"/>
      <c r="G1" s="165"/>
      <c r="H1" s="165"/>
      <c r="I1" s="165"/>
      <c r="J1" s="165"/>
      <c r="K1" s="165"/>
      <c r="L1" s="165"/>
      <c r="M1" s="165"/>
      <c r="N1" s="165"/>
      <c r="O1" s="165"/>
      <c r="P1" s="165"/>
      <c r="Q1" s="165"/>
      <c r="R1" s="165"/>
      <c r="S1" s="166"/>
      <c r="T1" s="1"/>
      <c r="U1" s="1"/>
      <c r="V1" s="1"/>
      <c r="W1" s="1"/>
      <c r="X1" s="1"/>
      <c r="Y1" s="1"/>
      <c r="Z1" s="1"/>
      <c r="AA1" s="1"/>
      <c r="AB1" s="1"/>
      <c r="AC1" s="1"/>
      <c r="AD1" s="2"/>
    </row>
    <row r="2" spans="1:30" ht="14.25" customHeight="1" x14ac:dyDescent="0.2">
      <c r="A2" s="163"/>
      <c r="B2" s="3" t="s">
        <v>1611</v>
      </c>
      <c r="C2" s="3" t="s">
        <v>1630</v>
      </c>
      <c r="D2" s="161" t="s">
        <v>1612</v>
      </c>
      <c r="E2" s="161" t="s">
        <v>1613</v>
      </c>
      <c r="F2" s="161" t="s">
        <v>1614</v>
      </c>
      <c r="G2" s="3" t="s">
        <v>6</v>
      </c>
      <c r="H2" s="161" t="s">
        <v>1615</v>
      </c>
      <c r="I2" s="3" t="s">
        <v>1616</v>
      </c>
      <c r="J2" s="161" t="s">
        <v>1617</v>
      </c>
      <c r="K2" s="3" t="s">
        <v>1618</v>
      </c>
      <c r="L2" s="3" t="s">
        <v>11</v>
      </c>
      <c r="M2" s="3" t="s">
        <v>1619</v>
      </c>
      <c r="N2" s="161" t="s">
        <v>88</v>
      </c>
      <c r="O2" s="161" t="s">
        <v>1620</v>
      </c>
      <c r="P2" s="3" t="s">
        <v>14</v>
      </c>
      <c r="Q2" s="3" t="s">
        <v>15</v>
      </c>
      <c r="R2" s="161" t="s">
        <v>1621</v>
      </c>
      <c r="S2" s="3" t="s">
        <v>1622</v>
      </c>
      <c r="T2" s="161" t="s">
        <v>435</v>
      </c>
      <c r="U2" s="161" t="s">
        <v>1623</v>
      </c>
      <c r="V2" s="161" t="s">
        <v>20</v>
      </c>
      <c r="W2" s="161" t="s">
        <v>1624</v>
      </c>
      <c r="X2" s="161" t="s">
        <v>22</v>
      </c>
      <c r="Y2" s="161" t="s">
        <v>1625</v>
      </c>
      <c r="Z2" s="161" t="s">
        <v>1626</v>
      </c>
      <c r="AA2" s="3" t="s">
        <v>96</v>
      </c>
      <c r="AB2" s="3" t="s">
        <v>1627</v>
      </c>
      <c r="AC2" s="3" t="s">
        <v>1628</v>
      </c>
      <c r="AD2" s="4" t="s">
        <v>1629</v>
      </c>
    </row>
    <row r="3" spans="1:30" ht="14.25" customHeight="1" x14ac:dyDescent="0.2">
      <c r="A3" s="5" t="s">
        <v>26</v>
      </c>
      <c r="B3" s="6">
        <v>76.723498888065237</v>
      </c>
      <c r="C3" s="6">
        <v>3.4009319072328714</v>
      </c>
      <c r="D3" s="6" t="s">
        <v>27</v>
      </c>
      <c r="E3" s="6">
        <v>0.6227470083659854</v>
      </c>
      <c r="F3" s="6">
        <v>2.04</v>
      </c>
      <c r="G3" s="6" t="s">
        <v>27</v>
      </c>
      <c r="H3" s="6">
        <v>2.6826220480779415</v>
      </c>
      <c r="I3" s="6">
        <v>4.83</v>
      </c>
      <c r="J3" s="6">
        <v>1.4375092661230542</v>
      </c>
      <c r="K3" s="6">
        <v>0.76555826185181264</v>
      </c>
      <c r="L3" s="6" t="s">
        <v>27</v>
      </c>
      <c r="M3" s="6">
        <v>0.88248790991563397</v>
      </c>
      <c r="N3" s="6">
        <v>0.53628084295245149</v>
      </c>
      <c r="O3" s="6" t="s">
        <v>27</v>
      </c>
      <c r="P3" s="6">
        <v>6.3539129513925666E-2</v>
      </c>
      <c r="Q3" s="6">
        <v>0.20263687387482793</v>
      </c>
      <c r="R3" s="6" t="s">
        <v>27</v>
      </c>
      <c r="S3" s="6" t="s">
        <v>27</v>
      </c>
      <c r="T3" s="6" t="s">
        <v>27</v>
      </c>
      <c r="U3" s="7" t="s">
        <v>27</v>
      </c>
      <c r="V3" s="6">
        <v>19.061738854177698</v>
      </c>
      <c r="W3" s="6" t="s">
        <v>27</v>
      </c>
      <c r="X3" s="6" t="s">
        <v>27</v>
      </c>
      <c r="Y3" s="6" t="s">
        <v>27</v>
      </c>
      <c r="Z3" s="6" t="s">
        <v>27</v>
      </c>
      <c r="AA3" s="6" t="s">
        <v>27</v>
      </c>
      <c r="AB3" s="6" t="s">
        <v>27</v>
      </c>
      <c r="AC3" s="6" t="s">
        <v>27</v>
      </c>
      <c r="AD3" s="8" t="s">
        <v>27</v>
      </c>
    </row>
    <row r="4" spans="1:30" ht="14.25" customHeight="1" x14ac:dyDescent="0.2">
      <c r="A4" s="5" t="s">
        <v>28</v>
      </c>
      <c r="B4" s="6">
        <v>638.98233809924307</v>
      </c>
      <c r="C4" s="6">
        <v>19.007148864592093</v>
      </c>
      <c r="D4" s="6" t="s">
        <v>27</v>
      </c>
      <c r="E4" s="6" t="s">
        <v>27</v>
      </c>
      <c r="F4" s="6" t="s">
        <v>27</v>
      </c>
      <c r="G4" s="6" t="s">
        <v>27</v>
      </c>
      <c r="H4" s="6" t="s">
        <v>27</v>
      </c>
      <c r="I4" s="6" t="s">
        <v>27</v>
      </c>
      <c r="J4" s="6" t="s">
        <v>27</v>
      </c>
      <c r="K4" s="6" t="s">
        <v>27</v>
      </c>
      <c r="L4" s="6" t="s">
        <v>27</v>
      </c>
      <c r="M4" s="6" t="s">
        <v>27</v>
      </c>
      <c r="N4" s="6" t="s">
        <v>27</v>
      </c>
      <c r="O4" s="6" t="s">
        <v>27</v>
      </c>
      <c r="P4" s="6" t="s">
        <v>27</v>
      </c>
      <c r="Q4" s="6" t="s">
        <v>27</v>
      </c>
      <c r="R4" s="6" t="s">
        <v>27</v>
      </c>
      <c r="S4" s="6" t="s">
        <v>27</v>
      </c>
      <c r="T4" s="6" t="s">
        <v>27</v>
      </c>
      <c r="U4" s="7" t="s">
        <v>27</v>
      </c>
      <c r="V4" s="6" t="s">
        <v>27</v>
      </c>
      <c r="W4" s="6" t="s">
        <v>27</v>
      </c>
      <c r="X4" s="6" t="s">
        <v>27</v>
      </c>
      <c r="Y4" s="6" t="s">
        <v>27</v>
      </c>
      <c r="Z4" s="6" t="s">
        <v>27</v>
      </c>
      <c r="AA4" s="6" t="s">
        <v>27</v>
      </c>
      <c r="AB4" s="6" t="s">
        <v>27</v>
      </c>
      <c r="AC4" s="6" t="s">
        <v>27</v>
      </c>
      <c r="AD4" s="8" t="s">
        <v>27</v>
      </c>
    </row>
    <row r="5" spans="1:30" ht="14.25" customHeight="1" x14ac:dyDescent="0.2">
      <c r="A5" s="5" t="s">
        <v>29</v>
      </c>
      <c r="B5" s="6">
        <v>106.43714402839922</v>
      </c>
      <c r="C5" s="6">
        <v>4.4231188563553738</v>
      </c>
      <c r="D5" s="6" t="s">
        <v>27</v>
      </c>
      <c r="E5" s="6" t="s">
        <v>27</v>
      </c>
      <c r="F5" s="6">
        <v>4.0819530575398381E-2</v>
      </c>
      <c r="G5" s="6" t="s">
        <v>27</v>
      </c>
      <c r="H5" s="6">
        <v>1.5365203966821046</v>
      </c>
      <c r="I5" s="6">
        <v>3.9849630618136778</v>
      </c>
      <c r="J5" s="6">
        <v>4.7552799365029523</v>
      </c>
      <c r="K5" s="6">
        <v>0.72320927568592219</v>
      </c>
      <c r="L5" s="6" t="s">
        <v>27</v>
      </c>
      <c r="M5" s="9">
        <v>2.523600608222635</v>
      </c>
      <c r="N5" s="6">
        <v>2.5564539341130909E-2</v>
      </c>
      <c r="O5" s="6" t="s">
        <v>27</v>
      </c>
      <c r="P5" s="6">
        <v>5.2332731506921006E-2</v>
      </c>
      <c r="Q5" s="6">
        <v>5.6257686369940076E-3</v>
      </c>
      <c r="R5" s="6">
        <v>1.4304279945225074</v>
      </c>
      <c r="S5" s="6">
        <v>0.31443249513741706</v>
      </c>
      <c r="T5" s="6">
        <v>7.8551429991888425E-2</v>
      </c>
      <c r="U5" s="7">
        <v>4.0568333464165163E-3</v>
      </c>
      <c r="V5" s="6">
        <v>13.083182876730252</v>
      </c>
      <c r="W5" s="6" t="s">
        <v>27</v>
      </c>
      <c r="X5" s="6" t="s">
        <v>27</v>
      </c>
      <c r="Y5" s="6" t="s">
        <v>27</v>
      </c>
      <c r="Z5" s="6" t="s">
        <v>27</v>
      </c>
      <c r="AA5" s="6" t="s">
        <v>27</v>
      </c>
      <c r="AB5" s="6" t="s">
        <v>27</v>
      </c>
      <c r="AC5" s="6" t="s">
        <v>27</v>
      </c>
      <c r="AD5" s="8" t="s">
        <v>27</v>
      </c>
    </row>
    <row r="6" spans="1:30" ht="14.25" customHeight="1" x14ac:dyDescent="0.2">
      <c r="A6" s="5" t="s">
        <v>30</v>
      </c>
      <c r="B6" s="6">
        <v>90.87</v>
      </c>
      <c r="C6" s="6">
        <v>5.96</v>
      </c>
      <c r="D6" s="6" t="s">
        <v>27</v>
      </c>
      <c r="E6" s="6" t="s">
        <v>27</v>
      </c>
      <c r="F6" s="6" t="s">
        <v>27</v>
      </c>
      <c r="G6" s="6" t="s">
        <v>27</v>
      </c>
      <c r="H6" s="6">
        <v>2.1396313993174059</v>
      </c>
      <c r="I6" s="6">
        <v>3.3276450511945392</v>
      </c>
      <c r="J6" s="6">
        <v>0.40136518771331059</v>
      </c>
      <c r="K6" s="6">
        <v>1.3014789533560867</v>
      </c>
      <c r="L6" s="6" t="s">
        <v>27</v>
      </c>
      <c r="M6" s="6">
        <v>2.4027303754266214</v>
      </c>
      <c r="N6" s="6" t="s">
        <v>27</v>
      </c>
      <c r="O6" s="6" t="s">
        <v>27</v>
      </c>
      <c r="P6" s="6" t="s">
        <v>27</v>
      </c>
      <c r="Q6" s="6" t="s">
        <v>27</v>
      </c>
      <c r="R6" s="6" t="s">
        <v>27</v>
      </c>
      <c r="S6" s="6" t="s">
        <v>27</v>
      </c>
      <c r="T6" s="6">
        <v>0.35949943117178612</v>
      </c>
      <c r="U6" s="7">
        <v>1.8566552901023891E-2</v>
      </c>
      <c r="V6" s="6">
        <v>127.9863481228669</v>
      </c>
      <c r="W6" s="6" t="s">
        <v>27</v>
      </c>
      <c r="X6" s="6" t="s">
        <v>27</v>
      </c>
      <c r="Y6" s="6">
        <v>7.5686006825938561</v>
      </c>
      <c r="Z6" s="6">
        <v>1.2013651877133107</v>
      </c>
      <c r="AA6" s="6" t="s">
        <v>27</v>
      </c>
      <c r="AB6" s="6" t="s">
        <v>27</v>
      </c>
      <c r="AC6" s="6" t="s">
        <v>27</v>
      </c>
      <c r="AD6" s="8" t="s">
        <v>27</v>
      </c>
    </row>
    <row r="7" spans="1:30" ht="14.25" customHeight="1" x14ac:dyDescent="0.2">
      <c r="A7" s="5" t="s">
        <v>31</v>
      </c>
      <c r="B7" s="6">
        <v>61.54</v>
      </c>
      <c r="C7" s="6">
        <v>2.46</v>
      </c>
      <c r="D7" s="6">
        <v>1.18</v>
      </c>
      <c r="E7" s="6">
        <v>9.4078744517543846</v>
      </c>
      <c r="F7" s="6" t="s">
        <v>27</v>
      </c>
      <c r="G7" s="6">
        <v>14.44</v>
      </c>
      <c r="H7" s="6" t="s">
        <v>27</v>
      </c>
      <c r="I7" s="6" t="s">
        <v>27</v>
      </c>
      <c r="J7" s="6" t="s">
        <v>27</v>
      </c>
      <c r="K7" s="6" t="s">
        <v>27</v>
      </c>
      <c r="L7" s="6" t="s">
        <v>27</v>
      </c>
      <c r="M7" s="6">
        <v>2.4900000000000002</v>
      </c>
      <c r="N7" s="6">
        <v>0.03</v>
      </c>
      <c r="O7" s="6" t="s">
        <v>27</v>
      </c>
      <c r="P7" s="6">
        <v>0.2</v>
      </c>
      <c r="Q7" s="6">
        <v>0.35</v>
      </c>
      <c r="R7" s="6" t="s">
        <v>27</v>
      </c>
      <c r="S7" s="6" t="s">
        <v>27</v>
      </c>
      <c r="T7" s="6">
        <v>0.18</v>
      </c>
      <c r="U7" s="7">
        <v>0.01</v>
      </c>
      <c r="V7" s="6" t="s">
        <v>27</v>
      </c>
      <c r="W7" s="6" t="s">
        <v>27</v>
      </c>
      <c r="X7" s="6" t="s">
        <v>27</v>
      </c>
      <c r="Y7" s="6" t="s">
        <v>27</v>
      </c>
      <c r="Z7" s="6" t="s">
        <v>27</v>
      </c>
      <c r="AA7" s="6">
        <v>1.6</v>
      </c>
      <c r="AB7" s="6" t="s">
        <v>27</v>
      </c>
      <c r="AC7" s="6" t="s">
        <v>27</v>
      </c>
      <c r="AD7" s="8" t="s">
        <v>27</v>
      </c>
    </row>
    <row r="8" spans="1:30" ht="14.25" customHeight="1" x14ac:dyDescent="0.2">
      <c r="A8" s="5" t="s">
        <v>32</v>
      </c>
      <c r="B8" s="6">
        <v>83.268366504631757</v>
      </c>
      <c r="C8" s="6">
        <v>3.3064867467669448</v>
      </c>
      <c r="D8" s="6">
        <v>1.7433733834724388</v>
      </c>
      <c r="E8" s="6">
        <v>3.6176567458497662</v>
      </c>
      <c r="F8" s="6">
        <v>0.34519148936170213</v>
      </c>
      <c r="G8" s="6">
        <v>4.5400348527928092</v>
      </c>
      <c r="H8" s="6" t="s">
        <v>27</v>
      </c>
      <c r="I8" s="6" t="s">
        <v>27</v>
      </c>
      <c r="J8" s="6" t="s">
        <v>27</v>
      </c>
      <c r="K8" s="6">
        <v>1.0203613684307071</v>
      </c>
      <c r="L8" s="6" t="s">
        <v>27</v>
      </c>
      <c r="M8" s="6">
        <v>1.90314592314042</v>
      </c>
      <c r="N8" s="6">
        <v>0.2117326591310566</v>
      </c>
      <c r="O8" s="6" t="s">
        <v>27</v>
      </c>
      <c r="P8" s="6">
        <v>6.19095661744474E-2</v>
      </c>
      <c r="Q8" s="6">
        <v>4.7574468085106382E-2</v>
      </c>
      <c r="R8" s="6" t="s">
        <v>27</v>
      </c>
      <c r="S8" s="6" t="s">
        <v>27</v>
      </c>
      <c r="T8" s="6">
        <v>0.43776177810388572</v>
      </c>
      <c r="U8" s="7">
        <v>2.2608456388150053E-2</v>
      </c>
      <c r="V8" s="6" t="s">
        <v>27</v>
      </c>
      <c r="W8" s="6" t="s">
        <v>27</v>
      </c>
      <c r="X8" s="6" t="s">
        <v>27</v>
      </c>
      <c r="Y8" s="6">
        <v>3.5247179675318718</v>
      </c>
      <c r="Z8" s="6">
        <v>0.5594790424653765</v>
      </c>
      <c r="AA8" s="6" t="s">
        <v>27</v>
      </c>
      <c r="AB8" s="6" t="s">
        <v>27</v>
      </c>
      <c r="AC8" s="6" t="s">
        <v>27</v>
      </c>
      <c r="AD8" s="8" t="s">
        <v>27</v>
      </c>
    </row>
    <row r="9" spans="1:30" ht="14.25" customHeight="1" x14ac:dyDescent="0.2">
      <c r="A9" s="5" t="s">
        <v>33</v>
      </c>
      <c r="B9" s="6">
        <v>105</v>
      </c>
      <c r="C9" s="6">
        <v>4.05</v>
      </c>
      <c r="D9" s="6">
        <v>1.44</v>
      </c>
      <c r="E9" s="6">
        <v>4.4427999999999992</v>
      </c>
      <c r="F9" s="6" t="s">
        <v>27</v>
      </c>
      <c r="G9" s="6" t="s">
        <v>27</v>
      </c>
      <c r="H9" s="6" t="s">
        <v>27</v>
      </c>
      <c r="I9" s="6" t="s">
        <v>27</v>
      </c>
      <c r="J9" s="6" t="s">
        <v>27</v>
      </c>
      <c r="K9" s="6">
        <v>0.625</v>
      </c>
      <c r="L9" s="6" t="s">
        <v>27</v>
      </c>
      <c r="M9" s="6">
        <v>2.3245833333333334</v>
      </c>
      <c r="N9" s="6" t="s">
        <v>27</v>
      </c>
      <c r="O9" s="6" t="s">
        <v>27</v>
      </c>
      <c r="P9" s="6">
        <v>2.5624999999999998E-2</v>
      </c>
      <c r="Q9" s="6" t="s">
        <v>27</v>
      </c>
      <c r="R9" s="6" t="s">
        <v>27</v>
      </c>
      <c r="S9" s="6" t="s">
        <v>27</v>
      </c>
      <c r="T9" s="6" t="s">
        <v>27</v>
      </c>
      <c r="U9" s="7" t="s">
        <v>27</v>
      </c>
      <c r="V9" s="6" t="s">
        <v>27</v>
      </c>
      <c r="W9" s="6" t="s">
        <v>27</v>
      </c>
      <c r="X9" s="6" t="s">
        <v>27</v>
      </c>
      <c r="Y9" s="6">
        <v>6.3</v>
      </c>
      <c r="Z9" s="6">
        <v>1</v>
      </c>
      <c r="AA9" s="6" t="s">
        <v>27</v>
      </c>
      <c r="AB9" s="9">
        <v>0.24087499999999998</v>
      </c>
      <c r="AC9" s="6" t="s">
        <v>27</v>
      </c>
      <c r="AD9" s="8" t="s">
        <v>27</v>
      </c>
    </row>
    <row r="10" spans="1:30" ht="14.25" customHeight="1" x14ac:dyDescent="0.2">
      <c r="A10" s="5" t="s">
        <v>34</v>
      </c>
      <c r="B10" s="6">
        <v>47.49334644758158</v>
      </c>
      <c r="C10" s="6">
        <v>1.879230791483453</v>
      </c>
      <c r="D10" s="6">
        <v>0.88312890534598476</v>
      </c>
      <c r="E10" s="6">
        <v>8.6613771117796805</v>
      </c>
      <c r="F10" s="6">
        <v>1.33071048368433</v>
      </c>
      <c r="G10" s="6">
        <v>10.94654015274242</v>
      </c>
      <c r="H10" s="6" t="s">
        <v>27</v>
      </c>
      <c r="I10" s="6" t="s">
        <v>27</v>
      </c>
      <c r="J10" s="6" t="s">
        <v>27</v>
      </c>
      <c r="K10" s="6" t="s">
        <v>27</v>
      </c>
      <c r="L10" s="6" t="s">
        <v>27</v>
      </c>
      <c r="M10" s="6">
        <v>1.8907660263827817</v>
      </c>
      <c r="N10" s="6">
        <v>5.5542698449432999E-2</v>
      </c>
      <c r="O10" s="6" t="s">
        <v>27</v>
      </c>
      <c r="P10" s="6">
        <v>0.14927100208285118</v>
      </c>
      <c r="Q10" s="6" t="s">
        <v>27</v>
      </c>
      <c r="R10" s="6" t="s">
        <v>27</v>
      </c>
      <c r="S10" s="6" t="s">
        <v>27</v>
      </c>
      <c r="T10" s="6">
        <v>0.36565609812543393</v>
      </c>
      <c r="U10" s="7">
        <v>1.888451747280722E-2</v>
      </c>
      <c r="V10" s="6" t="s">
        <v>27</v>
      </c>
      <c r="W10" s="6" t="s">
        <v>27</v>
      </c>
      <c r="X10" s="6" t="s">
        <v>27</v>
      </c>
      <c r="Y10" s="6" t="s">
        <v>27</v>
      </c>
      <c r="Z10" s="6" t="s">
        <v>27</v>
      </c>
      <c r="AA10" s="6" t="s">
        <v>27</v>
      </c>
      <c r="AB10" s="6" t="s">
        <v>27</v>
      </c>
      <c r="AC10" s="6">
        <v>6.4394816014811385</v>
      </c>
      <c r="AD10" s="8">
        <v>1.2265679240916454</v>
      </c>
    </row>
    <row r="11" spans="1:30" ht="14.25" customHeight="1" x14ac:dyDescent="0.2">
      <c r="A11" s="5" t="s">
        <v>35</v>
      </c>
      <c r="B11" s="6">
        <v>96.332012439807372</v>
      </c>
      <c r="C11" s="6">
        <v>3.8856967295345104</v>
      </c>
      <c r="D11" s="6" t="s">
        <v>27</v>
      </c>
      <c r="E11" s="6" t="s">
        <v>27</v>
      </c>
      <c r="F11" s="6">
        <v>1.7997592295345104</v>
      </c>
      <c r="G11" s="6" t="s">
        <v>27</v>
      </c>
      <c r="H11" s="6">
        <v>3.2403942616372388</v>
      </c>
      <c r="I11" s="6">
        <v>1.8920545746388444</v>
      </c>
      <c r="J11" s="6">
        <v>3.7773876404494384</v>
      </c>
      <c r="K11" s="6">
        <v>1.317131487426431</v>
      </c>
      <c r="L11" s="6" t="s">
        <v>27</v>
      </c>
      <c r="M11" s="6">
        <v>2.9803705189941141</v>
      </c>
      <c r="N11" s="6">
        <v>0.6564506420545746</v>
      </c>
      <c r="O11" s="6" t="s">
        <v>27</v>
      </c>
      <c r="P11" s="6">
        <v>0.21458667736757625</v>
      </c>
      <c r="Q11" s="6">
        <v>0.24804373996789728</v>
      </c>
      <c r="R11" s="6">
        <v>3.8087881219903692</v>
      </c>
      <c r="S11" s="6" t="s">
        <v>27</v>
      </c>
      <c r="T11" s="6">
        <v>0.11557818352059925</v>
      </c>
      <c r="U11" s="7">
        <v>5.9691011235955055E-3</v>
      </c>
      <c r="V11" s="6">
        <v>19.060995184590691</v>
      </c>
      <c r="W11" s="6" t="s">
        <v>27</v>
      </c>
      <c r="X11" s="6" t="s">
        <v>27</v>
      </c>
      <c r="Y11" s="6" t="s">
        <v>27</v>
      </c>
      <c r="Z11" s="6" t="s">
        <v>27</v>
      </c>
      <c r="AA11" s="6" t="s">
        <v>27</v>
      </c>
      <c r="AB11" s="6" t="s">
        <v>27</v>
      </c>
      <c r="AC11" s="6" t="s">
        <v>27</v>
      </c>
      <c r="AD11" s="8" t="s">
        <v>27</v>
      </c>
    </row>
    <row r="12" spans="1:30" ht="14.25" customHeight="1" x14ac:dyDescent="0.2">
      <c r="A12" s="5" t="s">
        <v>36</v>
      </c>
      <c r="B12" s="6">
        <v>101.99795827752867</v>
      </c>
      <c r="C12" s="6">
        <v>5.4425249665172073</v>
      </c>
      <c r="D12" s="6" t="s">
        <v>27</v>
      </c>
      <c r="E12" s="6" t="s">
        <v>27</v>
      </c>
      <c r="F12" s="6">
        <v>0.95382286146858442</v>
      </c>
      <c r="G12" s="6">
        <v>6.0851336400163047</v>
      </c>
      <c r="H12" s="6">
        <v>1.0607348745123157</v>
      </c>
      <c r="I12" s="6">
        <v>2.9344901880859489</v>
      </c>
      <c r="J12" s="6" t="s">
        <v>27</v>
      </c>
      <c r="K12" s="6">
        <v>0.42217434344610727</v>
      </c>
      <c r="L12" s="6" t="s">
        <v>27</v>
      </c>
      <c r="M12" s="6">
        <v>1.1791766144529203</v>
      </c>
      <c r="N12" s="6">
        <v>0.38696686335785502</v>
      </c>
      <c r="O12" s="6" t="s">
        <v>27</v>
      </c>
      <c r="P12" s="6">
        <v>8.2979095091131425E-2</v>
      </c>
      <c r="Q12" s="6">
        <v>0.13145635590752927</v>
      </c>
      <c r="R12" s="6" t="s">
        <v>27</v>
      </c>
      <c r="S12" s="6" t="s">
        <v>27</v>
      </c>
      <c r="T12" s="6">
        <v>0.22637036821366874</v>
      </c>
      <c r="U12" s="7">
        <v>1.1691026611541373E-2</v>
      </c>
      <c r="V12" s="6" t="s">
        <v>27</v>
      </c>
      <c r="W12" s="6" t="s">
        <v>27</v>
      </c>
      <c r="X12" s="6" t="s">
        <v>27</v>
      </c>
      <c r="Y12" s="6">
        <v>0.40354044139055495</v>
      </c>
      <c r="Z12" s="6">
        <v>6.4054038315961098E-2</v>
      </c>
      <c r="AA12" s="6" t="s">
        <v>27</v>
      </c>
      <c r="AB12" s="6" t="s">
        <v>27</v>
      </c>
      <c r="AC12" s="6" t="s">
        <v>27</v>
      </c>
      <c r="AD12" s="8" t="s">
        <v>27</v>
      </c>
    </row>
    <row r="13" spans="1:30" ht="14.25" customHeight="1" x14ac:dyDescent="0.2">
      <c r="A13" s="5" t="s">
        <v>37</v>
      </c>
      <c r="B13" s="6">
        <v>132.99212598425197</v>
      </c>
      <c r="C13" s="6">
        <v>5.7110236220472448</v>
      </c>
      <c r="D13" s="6" t="s">
        <v>27</v>
      </c>
      <c r="E13" s="6" t="s">
        <v>27</v>
      </c>
      <c r="F13" s="6" t="s">
        <v>27</v>
      </c>
      <c r="G13" s="6" t="s">
        <v>27</v>
      </c>
      <c r="H13" s="6">
        <v>5.5658267716535432</v>
      </c>
      <c r="I13" s="6">
        <v>4.2472440944881891</v>
      </c>
      <c r="J13" s="6">
        <v>1.8484251968503937</v>
      </c>
      <c r="K13" s="6">
        <v>1.3779527559055116</v>
      </c>
      <c r="L13" s="6">
        <v>0.12566929133858268</v>
      </c>
      <c r="M13" s="6">
        <v>5.6496062992125982</v>
      </c>
      <c r="N13" s="6">
        <v>9.4488188976377951E-3</v>
      </c>
      <c r="O13" s="6" t="s">
        <v>27</v>
      </c>
      <c r="P13" s="6">
        <v>0.24803149606299213</v>
      </c>
      <c r="Q13" s="6" t="s">
        <v>27</v>
      </c>
      <c r="R13" s="6" t="s">
        <v>27</v>
      </c>
      <c r="S13" s="6" t="s">
        <v>27</v>
      </c>
      <c r="T13" s="6">
        <v>6.2204724409448818E-2</v>
      </c>
      <c r="U13" s="7">
        <v>3.2125984251968505E-3</v>
      </c>
      <c r="V13" s="6">
        <v>36.909448818897637</v>
      </c>
      <c r="W13" s="6" t="s">
        <v>27</v>
      </c>
      <c r="X13" s="6" t="s">
        <v>27</v>
      </c>
      <c r="Y13" s="6">
        <v>6.9448818897637796</v>
      </c>
      <c r="Z13" s="6">
        <v>1.1023622047244095</v>
      </c>
      <c r="AA13" s="6" t="s">
        <v>27</v>
      </c>
      <c r="AB13" s="6" t="s">
        <v>27</v>
      </c>
      <c r="AC13" s="6" t="s">
        <v>27</v>
      </c>
      <c r="AD13" s="8" t="s">
        <v>27</v>
      </c>
    </row>
    <row r="14" spans="1:30" ht="14.25" customHeight="1" x14ac:dyDescent="0.2">
      <c r="A14" s="5" t="s">
        <v>38</v>
      </c>
      <c r="B14" s="6">
        <v>70.515695067264573</v>
      </c>
      <c r="C14" s="6">
        <v>2.7954035874439462</v>
      </c>
      <c r="D14" s="6">
        <v>1.3514044843049327</v>
      </c>
      <c r="E14" s="6">
        <v>5.5958311305426855</v>
      </c>
      <c r="F14" s="6" t="s">
        <v>27</v>
      </c>
      <c r="G14" s="6">
        <v>9.9312406576980568</v>
      </c>
      <c r="H14" s="6">
        <v>1.5545112107623316</v>
      </c>
      <c r="I14" s="6">
        <v>4.0719880418535128</v>
      </c>
      <c r="J14" s="6">
        <v>3.3904932735426008</v>
      </c>
      <c r="K14" s="6">
        <v>0.34379671150971597</v>
      </c>
      <c r="L14" s="6" t="s">
        <v>27</v>
      </c>
      <c r="M14" s="6">
        <v>2.8155455904334827</v>
      </c>
      <c r="N14" s="6">
        <v>4.0189337319382158E-2</v>
      </c>
      <c r="O14" s="6" t="s">
        <v>27</v>
      </c>
      <c r="P14" s="6">
        <v>0.13542600896860987</v>
      </c>
      <c r="Q14" s="6" t="s">
        <v>27</v>
      </c>
      <c r="R14" s="6" t="s">
        <v>27</v>
      </c>
      <c r="S14" s="6" t="s">
        <v>27</v>
      </c>
      <c r="T14" s="6">
        <v>1.2028114100647731</v>
      </c>
      <c r="U14" s="7">
        <v>6.2119880418535132E-2</v>
      </c>
      <c r="V14" s="6" t="s">
        <v>27</v>
      </c>
      <c r="W14" s="6" t="s">
        <v>27</v>
      </c>
      <c r="X14" s="6" t="s">
        <v>27</v>
      </c>
      <c r="Y14" s="6">
        <v>3.4654708520179374</v>
      </c>
      <c r="Z14" s="6">
        <v>0.55007473841554555</v>
      </c>
      <c r="AA14" s="6" t="s">
        <v>27</v>
      </c>
      <c r="AB14" s="6" t="s">
        <v>27</v>
      </c>
      <c r="AC14" s="6">
        <v>6.2780269058295968</v>
      </c>
      <c r="AD14" s="8">
        <v>1.195814648729447</v>
      </c>
    </row>
    <row r="15" spans="1:30" ht="14.25" customHeight="1" x14ac:dyDescent="0.2">
      <c r="A15" s="5" t="s">
        <v>39</v>
      </c>
      <c r="B15" s="6">
        <v>75.557044445672403</v>
      </c>
      <c r="C15" s="6">
        <v>3.1594951588047131</v>
      </c>
      <c r="D15" s="6" t="s">
        <v>27</v>
      </c>
      <c r="E15" s="6" t="s">
        <v>27</v>
      </c>
      <c r="F15" s="6">
        <v>1.3792341272034039</v>
      </c>
      <c r="G15" s="6">
        <v>1.3372382162789413</v>
      </c>
      <c r="H15" s="6">
        <v>1.5954025529093219</v>
      </c>
      <c r="I15" s="6">
        <v>1.1498038348897608</v>
      </c>
      <c r="J15" s="6">
        <v>4.5541249930927776</v>
      </c>
      <c r="K15" s="6">
        <v>0.55948499751340008</v>
      </c>
      <c r="L15" s="6" t="s">
        <v>27</v>
      </c>
      <c r="M15" s="6">
        <v>0.2655136210421617</v>
      </c>
      <c r="N15" s="6">
        <v>0.50796955296457968</v>
      </c>
      <c r="O15" s="6">
        <v>6.3385505884953314E-2</v>
      </c>
      <c r="P15" s="6">
        <v>1.8235066585621927E-2</v>
      </c>
      <c r="Q15" s="6">
        <v>0.19008675471072553</v>
      </c>
      <c r="R15" s="6" t="s">
        <v>27</v>
      </c>
      <c r="S15" s="6" t="s">
        <v>27</v>
      </c>
      <c r="T15" s="6">
        <v>8.3669484813320802E-2</v>
      </c>
      <c r="U15" s="7">
        <v>4.3211582030170748E-3</v>
      </c>
      <c r="V15" s="6">
        <v>3.3154666519312594</v>
      </c>
      <c r="W15" s="6" t="s">
        <v>27</v>
      </c>
      <c r="X15" s="6" t="s">
        <v>27</v>
      </c>
      <c r="Y15" s="6" t="s">
        <v>27</v>
      </c>
      <c r="Z15" s="6" t="s">
        <v>27</v>
      </c>
      <c r="AA15" s="6" t="s">
        <v>27</v>
      </c>
      <c r="AB15" s="6" t="s">
        <v>27</v>
      </c>
      <c r="AC15" s="6" t="s">
        <v>27</v>
      </c>
      <c r="AD15" s="8" t="s">
        <v>27</v>
      </c>
    </row>
    <row r="16" spans="1:30" ht="14.25" customHeight="1" x14ac:dyDescent="0.2">
      <c r="A16" s="5" t="s">
        <v>40</v>
      </c>
      <c r="B16" s="6">
        <v>61.656720946697682</v>
      </c>
      <c r="C16" s="6">
        <v>3.811469606554061</v>
      </c>
      <c r="D16" s="6" t="s">
        <v>27</v>
      </c>
      <c r="E16" s="6" t="s">
        <v>27</v>
      </c>
      <c r="F16" s="6">
        <v>1.6227976130272075</v>
      </c>
      <c r="G16" s="6" t="s">
        <v>27</v>
      </c>
      <c r="H16" s="6">
        <v>1.7226620815211893</v>
      </c>
      <c r="I16" s="6">
        <v>1.7659552948315971</v>
      </c>
      <c r="J16" s="6">
        <v>0.76211186406392228</v>
      </c>
      <c r="K16" s="6">
        <v>0.65015930009102862</v>
      </c>
      <c r="L16" s="6" t="s">
        <v>27</v>
      </c>
      <c r="M16" s="6" t="s">
        <v>27</v>
      </c>
      <c r="N16" s="6">
        <v>0.66144078082330326</v>
      </c>
      <c r="O16" s="6" t="s">
        <v>27</v>
      </c>
      <c r="P16" s="6" t="s">
        <v>27</v>
      </c>
      <c r="Q16" s="6">
        <v>0.22365479923131384</v>
      </c>
      <c r="R16" s="6" t="s">
        <v>27</v>
      </c>
      <c r="S16" s="6" t="s">
        <v>27</v>
      </c>
      <c r="T16" s="6">
        <v>0.4577770473011698</v>
      </c>
      <c r="U16" s="7">
        <v>2.3642156366946495E-2</v>
      </c>
      <c r="V16" s="6">
        <v>70.800040457165977</v>
      </c>
      <c r="W16" s="6" t="s">
        <v>27</v>
      </c>
      <c r="X16" s="6" t="s">
        <v>27</v>
      </c>
      <c r="Y16" s="6" t="s">
        <v>27</v>
      </c>
      <c r="Z16" s="6" t="s">
        <v>27</v>
      </c>
      <c r="AA16" s="6" t="s">
        <v>27</v>
      </c>
      <c r="AB16" s="6" t="s">
        <v>27</v>
      </c>
      <c r="AC16" s="6" t="s">
        <v>27</v>
      </c>
      <c r="AD16" s="8" t="s">
        <v>27</v>
      </c>
    </row>
    <row r="17" spans="1:30" ht="14.25" customHeight="1" x14ac:dyDescent="0.2">
      <c r="A17" s="5" t="s">
        <v>41</v>
      </c>
      <c r="B17" s="6">
        <v>153.02418723990115</v>
      </c>
      <c r="C17" s="6">
        <v>9.1256844707281211</v>
      </c>
      <c r="D17" s="6" t="s">
        <v>27</v>
      </c>
      <c r="E17" s="6" t="s">
        <v>27</v>
      </c>
      <c r="F17" s="6" t="s">
        <v>27</v>
      </c>
      <c r="G17" s="6" t="s">
        <v>27</v>
      </c>
      <c r="H17" s="6" t="s">
        <v>27</v>
      </c>
      <c r="I17" s="6" t="s">
        <v>27</v>
      </c>
      <c r="J17" s="6" t="s">
        <v>27</v>
      </c>
      <c r="K17" s="6">
        <v>0.24445383147157296</v>
      </c>
      <c r="L17" s="6" t="s">
        <v>27</v>
      </c>
      <c r="M17" s="6">
        <v>0.78225226070903342</v>
      </c>
      <c r="N17" s="6">
        <v>2.9569135454801464E-2</v>
      </c>
      <c r="O17" s="6" t="s">
        <v>27</v>
      </c>
      <c r="P17" s="6" t="s">
        <v>27</v>
      </c>
      <c r="Q17" s="6" t="s">
        <v>27</v>
      </c>
      <c r="R17" s="6" t="s">
        <v>27</v>
      </c>
      <c r="S17" s="6" t="s">
        <v>27</v>
      </c>
      <c r="T17" s="6">
        <v>0.19466347507744297</v>
      </c>
      <c r="U17" s="7">
        <v>1.00535060546325E-2</v>
      </c>
      <c r="V17" s="6">
        <v>46.935135642542008</v>
      </c>
      <c r="W17" s="6" t="s">
        <v>27</v>
      </c>
      <c r="X17" s="6" t="s">
        <v>27</v>
      </c>
      <c r="Y17" s="6">
        <v>2.4640946212334556</v>
      </c>
      <c r="Z17" s="6">
        <v>0.39112613035451671</v>
      </c>
      <c r="AA17" s="6" t="s">
        <v>27</v>
      </c>
      <c r="AB17" s="6" t="s">
        <v>27</v>
      </c>
      <c r="AC17" s="6" t="s">
        <v>27</v>
      </c>
      <c r="AD17" s="8" t="s">
        <v>27</v>
      </c>
    </row>
    <row r="18" spans="1:30" ht="14.25" customHeight="1" x14ac:dyDescent="0.2">
      <c r="A18" s="5" t="s">
        <v>42</v>
      </c>
      <c r="B18" s="6">
        <v>178.40384359843202</v>
      </c>
      <c r="C18" s="6">
        <v>7.1252533054282106</v>
      </c>
      <c r="D18" s="6" t="s">
        <v>27</v>
      </c>
      <c r="E18" s="6" t="s">
        <v>27</v>
      </c>
      <c r="F18" s="6" t="s">
        <v>27</v>
      </c>
      <c r="G18" s="6" t="s">
        <v>27</v>
      </c>
      <c r="H18" s="6">
        <v>1.2717178260580693</v>
      </c>
      <c r="I18" s="6">
        <v>0.40362766593581823</v>
      </c>
      <c r="J18" s="6">
        <v>3.6924456846721148</v>
      </c>
      <c r="K18" s="6">
        <v>0.64883562553983121</v>
      </c>
      <c r="L18" s="6">
        <v>0.1526061391269683</v>
      </c>
      <c r="M18" s="6">
        <v>2.0762740017274601</v>
      </c>
      <c r="N18" s="6" t="s">
        <v>27</v>
      </c>
      <c r="O18" s="6" t="s">
        <v>27</v>
      </c>
      <c r="P18" s="6" t="s">
        <v>27</v>
      </c>
      <c r="Q18" s="6" t="s">
        <v>27</v>
      </c>
      <c r="R18" s="6" t="s">
        <v>27</v>
      </c>
      <c r="S18" s="6">
        <v>0.36334795030230549</v>
      </c>
      <c r="T18" s="6" t="s">
        <v>27</v>
      </c>
      <c r="U18" s="7" t="s">
        <v>27</v>
      </c>
      <c r="V18" s="6" t="s">
        <v>27</v>
      </c>
      <c r="W18" s="6" t="s">
        <v>27</v>
      </c>
      <c r="X18" s="6" t="s">
        <v>27</v>
      </c>
      <c r="Y18" s="6" t="s">
        <v>27</v>
      </c>
      <c r="Z18" s="6" t="s">
        <v>27</v>
      </c>
      <c r="AA18" s="6" t="s">
        <v>27</v>
      </c>
      <c r="AB18" s="6" t="s">
        <v>27</v>
      </c>
      <c r="AC18" s="6" t="s">
        <v>27</v>
      </c>
      <c r="AD18" s="8" t="s">
        <v>27</v>
      </c>
    </row>
    <row r="19" spans="1:30" ht="14.25" customHeight="1" x14ac:dyDescent="0.2">
      <c r="A19" s="5" t="s">
        <v>43</v>
      </c>
      <c r="B19" s="6">
        <v>84.34423347398031</v>
      </c>
      <c r="C19" s="6">
        <v>3.3388273558368491</v>
      </c>
      <c r="D19" s="6">
        <v>1.518987341772152</v>
      </c>
      <c r="E19" s="6">
        <v>3.0625879043600563</v>
      </c>
      <c r="F19" s="6">
        <v>1.9015471167369902</v>
      </c>
      <c r="G19" s="6">
        <v>8.2512892639474913</v>
      </c>
      <c r="H19" s="6">
        <v>1.7856540084388184</v>
      </c>
      <c r="I19" s="6">
        <v>5.2789498359118614</v>
      </c>
      <c r="J19" s="6" t="s">
        <v>27</v>
      </c>
      <c r="K19" s="6">
        <v>0.98159868729488986</v>
      </c>
      <c r="L19" s="6" t="s">
        <v>27</v>
      </c>
      <c r="M19" s="6">
        <v>2.128457571495546</v>
      </c>
      <c r="N19" s="6">
        <v>0.93531411157993427</v>
      </c>
      <c r="O19" s="6" t="s">
        <v>27</v>
      </c>
      <c r="P19" s="6">
        <v>0.11251758087201125</v>
      </c>
      <c r="Q19" s="6">
        <v>0.26207219878105953</v>
      </c>
      <c r="R19" s="6" t="s">
        <v>27</v>
      </c>
      <c r="S19" s="6" t="s">
        <v>27</v>
      </c>
      <c r="T19" s="6">
        <v>0.91666666666666663</v>
      </c>
      <c r="U19" s="7">
        <v>4.7341772151898734E-2</v>
      </c>
      <c r="V19" s="6" t="s">
        <v>27</v>
      </c>
      <c r="W19" s="6" t="s">
        <v>27</v>
      </c>
      <c r="X19" s="6" t="s">
        <v>27</v>
      </c>
      <c r="Y19" s="6">
        <v>2.2151898734177213</v>
      </c>
      <c r="Z19" s="6">
        <v>0.35161744022503516</v>
      </c>
      <c r="AA19" s="6" t="s">
        <v>27</v>
      </c>
      <c r="AB19" s="6" t="s">
        <v>27</v>
      </c>
      <c r="AC19" s="6" t="s">
        <v>27</v>
      </c>
      <c r="AD19" s="8" t="s">
        <v>27</v>
      </c>
    </row>
    <row r="20" spans="1:30" ht="14.25" customHeight="1" x14ac:dyDescent="0.2">
      <c r="A20" s="5" t="s">
        <v>44</v>
      </c>
      <c r="B20" s="6">
        <v>104.36029411764706</v>
      </c>
      <c r="C20" s="6">
        <v>3.7177941176470584</v>
      </c>
      <c r="D20" s="6" t="s">
        <v>27</v>
      </c>
      <c r="E20" s="6" t="s">
        <v>27</v>
      </c>
      <c r="F20" s="6">
        <v>1.8352941176470587</v>
      </c>
      <c r="G20" s="6" t="s">
        <v>27</v>
      </c>
      <c r="H20" s="6">
        <v>3.3858823529411768</v>
      </c>
      <c r="I20" s="6">
        <v>2.1345882352941175</v>
      </c>
      <c r="J20" s="6">
        <v>1.676705882352941</v>
      </c>
      <c r="K20" s="6">
        <v>0.99264705882352944</v>
      </c>
      <c r="L20" s="6" t="s">
        <v>27</v>
      </c>
      <c r="M20" s="6">
        <v>1.286764705882353</v>
      </c>
      <c r="N20" s="6">
        <v>0.66941176470588226</v>
      </c>
      <c r="O20" s="6" t="s">
        <v>27</v>
      </c>
      <c r="P20" s="6">
        <v>9.2647058823529416E-2</v>
      </c>
      <c r="Q20" s="6">
        <v>0.25294117647058822</v>
      </c>
      <c r="R20" s="6" t="s">
        <v>27</v>
      </c>
      <c r="S20" s="6" t="s">
        <v>27</v>
      </c>
      <c r="T20" s="6">
        <v>0.33691176470588236</v>
      </c>
      <c r="U20" s="7">
        <v>1.7400000000000002E-2</v>
      </c>
      <c r="V20" s="6" t="s">
        <v>27</v>
      </c>
      <c r="W20" s="6" t="s">
        <v>27</v>
      </c>
      <c r="X20" s="6" t="s">
        <v>27</v>
      </c>
      <c r="Y20" s="6" t="s">
        <v>27</v>
      </c>
      <c r="Z20" s="6" t="s">
        <v>27</v>
      </c>
      <c r="AA20" s="6" t="s">
        <v>27</v>
      </c>
      <c r="AB20" s="6" t="s">
        <v>27</v>
      </c>
      <c r="AC20" s="6" t="s">
        <v>27</v>
      </c>
      <c r="AD20" s="8" t="s">
        <v>27</v>
      </c>
    </row>
    <row r="21" spans="1:30" ht="14.25" customHeight="1" x14ac:dyDescent="0.2">
      <c r="A21" s="5" t="s">
        <v>45</v>
      </c>
      <c r="B21" s="6">
        <v>80.730459057071968</v>
      </c>
      <c r="C21" s="6">
        <v>3.195835918114144</v>
      </c>
      <c r="D21" s="6">
        <v>1.466501240694789</v>
      </c>
      <c r="E21" s="6">
        <v>5.803211848635236</v>
      </c>
      <c r="F21" s="6" t="s">
        <v>27</v>
      </c>
      <c r="G21" s="6">
        <v>5.913978494623656</v>
      </c>
      <c r="H21" s="6" t="s">
        <v>27</v>
      </c>
      <c r="I21" s="6" t="s">
        <v>27</v>
      </c>
      <c r="J21" s="6" t="s">
        <v>27</v>
      </c>
      <c r="K21" s="6" t="s">
        <v>27</v>
      </c>
      <c r="L21" s="6" t="s">
        <v>27</v>
      </c>
      <c r="M21" s="6">
        <v>1.021505376344086</v>
      </c>
      <c r="N21" s="6">
        <v>0.11166253101736973</v>
      </c>
      <c r="O21" s="6" t="s">
        <v>27</v>
      </c>
      <c r="P21" s="6">
        <v>8.0645161290322578E-2</v>
      </c>
      <c r="Q21" s="6">
        <v>0.43569065343258889</v>
      </c>
      <c r="R21" s="6" t="s">
        <v>27</v>
      </c>
      <c r="S21" s="6" t="s">
        <v>27</v>
      </c>
      <c r="T21" s="6">
        <v>0.73511166253101734</v>
      </c>
      <c r="U21" s="7">
        <v>3.7965260545905703E-2</v>
      </c>
      <c r="V21" s="6" t="s">
        <v>27</v>
      </c>
      <c r="W21" s="6">
        <v>3.3498759305210917</v>
      </c>
      <c r="X21" s="6">
        <v>0.4466501240694789</v>
      </c>
      <c r="Y21" s="6" t="s">
        <v>27</v>
      </c>
      <c r="Z21" s="6" t="s">
        <v>27</v>
      </c>
      <c r="AA21" s="6">
        <v>1.9758064516129032</v>
      </c>
      <c r="AB21" s="6" t="s">
        <v>27</v>
      </c>
      <c r="AC21" s="6" t="s">
        <v>27</v>
      </c>
      <c r="AD21" s="8" t="s">
        <v>27</v>
      </c>
    </row>
    <row r="22" spans="1:30" ht="14.25" customHeight="1" x14ac:dyDescent="0.2">
      <c r="A22" s="5" t="s">
        <v>46</v>
      </c>
      <c r="B22" s="6">
        <v>163.24556611444254</v>
      </c>
      <c r="C22" s="6">
        <v>7.4214895653352304</v>
      </c>
      <c r="D22" s="6" t="s">
        <v>27</v>
      </c>
      <c r="E22" s="6" t="s">
        <v>27</v>
      </c>
      <c r="F22" s="6" t="s">
        <v>27</v>
      </c>
      <c r="G22" s="6" t="s">
        <v>27</v>
      </c>
      <c r="H22" s="6">
        <v>0.828016830978758</v>
      </c>
      <c r="I22" s="6">
        <v>1.0998678727512958</v>
      </c>
      <c r="J22" s="6">
        <v>0.3070921841650574</v>
      </c>
      <c r="K22" s="6">
        <v>0.31250635227157231</v>
      </c>
      <c r="L22" s="6">
        <v>0.24303282853948571</v>
      </c>
      <c r="M22" s="6">
        <v>1.0000203272690313</v>
      </c>
      <c r="N22" s="6" t="s">
        <v>27</v>
      </c>
      <c r="O22" s="6" t="s">
        <v>27</v>
      </c>
      <c r="P22" s="6" t="s">
        <v>27</v>
      </c>
      <c r="Q22" s="6" t="s">
        <v>27</v>
      </c>
      <c r="R22" s="6" t="s">
        <v>27</v>
      </c>
      <c r="S22" s="6" t="s">
        <v>27</v>
      </c>
      <c r="T22" s="6" t="s">
        <v>27</v>
      </c>
      <c r="U22" s="7" t="s">
        <v>27</v>
      </c>
      <c r="V22" s="6" t="s">
        <v>27</v>
      </c>
      <c r="W22" s="6" t="s">
        <v>27</v>
      </c>
      <c r="X22" s="6" t="s">
        <v>27</v>
      </c>
      <c r="Y22" s="6">
        <v>3.150064030897449</v>
      </c>
      <c r="Z22" s="6">
        <v>0.50001016363451567</v>
      </c>
      <c r="AA22" s="6" t="s">
        <v>27</v>
      </c>
      <c r="AB22" s="6" t="s">
        <v>27</v>
      </c>
      <c r="AC22" s="6" t="s">
        <v>27</v>
      </c>
      <c r="AD22" s="8" t="s">
        <v>27</v>
      </c>
    </row>
    <row r="23" spans="1:30" ht="14.25" customHeight="1" x14ac:dyDescent="0.2">
      <c r="A23" s="5" t="s">
        <v>47</v>
      </c>
      <c r="B23" s="6">
        <v>93.627450980392155</v>
      </c>
      <c r="C23" s="6">
        <v>3.7184976931949252</v>
      </c>
      <c r="D23" s="6">
        <v>1.4698961937716264</v>
      </c>
      <c r="E23" s="6">
        <v>5.8608159169550182</v>
      </c>
      <c r="F23" s="6" t="s">
        <v>27</v>
      </c>
      <c r="G23" s="6">
        <v>5.0749711649365628</v>
      </c>
      <c r="H23" s="6" t="s">
        <v>27</v>
      </c>
      <c r="I23" s="6" t="s">
        <v>27</v>
      </c>
      <c r="J23" s="6" t="s">
        <v>27</v>
      </c>
      <c r="K23" s="6">
        <v>0.67266435986159168</v>
      </c>
      <c r="L23" s="6" t="s">
        <v>27</v>
      </c>
      <c r="M23" s="6">
        <v>3.1280276816608996</v>
      </c>
      <c r="N23" s="6">
        <v>3.6332179930795849E-2</v>
      </c>
      <c r="O23" s="6" t="s">
        <v>27</v>
      </c>
      <c r="P23" s="6">
        <v>8.3044982698961947E-2</v>
      </c>
      <c r="Q23" s="6" t="s">
        <v>27</v>
      </c>
      <c r="R23" s="6" t="s">
        <v>27</v>
      </c>
      <c r="S23" s="6" t="s">
        <v>27</v>
      </c>
      <c r="T23" s="6">
        <v>0.23918685121107267</v>
      </c>
      <c r="U23" s="7">
        <v>1.2352941176470589E-2</v>
      </c>
      <c r="V23" s="6" t="s">
        <v>27</v>
      </c>
      <c r="W23" s="6">
        <v>2.9896193771626298</v>
      </c>
      <c r="X23" s="6">
        <v>0.3986159169550173</v>
      </c>
      <c r="Y23" s="6">
        <v>6.5397923875432529</v>
      </c>
      <c r="Z23" s="6">
        <v>1.0380622837370241</v>
      </c>
      <c r="AA23" s="6" t="s">
        <v>27</v>
      </c>
      <c r="AB23" s="6" t="s">
        <v>27</v>
      </c>
      <c r="AC23" s="6" t="s">
        <v>27</v>
      </c>
      <c r="AD23" s="8" t="s">
        <v>27</v>
      </c>
    </row>
    <row r="24" spans="1:30" ht="14.25" customHeight="1" x14ac:dyDescent="0.2">
      <c r="A24" s="5" t="s">
        <v>48</v>
      </c>
      <c r="B24" s="6">
        <v>341.2708860709111</v>
      </c>
      <c r="C24" s="6">
        <v>16.548987571179147</v>
      </c>
      <c r="D24" s="6" t="s">
        <v>27</v>
      </c>
      <c r="E24" s="6" t="s">
        <v>27</v>
      </c>
      <c r="F24" s="6" t="s">
        <v>27</v>
      </c>
      <c r="G24" s="6" t="s">
        <v>27</v>
      </c>
      <c r="H24" s="6">
        <v>0.27439401537947172</v>
      </c>
      <c r="I24" s="6">
        <v>7.6419735396666189E-2</v>
      </c>
      <c r="J24" s="6">
        <v>4.5683479008453938E-2</v>
      </c>
      <c r="K24" s="6">
        <v>0.6268806419257773</v>
      </c>
      <c r="L24" s="6" t="s">
        <v>27</v>
      </c>
      <c r="M24" s="6">
        <v>2.0060180541624875</v>
      </c>
      <c r="N24" s="6" t="s">
        <v>27</v>
      </c>
      <c r="O24" s="6" t="s">
        <v>27</v>
      </c>
      <c r="P24" s="6" t="s">
        <v>27</v>
      </c>
      <c r="Q24" s="6" t="s">
        <v>27</v>
      </c>
      <c r="R24" s="6" t="s">
        <v>27</v>
      </c>
      <c r="S24" s="6">
        <v>0.35105315947843524</v>
      </c>
      <c r="T24" s="6">
        <v>0.19695882179165358</v>
      </c>
      <c r="U24" s="7">
        <v>1.0172050543163884E-2</v>
      </c>
      <c r="V24" s="6">
        <v>3.8209867698333095</v>
      </c>
      <c r="W24" s="6" t="s">
        <v>27</v>
      </c>
      <c r="X24" s="6" t="s">
        <v>27</v>
      </c>
      <c r="Y24" s="6" t="s">
        <v>27</v>
      </c>
      <c r="Z24" s="6" t="s">
        <v>27</v>
      </c>
      <c r="AA24" s="6" t="s">
        <v>27</v>
      </c>
      <c r="AB24" s="6" t="s">
        <v>27</v>
      </c>
      <c r="AC24" s="6" t="s">
        <v>27</v>
      </c>
      <c r="AD24" s="8" t="s">
        <v>27</v>
      </c>
    </row>
    <row r="25" spans="1:30" ht="14.25" customHeight="1" x14ac:dyDescent="0.2">
      <c r="A25" s="10" t="s">
        <v>49</v>
      </c>
      <c r="B25" s="11">
        <v>97.116937989312788</v>
      </c>
      <c r="C25" s="11">
        <v>5.8257735802162296</v>
      </c>
      <c r="D25" s="11" t="s">
        <v>27</v>
      </c>
      <c r="E25" s="11" t="s">
        <v>27</v>
      </c>
      <c r="F25" s="11" t="s">
        <v>27</v>
      </c>
      <c r="G25" s="11" t="s">
        <v>27</v>
      </c>
      <c r="H25" s="11">
        <v>1.7605008077544426</v>
      </c>
      <c r="I25" s="11" t="s">
        <v>27</v>
      </c>
      <c r="J25" s="11">
        <v>3.0845035416925564</v>
      </c>
      <c r="K25" s="11">
        <v>0.66018391947309552</v>
      </c>
      <c r="L25" s="11" t="s">
        <v>27</v>
      </c>
      <c r="M25" s="11">
        <v>2.1125885423139059</v>
      </c>
      <c r="N25" s="11" t="s">
        <v>27</v>
      </c>
      <c r="O25" s="11" t="s">
        <v>27</v>
      </c>
      <c r="P25" s="11" t="s">
        <v>27</v>
      </c>
      <c r="Q25" s="11" t="s">
        <v>27</v>
      </c>
      <c r="R25" s="11" t="s">
        <v>27</v>
      </c>
      <c r="S25" s="11" t="s">
        <v>27</v>
      </c>
      <c r="T25" s="11">
        <v>8.5901578227911019E-3</v>
      </c>
      <c r="U25" s="12">
        <v>4.4364359388592028E-4</v>
      </c>
      <c r="V25" s="11">
        <v>106.87212625823288</v>
      </c>
      <c r="W25" s="11" t="s">
        <v>27</v>
      </c>
      <c r="X25" s="11" t="s">
        <v>27</v>
      </c>
      <c r="Y25" s="11">
        <v>6.654653908288803</v>
      </c>
      <c r="Z25" s="11">
        <v>1.056294271156953</v>
      </c>
      <c r="AA25" s="11" t="s">
        <v>27</v>
      </c>
      <c r="AB25" s="11" t="s">
        <v>27</v>
      </c>
      <c r="AC25" s="11" t="s">
        <v>27</v>
      </c>
      <c r="AD25" s="13" t="s">
        <v>27</v>
      </c>
    </row>
    <row r="26" spans="1:30" ht="14.25" customHeight="1" x14ac:dyDescent="0.2"/>
    <row r="27" spans="1:30" ht="14.25" customHeight="1" x14ac:dyDescent="0.2"/>
    <row r="28" spans="1:30" ht="14.25" customHeight="1" x14ac:dyDescent="0.2"/>
    <row r="29" spans="1:30" ht="14.25" customHeight="1" x14ac:dyDescent="0.2"/>
    <row r="30" spans="1:30" ht="14.25" customHeight="1" x14ac:dyDescent="0.2"/>
    <row r="31" spans="1:30" ht="14.25" customHeight="1" x14ac:dyDescent="0.2"/>
    <row r="32" spans="1:30"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
    <mergeCell ref="A1:A2"/>
    <mergeCell ref="B1:S1"/>
  </mergeCells>
  <conditionalFormatting sqref="B3:B25">
    <cfRule type="colorScale" priority="1">
      <colorScale>
        <cfvo type="min"/>
        <cfvo type="max"/>
        <color rgb="FFFCFCFF"/>
        <color rgb="FF63BE7B"/>
      </colorScale>
    </cfRule>
  </conditionalFormatting>
  <conditionalFormatting sqref="B3:AD25">
    <cfRule type="colorScale" priority="2">
      <colorScale>
        <cfvo type="min"/>
        <cfvo type="max"/>
        <color rgb="FFFCFCFF"/>
        <color rgb="FF63BE7B"/>
      </colorScale>
    </cfRule>
    <cfRule type="colorScale" priority="3">
      <colorScale>
        <cfvo type="min"/>
        <cfvo type="percentile" val="50"/>
        <cfvo type="max"/>
        <color rgb="FF5A8AC6"/>
        <color rgb="FFFCFCFF"/>
        <color rgb="FFF8696B"/>
      </colorScale>
    </cfRule>
  </conditionalFormatting>
  <conditionalFormatting sqref="V3:V25">
    <cfRule type="colorScale" priority="4">
      <colorScale>
        <cfvo type="min"/>
        <cfvo type="max"/>
        <color rgb="FFFCFCFF"/>
        <color rgb="FF63BE7B"/>
      </colorScale>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selection activeCell="C27" sqref="C27"/>
    </sheetView>
  </sheetViews>
  <sheetFormatPr baseColWidth="10" defaultColWidth="14.5" defaultRowHeight="15" customHeight="1" x14ac:dyDescent="0.2"/>
  <cols>
    <col min="1" max="1" width="45.6640625" customWidth="1"/>
    <col min="2" max="2" width="11" customWidth="1"/>
    <col min="3" max="3" width="15.1640625" customWidth="1"/>
    <col min="4" max="4" width="19.83203125" customWidth="1"/>
    <col min="5" max="5" width="21.83203125" customWidth="1"/>
    <col min="6" max="6" width="21" customWidth="1"/>
    <col min="7" max="7" width="41.6640625" customWidth="1"/>
    <col min="8" max="8" width="21.6640625" customWidth="1"/>
    <col min="9" max="9" width="12.1640625" customWidth="1"/>
    <col min="10" max="10" width="9.5" customWidth="1"/>
    <col min="11" max="11" width="12.1640625" customWidth="1"/>
    <col min="12" max="26" width="8.6640625" customWidth="1"/>
  </cols>
  <sheetData>
    <row r="1" spans="1:11" ht="14.25" customHeight="1" x14ac:dyDescent="0.2">
      <c r="A1" s="162" t="s">
        <v>51</v>
      </c>
      <c r="B1" s="167" t="s">
        <v>52</v>
      </c>
      <c r="C1" s="165"/>
      <c r="D1" s="165"/>
      <c r="E1" s="165"/>
      <c r="F1" s="165"/>
      <c r="G1" s="165"/>
      <c r="H1" s="165"/>
      <c r="I1" s="165"/>
      <c r="J1" s="165"/>
      <c r="K1" s="168"/>
    </row>
    <row r="2" spans="1:11" ht="14.25" customHeight="1" x14ac:dyDescent="0.2">
      <c r="A2" s="163"/>
      <c r="B2" s="14" t="s">
        <v>57</v>
      </c>
      <c r="C2" s="14" t="s">
        <v>58</v>
      </c>
      <c r="D2" s="14" t="s">
        <v>59</v>
      </c>
      <c r="E2" s="14" t="s">
        <v>60</v>
      </c>
      <c r="F2" s="14" t="s">
        <v>62</v>
      </c>
      <c r="G2" s="14" t="s">
        <v>63</v>
      </c>
      <c r="H2" s="14" t="s">
        <v>64</v>
      </c>
      <c r="I2" s="14" t="s">
        <v>66</v>
      </c>
      <c r="J2" s="14" t="s">
        <v>67</v>
      </c>
      <c r="K2" s="16" t="s">
        <v>68</v>
      </c>
    </row>
    <row r="3" spans="1:11" ht="14.25" customHeight="1" x14ac:dyDescent="0.2">
      <c r="A3" s="5" t="s">
        <v>26</v>
      </c>
      <c r="B3" s="7">
        <v>1.3343217197924388E-2</v>
      </c>
      <c r="C3" s="7">
        <v>2.7004130043418405E-2</v>
      </c>
      <c r="D3" s="7" t="s">
        <v>27</v>
      </c>
      <c r="E3" s="7" t="s">
        <v>27</v>
      </c>
      <c r="F3" s="7" t="s">
        <v>27</v>
      </c>
      <c r="G3" s="7" t="s">
        <v>27</v>
      </c>
      <c r="H3" s="7" t="s">
        <v>27</v>
      </c>
      <c r="I3" s="7" t="s">
        <v>27</v>
      </c>
      <c r="J3" s="7" t="s">
        <v>27</v>
      </c>
      <c r="K3" s="18" t="s">
        <v>27</v>
      </c>
    </row>
    <row r="4" spans="1:11" ht="14.25" customHeight="1" x14ac:dyDescent="0.2">
      <c r="A4" s="5" t="s">
        <v>28</v>
      </c>
      <c r="B4" s="7" t="s">
        <v>27</v>
      </c>
      <c r="C4" s="7" t="s">
        <v>27</v>
      </c>
      <c r="D4" s="7">
        <v>4.0370058873002525E-2</v>
      </c>
      <c r="E4" s="7" t="s">
        <v>27</v>
      </c>
      <c r="F4" s="7" t="s">
        <v>27</v>
      </c>
      <c r="G4" s="7" t="s">
        <v>27</v>
      </c>
      <c r="H4" s="7" t="s">
        <v>27</v>
      </c>
      <c r="I4" s="7" t="s">
        <v>27</v>
      </c>
      <c r="J4" s="7" t="s">
        <v>27</v>
      </c>
      <c r="K4" s="18" t="s">
        <v>27</v>
      </c>
    </row>
    <row r="5" spans="1:11" ht="14.25" customHeight="1" x14ac:dyDescent="0.2">
      <c r="A5" s="5" t="s">
        <v>29</v>
      </c>
      <c r="B5" s="7">
        <v>5.8999999999999999E-3</v>
      </c>
      <c r="C5" s="7" t="s">
        <v>27</v>
      </c>
      <c r="D5" s="7" t="s">
        <v>27</v>
      </c>
      <c r="E5" s="7">
        <v>4.4000000000000003E-3</v>
      </c>
      <c r="F5" s="7">
        <v>8.9999999999999998E-4</v>
      </c>
      <c r="G5" s="7">
        <v>0.15140000000000001</v>
      </c>
      <c r="H5" s="7" t="s">
        <v>27</v>
      </c>
      <c r="I5" s="7" t="s">
        <v>27</v>
      </c>
      <c r="J5" s="7" t="s">
        <v>27</v>
      </c>
      <c r="K5" s="18" t="s">
        <v>27</v>
      </c>
    </row>
    <row r="6" spans="1:11" ht="14.25" customHeight="1" x14ac:dyDescent="0.2">
      <c r="A6" s="5" t="s">
        <v>30</v>
      </c>
      <c r="B6" s="7">
        <v>7.17E-2</v>
      </c>
      <c r="C6" s="7" t="s">
        <v>27</v>
      </c>
      <c r="D6" s="7" t="s">
        <v>27</v>
      </c>
      <c r="E6" s="7" t="s">
        <v>27</v>
      </c>
      <c r="F6" s="7" t="s">
        <v>27</v>
      </c>
      <c r="G6" s="7" t="s">
        <v>27</v>
      </c>
      <c r="H6" s="7" t="s">
        <v>27</v>
      </c>
      <c r="I6" s="7" t="s">
        <v>27</v>
      </c>
      <c r="J6" s="7" t="s">
        <v>27</v>
      </c>
      <c r="K6" s="18" t="s">
        <v>27</v>
      </c>
    </row>
    <row r="7" spans="1:11" ht="14.25" customHeight="1" x14ac:dyDescent="0.2">
      <c r="A7" s="5" t="s">
        <v>31</v>
      </c>
      <c r="B7" s="7" t="s">
        <v>27</v>
      </c>
      <c r="C7" s="7" t="s">
        <v>27</v>
      </c>
      <c r="D7" s="7" t="s">
        <v>27</v>
      </c>
      <c r="E7" s="7" t="s">
        <v>27</v>
      </c>
      <c r="F7" s="7" t="s">
        <v>27</v>
      </c>
      <c r="G7" s="7" t="s">
        <v>27</v>
      </c>
      <c r="H7" s="7" t="s">
        <v>27</v>
      </c>
      <c r="I7" s="7" t="s">
        <v>27</v>
      </c>
      <c r="J7" s="7" t="s">
        <v>27</v>
      </c>
      <c r="K7" s="18" t="s">
        <v>27</v>
      </c>
    </row>
    <row r="8" spans="1:11" ht="14.25" customHeight="1" x14ac:dyDescent="0.2">
      <c r="A8" s="5" t="s">
        <v>32</v>
      </c>
      <c r="B8" s="7">
        <v>4.0447583233972302E-2</v>
      </c>
      <c r="C8" s="7" t="s">
        <v>27</v>
      </c>
      <c r="D8" s="7" t="s">
        <v>27</v>
      </c>
      <c r="E8" s="7" t="s">
        <v>27</v>
      </c>
      <c r="F8" s="7">
        <v>3.8521507841878383E-3</v>
      </c>
      <c r="G8" s="7" t="s">
        <v>27</v>
      </c>
      <c r="H8" s="7" t="s">
        <v>27</v>
      </c>
      <c r="I8" s="7" t="s">
        <v>27</v>
      </c>
      <c r="J8" s="7" t="s">
        <v>27</v>
      </c>
      <c r="K8" s="18" t="s">
        <v>27</v>
      </c>
    </row>
    <row r="9" spans="1:11" ht="14.25" customHeight="1" x14ac:dyDescent="0.2">
      <c r="A9" s="5" t="s">
        <v>33</v>
      </c>
      <c r="B9" s="7">
        <v>0.17499999999999999</v>
      </c>
      <c r="C9" s="7" t="s">
        <v>27</v>
      </c>
      <c r="D9" s="7" t="s">
        <v>27</v>
      </c>
      <c r="E9" s="7" t="s">
        <v>27</v>
      </c>
      <c r="F9" s="7" t="s">
        <v>27</v>
      </c>
      <c r="G9" s="7" t="s">
        <v>27</v>
      </c>
      <c r="H9" s="7" t="s">
        <v>27</v>
      </c>
      <c r="I9" s="7" t="s">
        <v>27</v>
      </c>
      <c r="J9" s="7" t="s">
        <v>27</v>
      </c>
      <c r="K9" s="18" t="s">
        <v>27</v>
      </c>
    </row>
    <row r="10" spans="1:11" ht="14.25" customHeight="1" x14ac:dyDescent="0.2">
      <c r="A10" s="5" t="s">
        <v>34</v>
      </c>
      <c r="B10" s="7" t="s">
        <v>27</v>
      </c>
      <c r="C10" s="7" t="s">
        <v>27</v>
      </c>
      <c r="D10" s="7" t="s">
        <v>27</v>
      </c>
      <c r="E10" s="7" t="s">
        <v>27</v>
      </c>
      <c r="F10" s="7" t="s">
        <v>27</v>
      </c>
      <c r="G10" s="7" t="s">
        <v>27</v>
      </c>
      <c r="H10" s="7">
        <v>3.7028465632955337E-2</v>
      </c>
      <c r="I10" s="7">
        <v>6.4799814857671834E-2</v>
      </c>
      <c r="J10" s="7" t="s">
        <v>27</v>
      </c>
      <c r="K10" s="18" t="s">
        <v>27</v>
      </c>
    </row>
    <row r="11" spans="1:11" ht="14.25" customHeight="1" x14ac:dyDescent="0.2">
      <c r="A11" s="5" t="s">
        <v>35</v>
      </c>
      <c r="B11" s="7">
        <v>1.8960674157303372E-2</v>
      </c>
      <c r="C11" s="7">
        <v>0.16252006420545748</v>
      </c>
      <c r="D11" s="7" t="s">
        <v>27</v>
      </c>
      <c r="E11" s="7" t="s">
        <v>27</v>
      </c>
      <c r="F11" s="7" t="s">
        <v>27</v>
      </c>
      <c r="G11" s="7" t="s">
        <v>27</v>
      </c>
      <c r="H11" s="7" t="s">
        <v>27</v>
      </c>
      <c r="I11" s="7" t="s">
        <v>27</v>
      </c>
      <c r="J11" s="7" t="s">
        <v>27</v>
      </c>
      <c r="K11" s="18" t="s">
        <v>27</v>
      </c>
    </row>
    <row r="12" spans="1:11" ht="14.25" customHeight="1" x14ac:dyDescent="0.2">
      <c r="A12" s="5" t="s">
        <v>36</v>
      </c>
      <c r="B12" s="7">
        <v>1.5285622779945263E-3</v>
      </c>
      <c r="C12" s="7" t="s">
        <v>27</v>
      </c>
      <c r="D12" s="7" t="s">
        <v>27</v>
      </c>
      <c r="E12" s="7" t="s">
        <v>27</v>
      </c>
      <c r="F12" s="7">
        <v>3.3628370115879581E-3</v>
      </c>
      <c r="G12" s="7" t="s">
        <v>27</v>
      </c>
      <c r="H12" s="7" t="s">
        <v>27</v>
      </c>
      <c r="I12" s="7" t="s">
        <v>27</v>
      </c>
      <c r="J12" s="7" t="s">
        <v>27</v>
      </c>
      <c r="K12" s="18" t="s">
        <v>27</v>
      </c>
    </row>
    <row r="13" spans="1:11" ht="14.25" customHeight="1" x14ac:dyDescent="0.2">
      <c r="A13" s="5" t="s">
        <v>37</v>
      </c>
      <c r="B13" s="7" t="s">
        <v>27</v>
      </c>
      <c r="C13" s="7" t="s">
        <v>27</v>
      </c>
      <c r="D13" s="7" t="s">
        <v>27</v>
      </c>
      <c r="E13" s="7" t="s">
        <v>27</v>
      </c>
      <c r="F13" s="7" t="s">
        <v>27</v>
      </c>
      <c r="G13" s="7" t="s">
        <v>27</v>
      </c>
      <c r="H13" s="7" t="s">
        <v>27</v>
      </c>
      <c r="I13" s="7" t="s">
        <v>27</v>
      </c>
      <c r="J13" s="7" t="s">
        <v>27</v>
      </c>
      <c r="K13" s="18" t="s">
        <v>27</v>
      </c>
    </row>
    <row r="14" spans="1:11" ht="14.25" customHeight="1" x14ac:dyDescent="0.2">
      <c r="A14" s="5" t="s">
        <v>38</v>
      </c>
      <c r="B14" s="7">
        <v>8.7892376681614343E-3</v>
      </c>
      <c r="C14" s="7" t="s">
        <v>27</v>
      </c>
      <c r="D14" s="7" t="s">
        <v>27</v>
      </c>
      <c r="E14" s="7" t="s">
        <v>27</v>
      </c>
      <c r="F14" s="7">
        <v>1.1300448430493274E-2</v>
      </c>
      <c r="G14" s="7" t="s">
        <v>27</v>
      </c>
      <c r="H14" s="7" t="s">
        <v>27</v>
      </c>
      <c r="I14" s="7" t="s">
        <v>27</v>
      </c>
      <c r="J14" s="7" t="s">
        <v>27</v>
      </c>
      <c r="K14" s="18" t="s">
        <v>27</v>
      </c>
    </row>
    <row r="15" spans="1:11" ht="14.25" customHeight="1" x14ac:dyDescent="0.2">
      <c r="A15" s="5" t="s">
        <v>39</v>
      </c>
      <c r="B15" s="7">
        <v>1.1604133281759407E-3</v>
      </c>
      <c r="C15" s="7">
        <v>3.7575288721887604E-3</v>
      </c>
      <c r="D15" s="7" t="s">
        <v>27</v>
      </c>
      <c r="E15" s="7" t="s">
        <v>27</v>
      </c>
      <c r="F15" s="7">
        <v>1.2764546609935349E-3</v>
      </c>
      <c r="G15" s="7" t="s">
        <v>27</v>
      </c>
      <c r="H15" s="7" t="s">
        <v>27</v>
      </c>
      <c r="I15" s="7" t="s">
        <v>27</v>
      </c>
      <c r="J15" s="7" t="s">
        <v>27</v>
      </c>
      <c r="K15" s="18" t="s">
        <v>27</v>
      </c>
    </row>
    <row r="16" spans="1:11" ht="14.25" customHeight="1" x14ac:dyDescent="0.2">
      <c r="A16" s="5" t="s">
        <v>40</v>
      </c>
      <c r="B16" s="7">
        <v>2.4426013957722262E-2</v>
      </c>
      <c r="C16" s="7" t="s">
        <v>27</v>
      </c>
      <c r="D16" s="7" t="s">
        <v>27</v>
      </c>
      <c r="E16" s="7" t="s">
        <v>27</v>
      </c>
      <c r="F16" s="7">
        <v>5.3100030342874485E-3</v>
      </c>
      <c r="G16" s="7" t="s">
        <v>27</v>
      </c>
      <c r="H16" s="7" t="s">
        <v>27</v>
      </c>
      <c r="I16" s="7" t="s">
        <v>27</v>
      </c>
      <c r="J16" s="7">
        <v>3.1860018205724689E-3</v>
      </c>
      <c r="K16" s="18" t="s">
        <v>27</v>
      </c>
    </row>
    <row r="17" spans="1:11" ht="14.25" customHeight="1" x14ac:dyDescent="0.2">
      <c r="A17" s="5" t="s">
        <v>41</v>
      </c>
      <c r="B17" s="7">
        <v>3.7548108514033605E-3</v>
      </c>
      <c r="C17" s="7" t="s">
        <v>27</v>
      </c>
      <c r="D17" s="7" t="s">
        <v>27</v>
      </c>
      <c r="E17" s="7" t="s">
        <v>27</v>
      </c>
      <c r="F17" s="7" t="s">
        <v>27</v>
      </c>
      <c r="G17" s="7" t="s">
        <v>27</v>
      </c>
      <c r="H17" s="7" t="s">
        <v>27</v>
      </c>
      <c r="I17" s="7">
        <v>4.1302919365436966E-2</v>
      </c>
      <c r="J17" s="7" t="s">
        <v>27</v>
      </c>
      <c r="K17" s="18" t="s">
        <v>27</v>
      </c>
    </row>
    <row r="18" spans="1:11" ht="14.25" customHeight="1" x14ac:dyDescent="0.2">
      <c r="A18" s="5" t="s">
        <v>42</v>
      </c>
      <c r="B18" s="7">
        <v>1.2208491130157465E-3</v>
      </c>
      <c r="C18" s="7">
        <v>1.4949172812437711E-2</v>
      </c>
      <c r="D18" s="7" t="s">
        <v>27</v>
      </c>
      <c r="E18" s="7" t="s">
        <v>27</v>
      </c>
      <c r="F18" s="7" t="s">
        <v>27</v>
      </c>
      <c r="G18" s="7" t="s">
        <v>27</v>
      </c>
      <c r="H18" s="7" t="s">
        <v>27</v>
      </c>
      <c r="I18" s="7" t="s">
        <v>27</v>
      </c>
      <c r="J18" s="7" t="s">
        <v>27</v>
      </c>
      <c r="K18" s="18" t="s">
        <v>27</v>
      </c>
    </row>
    <row r="19" spans="1:11" ht="14.25" customHeight="1" x14ac:dyDescent="0.2">
      <c r="A19" s="5" t="s">
        <v>43</v>
      </c>
      <c r="B19" s="7" t="s">
        <v>27</v>
      </c>
      <c r="C19" s="7" t="s">
        <v>27</v>
      </c>
      <c r="D19" s="7" t="s">
        <v>27</v>
      </c>
      <c r="E19" s="7" t="s">
        <v>27</v>
      </c>
      <c r="F19" s="7">
        <v>1.969057665260197E-2</v>
      </c>
      <c r="G19" s="7" t="s">
        <v>27</v>
      </c>
      <c r="H19" s="7">
        <v>0.1125</v>
      </c>
      <c r="I19" s="7" t="s">
        <v>27</v>
      </c>
      <c r="J19" s="7" t="s">
        <v>27</v>
      </c>
      <c r="K19" s="18" t="s">
        <v>27</v>
      </c>
    </row>
    <row r="20" spans="1:11" ht="14.25" customHeight="1" x14ac:dyDescent="0.2">
      <c r="A20" s="5" t="s">
        <v>44</v>
      </c>
      <c r="B20" s="7" t="s">
        <v>27</v>
      </c>
      <c r="C20" s="7">
        <v>3.5294117647058823E-2</v>
      </c>
      <c r="D20" s="7" t="s">
        <v>27</v>
      </c>
      <c r="E20" s="7" t="s">
        <v>27</v>
      </c>
      <c r="F20" s="7" t="s">
        <v>27</v>
      </c>
      <c r="G20" s="7" t="s">
        <v>27</v>
      </c>
      <c r="H20" s="7" t="s">
        <v>27</v>
      </c>
      <c r="I20" s="7" t="s">
        <v>27</v>
      </c>
      <c r="J20" s="7">
        <v>1.9764705882352941E-2</v>
      </c>
      <c r="K20" s="18" t="s">
        <v>27</v>
      </c>
    </row>
    <row r="21" spans="1:11" ht="14.25" customHeight="1" x14ac:dyDescent="0.2">
      <c r="A21" s="5" t="s">
        <v>45</v>
      </c>
      <c r="B21" s="7">
        <v>2.3883374689826303E-2</v>
      </c>
      <c r="C21" s="7" t="s">
        <v>27</v>
      </c>
      <c r="D21" s="7" t="s">
        <v>27</v>
      </c>
      <c r="E21" s="7" t="s">
        <v>27</v>
      </c>
      <c r="F21" s="7">
        <v>8.6848635235732014E-3</v>
      </c>
      <c r="G21" s="7" t="s">
        <v>27</v>
      </c>
      <c r="H21" s="7" t="s">
        <v>27</v>
      </c>
      <c r="I21" s="7" t="s">
        <v>27</v>
      </c>
      <c r="J21" s="7" t="s">
        <v>27</v>
      </c>
      <c r="K21" s="18" t="s">
        <v>27</v>
      </c>
    </row>
    <row r="22" spans="1:11" ht="14.25" customHeight="1" x14ac:dyDescent="0.2">
      <c r="A22" s="5" t="s">
        <v>46</v>
      </c>
      <c r="B22" s="7" t="s">
        <v>27</v>
      </c>
      <c r="C22" s="7" t="s">
        <v>27</v>
      </c>
      <c r="D22" s="7" t="s">
        <v>27</v>
      </c>
      <c r="E22" s="7" t="s">
        <v>27</v>
      </c>
      <c r="F22" s="7">
        <v>3.414981197276146E-3</v>
      </c>
      <c r="G22" s="7" t="s">
        <v>27</v>
      </c>
      <c r="H22" s="7" t="s">
        <v>27</v>
      </c>
      <c r="I22" s="7" t="s">
        <v>27</v>
      </c>
      <c r="J22" s="7" t="s">
        <v>27</v>
      </c>
      <c r="K22" s="18" t="s">
        <v>27</v>
      </c>
    </row>
    <row r="23" spans="1:11" ht="14.25" customHeight="1" x14ac:dyDescent="0.2">
      <c r="A23" s="5" t="s">
        <v>47</v>
      </c>
      <c r="B23" s="7">
        <v>9.688581314878892E-3</v>
      </c>
      <c r="C23" s="7">
        <v>0.15224913494809689</v>
      </c>
      <c r="D23" s="7" t="s">
        <v>27</v>
      </c>
      <c r="E23" s="7" t="s">
        <v>27</v>
      </c>
      <c r="F23" s="7" t="s">
        <v>27</v>
      </c>
      <c r="G23" s="7" t="s">
        <v>27</v>
      </c>
      <c r="H23" s="7" t="s">
        <v>27</v>
      </c>
      <c r="I23" s="7" t="s">
        <v>27</v>
      </c>
      <c r="J23" s="7" t="s">
        <v>27</v>
      </c>
      <c r="K23" s="18" t="s">
        <v>27</v>
      </c>
    </row>
    <row r="24" spans="1:11" ht="14.25" customHeight="1" x14ac:dyDescent="0.2">
      <c r="A24" s="5" t="s">
        <v>48</v>
      </c>
      <c r="B24" s="7">
        <v>5.0150451354062184E-3</v>
      </c>
      <c r="C24" s="7" t="s">
        <v>27</v>
      </c>
      <c r="D24" s="7" t="s">
        <v>27</v>
      </c>
      <c r="E24" s="7" t="s">
        <v>27</v>
      </c>
      <c r="F24" s="7">
        <v>4.0120361083249749E-3</v>
      </c>
      <c r="G24" s="7" t="s">
        <v>27</v>
      </c>
      <c r="H24" s="7" t="s">
        <v>27</v>
      </c>
      <c r="I24" s="7">
        <v>5.5165496489468406E-3</v>
      </c>
      <c r="J24" s="7" t="s">
        <v>27</v>
      </c>
      <c r="K24" s="18" t="s">
        <v>27</v>
      </c>
    </row>
    <row r="25" spans="1:11" ht="14.25" customHeight="1" x14ac:dyDescent="0.2">
      <c r="A25" s="10" t="s">
        <v>49</v>
      </c>
      <c r="B25" s="12">
        <v>2.3487013793960482E-2</v>
      </c>
      <c r="C25" s="12" t="s">
        <v>27</v>
      </c>
      <c r="D25" s="12" t="s">
        <v>27</v>
      </c>
      <c r="E25" s="12" t="s">
        <v>27</v>
      </c>
      <c r="F25" s="12" t="s">
        <v>27</v>
      </c>
      <c r="G25" s="12" t="s">
        <v>27</v>
      </c>
      <c r="H25" s="12" t="s">
        <v>27</v>
      </c>
      <c r="I25" s="12" t="s">
        <v>27</v>
      </c>
      <c r="J25" s="12" t="s">
        <v>27</v>
      </c>
      <c r="K25" s="24">
        <v>1.9763784144021929E-2</v>
      </c>
    </row>
    <row r="26" spans="1:11" ht="14.25" customHeight="1" x14ac:dyDescent="0.2"/>
    <row r="27" spans="1:11" ht="14.25" customHeight="1" x14ac:dyDescent="0.2"/>
    <row r="28" spans="1:11" ht="14.25" customHeight="1" x14ac:dyDescent="0.2"/>
    <row r="29" spans="1:11" ht="14.25" customHeight="1" x14ac:dyDescent="0.2"/>
    <row r="30" spans="1:11" ht="14.25" customHeight="1" x14ac:dyDescent="0.2"/>
    <row r="31" spans="1:11" ht="14.25" customHeight="1" x14ac:dyDescent="0.2"/>
    <row r="32" spans="1:11"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
    <mergeCell ref="A1:A2"/>
    <mergeCell ref="B1:K1"/>
  </mergeCells>
  <conditionalFormatting sqref="B3:K25">
    <cfRule type="colorScale" priority="1">
      <colorScale>
        <cfvo type="min"/>
        <cfvo type="max"/>
        <color rgb="FFFCFCFF"/>
        <color rgb="FF63BE7B"/>
      </colorScale>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sheetViews>
  <sheetFormatPr baseColWidth="10" defaultColWidth="14.5" defaultRowHeight="15" customHeight="1" x14ac:dyDescent="0.2"/>
  <cols>
    <col min="1" max="1" width="45.6640625" customWidth="1"/>
    <col min="2" max="2" width="12" customWidth="1"/>
    <col min="3" max="4" width="15.1640625" customWidth="1"/>
    <col min="5" max="5" width="19.83203125" customWidth="1"/>
    <col min="6" max="6" width="21.83203125" customWidth="1"/>
    <col min="7" max="7" width="21" customWidth="1"/>
    <col min="8" max="8" width="41.6640625" customWidth="1"/>
    <col min="9" max="9" width="21.6640625" customWidth="1"/>
    <col min="10" max="10" width="11.1640625" customWidth="1"/>
    <col min="11" max="11" width="9.83203125" customWidth="1"/>
    <col min="12" max="12" width="13.83203125" customWidth="1"/>
    <col min="13" max="16" width="8.6640625" customWidth="1"/>
    <col min="17" max="17" width="10.83203125" customWidth="1"/>
    <col min="18" max="18" width="9.5" customWidth="1"/>
    <col min="19" max="19" width="14.1640625" customWidth="1"/>
    <col min="20" max="20" width="11.33203125" customWidth="1"/>
    <col min="21" max="21" width="13.83203125" customWidth="1"/>
    <col min="22" max="22" width="11.6640625" customWidth="1"/>
    <col min="23" max="24" width="8.6640625" customWidth="1"/>
    <col min="25" max="25" width="26.1640625" customWidth="1"/>
    <col min="26" max="26" width="8.6640625" customWidth="1"/>
    <col min="27" max="27" width="12.5" customWidth="1"/>
    <col min="28" max="28" width="15.1640625" customWidth="1"/>
    <col min="29" max="29" width="8.6640625" customWidth="1"/>
    <col min="30" max="30" width="11.5" customWidth="1"/>
    <col min="31" max="31" width="8.6640625" customWidth="1"/>
    <col min="32" max="32" width="13.5" customWidth="1"/>
    <col min="33" max="33" width="8.6640625" customWidth="1"/>
  </cols>
  <sheetData>
    <row r="1" spans="1:33" ht="14.25" customHeight="1" x14ac:dyDescent="0.2">
      <c r="B1" s="169" t="s">
        <v>50</v>
      </c>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row>
    <row r="2" spans="1:33" ht="42" customHeight="1" x14ac:dyDescent="0.2">
      <c r="A2" s="14" t="s">
        <v>51</v>
      </c>
      <c r="B2" s="15" t="s">
        <v>53</v>
      </c>
      <c r="C2" s="15" t="s">
        <v>54</v>
      </c>
      <c r="D2" s="15" t="s">
        <v>55</v>
      </c>
      <c r="E2" s="171" t="s">
        <v>56</v>
      </c>
      <c r="F2" s="172"/>
      <c r="G2" s="173"/>
      <c r="H2" s="171" t="s">
        <v>61</v>
      </c>
      <c r="I2" s="172"/>
      <c r="J2" s="172"/>
      <c r="K2" s="172"/>
      <c r="L2" s="173"/>
      <c r="M2" s="171" t="s">
        <v>65</v>
      </c>
      <c r="N2" s="172"/>
      <c r="O2" s="172"/>
      <c r="P2" s="172"/>
      <c r="Q2" s="172"/>
      <c r="R2" s="172"/>
      <c r="S2" s="172"/>
      <c r="T2" s="172"/>
      <c r="U2" s="173"/>
      <c r="V2" s="171" t="s">
        <v>69</v>
      </c>
      <c r="W2" s="172"/>
      <c r="X2" s="172"/>
      <c r="Y2" s="172"/>
      <c r="Z2" s="173"/>
      <c r="AA2" s="171" t="s">
        <v>70</v>
      </c>
      <c r="AB2" s="172"/>
      <c r="AC2" s="172"/>
      <c r="AD2" s="172"/>
      <c r="AE2" s="172"/>
      <c r="AF2" s="173"/>
    </row>
    <row r="3" spans="1:33" ht="42" customHeight="1" x14ac:dyDescent="0.2">
      <c r="A3" s="14"/>
      <c r="B3" s="17" t="s">
        <v>71</v>
      </c>
      <c r="C3" s="17" t="s">
        <v>72</v>
      </c>
      <c r="D3" s="17" t="s">
        <v>2</v>
      </c>
      <c r="E3" s="17" t="s">
        <v>73</v>
      </c>
      <c r="F3" s="17" t="s">
        <v>74</v>
      </c>
      <c r="G3" s="17" t="s">
        <v>75</v>
      </c>
      <c r="H3" s="17" t="s">
        <v>76</v>
      </c>
      <c r="I3" s="17" t="s">
        <v>77</v>
      </c>
      <c r="J3" s="17" t="s">
        <v>78</v>
      </c>
      <c r="K3" s="17" t="s">
        <v>79</v>
      </c>
      <c r="L3" s="17" t="s">
        <v>80</v>
      </c>
      <c r="M3" s="17" t="s">
        <v>81</v>
      </c>
      <c r="N3" s="17" t="s">
        <v>2</v>
      </c>
      <c r="O3" s="17" t="s">
        <v>82</v>
      </c>
      <c r="P3" s="17" t="s">
        <v>6</v>
      </c>
      <c r="Q3" s="17" t="s">
        <v>83</v>
      </c>
      <c r="R3" s="17" t="s">
        <v>84</v>
      </c>
      <c r="S3" s="17" t="s">
        <v>85</v>
      </c>
      <c r="T3" s="17" t="s">
        <v>86</v>
      </c>
      <c r="U3" s="17" t="s">
        <v>87</v>
      </c>
      <c r="V3" s="17" t="s">
        <v>88</v>
      </c>
      <c r="W3" s="17" t="s">
        <v>89</v>
      </c>
      <c r="X3" s="17" t="s">
        <v>90</v>
      </c>
      <c r="Y3" s="17" t="s">
        <v>91</v>
      </c>
      <c r="Z3" s="17" t="s">
        <v>92</v>
      </c>
      <c r="AA3" s="17" t="s">
        <v>93</v>
      </c>
      <c r="AB3" s="17" t="s">
        <v>94</v>
      </c>
      <c r="AC3" s="17" t="s">
        <v>95</v>
      </c>
      <c r="AD3" s="17" t="s">
        <v>96</v>
      </c>
      <c r="AE3" s="17" t="s">
        <v>97</v>
      </c>
      <c r="AF3" s="17" t="s">
        <v>98</v>
      </c>
    </row>
    <row r="4" spans="1:33" ht="14.25" customHeight="1" x14ac:dyDescent="0.2">
      <c r="A4" s="14" t="s">
        <v>26</v>
      </c>
      <c r="B4" s="19">
        <f>SUM('Aircraft traffic control &amp; oper'!Q2:Q4)</f>
        <v>6.2474849094567402</v>
      </c>
      <c r="C4" s="19">
        <f>SUM('Aircraft traffic control &amp; oper'!Q5:Q6)</f>
        <v>73.514772847611994</v>
      </c>
      <c r="D4" s="14" t="s">
        <v>27</v>
      </c>
      <c r="E4" s="19">
        <f>SUM('Aircraft traffic control &amp; oper'!Q7:Q17)</f>
        <v>1.1910692223516537</v>
      </c>
      <c r="F4" s="14" t="s">
        <v>27</v>
      </c>
      <c r="G4" s="14" t="s">
        <v>27</v>
      </c>
      <c r="H4" s="19">
        <f>SUM('Aircraft traffic control &amp; oper'!Q18:Q29)</f>
        <v>7.936291432807371</v>
      </c>
      <c r="I4" s="14" t="s">
        <v>27</v>
      </c>
      <c r="J4" s="14" t="s">
        <v>27</v>
      </c>
      <c r="K4" s="14" t="s">
        <v>27</v>
      </c>
      <c r="L4" s="14" t="s">
        <v>27</v>
      </c>
      <c r="M4" s="21">
        <f>SUM('Aircraft traffic control &amp; oper'!Q30:Q31)</f>
        <v>19.423911892407073</v>
      </c>
      <c r="N4" s="7" t="s">
        <v>27</v>
      </c>
      <c r="O4" s="21">
        <f>SUM('Aircraft traffic control &amp; oper'!Q32:Q35)</f>
        <v>2.1391506936354974</v>
      </c>
      <c r="P4" s="7" t="s">
        <v>27</v>
      </c>
      <c r="Q4" s="14" t="s">
        <v>27</v>
      </c>
      <c r="R4" s="7" t="s">
        <v>27</v>
      </c>
      <c r="S4" s="14" t="s">
        <v>27</v>
      </c>
      <c r="T4" s="14" t="s">
        <v>27</v>
      </c>
      <c r="U4" s="7" t="s">
        <v>27</v>
      </c>
      <c r="V4" s="14" t="s">
        <v>27</v>
      </c>
      <c r="W4" s="7" t="s">
        <v>27</v>
      </c>
      <c r="X4" s="14" t="s">
        <v>27</v>
      </c>
      <c r="Y4" s="7" t="s">
        <v>27</v>
      </c>
      <c r="Z4" s="14" t="s">
        <v>27</v>
      </c>
      <c r="AA4" s="19">
        <f>SUM('Aircraft traffic control &amp; oper'!Q39:Q49)</f>
        <v>2.7982738536482046</v>
      </c>
      <c r="AB4" s="14" t="s">
        <v>27</v>
      </c>
      <c r="AC4" s="14" t="s">
        <v>27</v>
      </c>
      <c r="AD4" s="14" t="s">
        <v>27</v>
      </c>
      <c r="AE4" s="14" t="s">
        <v>27</v>
      </c>
      <c r="AF4" s="14" t="s">
        <v>27</v>
      </c>
      <c r="AG4" s="22">
        <f t="shared" ref="AG4:AG26" si="0">SUM(B4:AF4)</f>
        <v>113.25095485191855</v>
      </c>
    </row>
    <row r="5" spans="1:33" ht="14.25" customHeight="1" x14ac:dyDescent="0.2">
      <c r="A5" s="14" t="s">
        <v>28</v>
      </c>
      <c r="B5" s="19">
        <f>SUM('Ammunition &amp; explosives storage'!Q2:Q5)</f>
        <v>14.362910008410429</v>
      </c>
      <c r="C5" s="19">
        <f>SUM('Ammunition &amp; explosives storage'!Q6:Q7)</f>
        <v>75.441547518923471</v>
      </c>
      <c r="D5" s="14" t="s">
        <v>27</v>
      </c>
      <c r="E5" s="14" t="s">
        <v>27</v>
      </c>
      <c r="F5" s="14" t="s">
        <v>27</v>
      </c>
      <c r="G5" s="14" t="s">
        <v>27</v>
      </c>
      <c r="H5" s="14" t="s">
        <v>27</v>
      </c>
      <c r="I5" s="14" t="s">
        <v>27</v>
      </c>
      <c r="J5" s="19">
        <f>SUM('Ammunition &amp; explosives storage'!Q8:Q9)</f>
        <v>328.00672834314554</v>
      </c>
      <c r="K5" s="14" t="s">
        <v>27</v>
      </c>
      <c r="L5" s="14" t="s">
        <v>27</v>
      </c>
      <c r="M5" s="14" t="s">
        <v>27</v>
      </c>
      <c r="N5" s="19">
        <f>SUM('Ammunition &amp; explosives storage'!Q10:Q19)</f>
        <v>240.17830109335577</v>
      </c>
      <c r="O5" s="14" t="s">
        <v>27</v>
      </c>
      <c r="P5" s="14" t="s">
        <v>27</v>
      </c>
      <c r="Q5" s="14" t="s">
        <v>27</v>
      </c>
      <c r="R5" s="14" t="s">
        <v>27</v>
      </c>
      <c r="S5" s="14" t="s">
        <v>27</v>
      </c>
      <c r="T5" s="14" t="s">
        <v>27</v>
      </c>
      <c r="U5" s="14" t="s">
        <v>27</v>
      </c>
      <c r="V5" s="14" t="s">
        <v>27</v>
      </c>
      <c r="W5" s="14" t="s">
        <v>27</v>
      </c>
      <c r="X5" s="14" t="s">
        <v>27</v>
      </c>
      <c r="Y5" s="14" t="s">
        <v>27</v>
      </c>
      <c r="Z5" s="14" t="s">
        <v>27</v>
      </c>
      <c r="AA5" s="14" t="s">
        <v>27</v>
      </c>
      <c r="AB5" s="14" t="s">
        <v>27</v>
      </c>
      <c r="AC5" s="14" t="s">
        <v>27</v>
      </c>
      <c r="AD5" s="14" t="s">
        <v>27</v>
      </c>
      <c r="AE5" s="14" t="s">
        <v>27</v>
      </c>
      <c r="AF5" s="14" t="s">
        <v>27</v>
      </c>
      <c r="AG5" s="22">
        <f t="shared" si="0"/>
        <v>657.98948696383525</v>
      </c>
    </row>
    <row r="6" spans="1:33" ht="14.25" customHeight="1" x14ac:dyDescent="0.2">
      <c r="A6" s="14" t="s">
        <v>29</v>
      </c>
      <c r="B6" s="19">
        <f>SUM('Aircraft maintenance hangar'!Q2:Q4)</f>
        <v>2.8436297982573198</v>
      </c>
      <c r="C6" s="19">
        <f>SUM('Aircraft maintenance hangar'!Q5:Q6)</f>
        <v>96.243382089994853</v>
      </c>
      <c r="D6" s="14" t="s">
        <v>27</v>
      </c>
      <c r="E6" s="14" t="s">
        <v>27</v>
      </c>
      <c r="F6" s="19">
        <f>SUM('Aircraft maintenance hangar'!Q7:Q21)</f>
        <v>9.6805540291842203</v>
      </c>
      <c r="G6" s="14" t="s">
        <v>27</v>
      </c>
      <c r="H6" s="19">
        <f>SUM('Aircraft maintenance hangar'!Q22:Q35)</f>
        <v>6.5916703735684816</v>
      </c>
      <c r="I6" s="19">
        <f>SUM('Aircraft maintenance hangar'!Q36:Q39)</f>
        <v>1.8129139737115245</v>
      </c>
      <c r="J6" s="14" t="s">
        <v>27</v>
      </c>
      <c r="K6" s="14" t="s">
        <v>27</v>
      </c>
      <c r="L6" s="14" t="s">
        <v>27</v>
      </c>
      <c r="M6" s="21">
        <f>SUM('Aircraft maintenance hangar'!Q45:Q46)</f>
        <v>13.331763351388126</v>
      </c>
      <c r="N6" s="19">
        <f>SUM('Aircraft maintenance hangar'!Q40:Q44)</f>
        <v>3.7122659200530306</v>
      </c>
      <c r="O6" s="19">
        <f>SUM('Aircraft maintenance hangar'!Q47:Q50)</f>
        <v>2.3549729178114451</v>
      </c>
      <c r="P6" s="14" t="s">
        <v>27</v>
      </c>
      <c r="Q6" s="14" t="s">
        <v>27</v>
      </c>
      <c r="R6" s="14" t="s">
        <v>27</v>
      </c>
      <c r="S6" s="14" t="s">
        <v>27</v>
      </c>
      <c r="T6" s="14" t="s">
        <v>27</v>
      </c>
      <c r="U6" s="14" t="s">
        <v>27</v>
      </c>
      <c r="V6" s="19">
        <f>SUM('Aircraft maintenance hangar'!Q62:Q70)</f>
        <v>8.458853389852683E-2</v>
      </c>
      <c r="W6" s="19">
        <f>SUM('Aircraft maintenance hangar'!Q55:Q61)</f>
        <v>1.2725226993222911E-2</v>
      </c>
      <c r="X6" s="14" t="s">
        <v>27</v>
      </c>
      <c r="Y6" s="14" t="s">
        <v>27</v>
      </c>
      <c r="Z6" s="14" t="s">
        <v>27</v>
      </c>
      <c r="AA6" s="19">
        <f>SUM('Aircraft maintenance hangar'!Q81:Q91)</f>
        <v>7.7687939922024232E-2</v>
      </c>
      <c r="AB6" s="19">
        <f>SUM('Aircraft maintenance hangar'!Q71:Q80)</f>
        <v>2.6726762086680447</v>
      </c>
      <c r="AC6" s="14" t="s">
        <v>27</v>
      </c>
      <c r="AD6" s="14" t="s">
        <v>27</v>
      </c>
      <c r="AE6" s="14" t="s">
        <v>27</v>
      </c>
      <c r="AF6" s="14" t="s">
        <v>27</v>
      </c>
      <c r="AG6" s="22">
        <f t="shared" si="0"/>
        <v>139.41883036345081</v>
      </c>
    </row>
    <row r="7" spans="1:33" ht="14.25" customHeight="1" x14ac:dyDescent="0.2">
      <c r="A7" s="14" t="s">
        <v>30</v>
      </c>
      <c r="B7" s="19">
        <f>SUM(Communications!Q2:Q5)</f>
        <v>21.194539249146757</v>
      </c>
      <c r="C7" s="19">
        <f>SUM(Communications!Q6:Q8)</f>
        <v>73.208191126279857</v>
      </c>
      <c r="D7" s="14" t="s">
        <v>27</v>
      </c>
      <c r="E7" s="14" t="s">
        <v>27</v>
      </c>
      <c r="F7" s="14" t="s">
        <v>27</v>
      </c>
      <c r="G7" s="14" t="s">
        <v>27</v>
      </c>
      <c r="H7" s="19">
        <f>SUM(Communications!Q9:Q20)</f>
        <v>5.7184709897610917</v>
      </c>
      <c r="I7" s="14" t="s">
        <v>27</v>
      </c>
      <c r="J7" s="14" t="s">
        <v>27</v>
      </c>
      <c r="K7" s="14" t="s">
        <v>27</v>
      </c>
      <c r="L7" s="14" t="s">
        <v>27</v>
      </c>
      <c r="M7" s="25">
        <f>SUM(Communications!Q21:Q23)</f>
        <v>130.41808873720137</v>
      </c>
      <c r="N7" s="14" t="s">
        <v>27</v>
      </c>
      <c r="O7" s="14" t="s">
        <v>27</v>
      </c>
      <c r="P7" s="14" t="s">
        <v>27</v>
      </c>
      <c r="Q7" s="14" t="s">
        <v>27</v>
      </c>
      <c r="R7" s="14" t="s">
        <v>27</v>
      </c>
      <c r="S7" s="14" t="s">
        <v>27</v>
      </c>
      <c r="T7" s="14" t="s">
        <v>27</v>
      </c>
      <c r="U7" s="14" t="s">
        <v>27</v>
      </c>
      <c r="V7" s="14" t="s">
        <v>27</v>
      </c>
      <c r="W7" s="19">
        <f>SUM(Communications!Q24:Q31)</f>
        <v>0.52823663253697384</v>
      </c>
      <c r="X7" s="14" t="s">
        <v>27</v>
      </c>
      <c r="Y7" s="14" t="s">
        <v>27</v>
      </c>
      <c r="Z7" s="14" t="s">
        <v>27</v>
      </c>
      <c r="AA7" s="14" t="s">
        <v>27</v>
      </c>
      <c r="AB7" s="14" t="s">
        <v>27</v>
      </c>
      <c r="AC7" s="19">
        <f>SUM(Communications!Q33:Q43)</f>
        <v>12.474175199089874</v>
      </c>
      <c r="AD7" s="14" t="s">
        <v>27</v>
      </c>
      <c r="AE7" s="14" t="s">
        <v>27</v>
      </c>
      <c r="AF7" s="14" t="s">
        <v>27</v>
      </c>
      <c r="AG7" s="22">
        <f t="shared" si="0"/>
        <v>243.54170193401595</v>
      </c>
    </row>
    <row r="8" spans="1:33" ht="14.25" customHeight="1" x14ac:dyDescent="0.2">
      <c r="A8" s="14" t="s">
        <v>31</v>
      </c>
      <c r="B8" s="14" t="s">
        <v>27</v>
      </c>
      <c r="C8" s="19">
        <f>SUM('Family housing'!Q2:Q3)</f>
        <v>64.002192982456137</v>
      </c>
      <c r="D8" s="14" t="s">
        <v>27</v>
      </c>
      <c r="E8" s="14" t="s">
        <v>27</v>
      </c>
      <c r="F8" s="14" t="s">
        <v>27</v>
      </c>
      <c r="G8" s="14" t="s">
        <v>27</v>
      </c>
      <c r="H8" s="14" t="s">
        <v>27</v>
      </c>
      <c r="I8" s="14" t="s">
        <v>27</v>
      </c>
      <c r="J8" s="14" t="s">
        <v>27</v>
      </c>
      <c r="K8" s="26">
        <f>SUM('Family housing'!Q4:Q12)</f>
        <v>10.589453399122805</v>
      </c>
      <c r="L8" s="14" t="s">
        <v>27</v>
      </c>
      <c r="M8" s="14" t="s">
        <v>27</v>
      </c>
      <c r="N8" s="14" t="s">
        <v>27</v>
      </c>
      <c r="O8" s="14" t="s">
        <v>27</v>
      </c>
      <c r="P8" s="19">
        <f>SUM('Family housing'!Q13:Q18)</f>
        <v>17.132894736842104</v>
      </c>
      <c r="Q8" s="14" t="s">
        <v>27</v>
      </c>
      <c r="R8" s="14" t="s">
        <v>27</v>
      </c>
      <c r="S8" s="14" t="s">
        <v>27</v>
      </c>
      <c r="T8" s="14" t="s">
        <v>27</v>
      </c>
      <c r="U8" s="14" t="s">
        <v>27</v>
      </c>
      <c r="V8" s="19">
        <f>SUM('Family housing'!Q19:Q28)</f>
        <v>0.21285270467836259</v>
      </c>
      <c r="W8" s="14" t="s">
        <v>27</v>
      </c>
      <c r="X8" s="14" t="s">
        <v>27</v>
      </c>
      <c r="Y8" s="14" t="s">
        <v>27</v>
      </c>
      <c r="Z8" s="14" t="s">
        <v>27</v>
      </c>
      <c r="AA8" s="14" t="s">
        <v>27</v>
      </c>
      <c r="AB8" s="14" t="s">
        <v>27</v>
      </c>
      <c r="AC8" s="14" t="s">
        <v>27</v>
      </c>
      <c r="AD8" s="19">
        <f>SUM('Family housing'!Q29:Q35)</f>
        <v>1.9528874269005847</v>
      </c>
      <c r="AE8" s="14" t="s">
        <v>27</v>
      </c>
      <c r="AF8" s="14" t="s">
        <v>27</v>
      </c>
      <c r="AG8" s="22">
        <f t="shared" si="0"/>
        <v>93.890281250000001</v>
      </c>
    </row>
    <row r="9" spans="1:33" ht="14.25" customHeight="1" x14ac:dyDescent="0.2">
      <c r="A9" s="14" t="s">
        <v>32</v>
      </c>
      <c r="B9" s="19">
        <f>SUM('Family service center'!Q2:Q4)</f>
        <v>5.019318077593323</v>
      </c>
      <c r="C9" s="19">
        <f>SUM('Family service center'!Q5:Q6)</f>
        <v>81.555535173805382</v>
      </c>
      <c r="D9" s="14" t="s">
        <v>27</v>
      </c>
      <c r="E9" s="14" t="s">
        <v>27</v>
      </c>
      <c r="F9" s="14" t="s">
        <v>27</v>
      </c>
      <c r="G9" s="14" t="s">
        <v>27</v>
      </c>
      <c r="H9" s="14" t="s">
        <v>27</v>
      </c>
      <c r="I9" s="14" t="s">
        <v>27</v>
      </c>
      <c r="J9" s="14" t="s">
        <v>27</v>
      </c>
      <c r="K9" s="19">
        <f>SUM('Family service center'!Q7:Q35)</f>
        <v>5.3610301293222049</v>
      </c>
      <c r="L9" s="14" t="s">
        <v>27</v>
      </c>
      <c r="M9" s="14" t="s">
        <v>27</v>
      </c>
      <c r="N9" s="14" t="s">
        <v>27</v>
      </c>
      <c r="O9" s="14" t="s">
        <v>27</v>
      </c>
      <c r="P9" s="21">
        <f>SUM('Family service center'!Q36:Q41)</f>
        <v>5.3861322571769241</v>
      </c>
      <c r="Q9" s="14" t="s">
        <v>27</v>
      </c>
      <c r="R9" s="14" t="s">
        <v>27</v>
      </c>
      <c r="S9" s="14" t="s">
        <v>27</v>
      </c>
      <c r="T9" s="14" t="s">
        <v>27</v>
      </c>
      <c r="U9" s="14" t="s">
        <v>27</v>
      </c>
      <c r="V9" s="19">
        <f>SUM('Family service center'!Q44:Q53)</f>
        <v>0.38152343391727045</v>
      </c>
      <c r="W9" s="14" t="s">
        <v>27</v>
      </c>
      <c r="X9" s="19">
        <f>SUM('Family service center'!Q54:Q59)</f>
        <v>0.16467307672709852</v>
      </c>
      <c r="Y9" s="14" t="s">
        <v>27</v>
      </c>
      <c r="Z9" s="14" t="s">
        <v>27</v>
      </c>
      <c r="AA9" s="19">
        <f>SUM('Family service center'!Q71:Q82)</f>
        <v>1.1893593073153788</v>
      </c>
      <c r="AB9" s="14" t="s">
        <v>27</v>
      </c>
      <c r="AC9" s="19">
        <f>SUM('Family service center'!Q60:Q70)</f>
        <v>5.5528294964688616</v>
      </c>
      <c r="AD9" s="14" t="s">
        <v>27</v>
      </c>
      <c r="AE9" s="14" t="s">
        <v>27</v>
      </c>
      <c r="AF9" s="14" t="s">
        <v>27</v>
      </c>
      <c r="AG9" s="22">
        <f t="shared" si="0"/>
        <v>104.61040095232644</v>
      </c>
    </row>
    <row r="10" spans="1:33" ht="14.25" customHeight="1" x14ac:dyDescent="0.2">
      <c r="A10" s="14" t="s">
        <v>33</v>
      </c>
      <c r="B10" s="19">
        <f>SUM('Industrial utilities'!Q2:Q4)</f>
        <v>31.05</v>
      </c>
      <c r="C10" s="19">
        <f>SUM('Industrial utilities'!Q5:Q6)</f>
        <v>78</v>
      </c>
      <c r="D10" s="14" t="s">
        <v>27</v>
      </c>
      <c r="E10" s="14" t="s">
        <v>27</v>
      </c>
      <c r="F10" s="14" t="s">
        <v>27</v>
      </c>
      <c r="G10" s="14" t="s">
        <v>27</v>
      </c>
      <c r="H10" s="14" t="s">
        <v>27</v>
      </c>
      <c r="I10" s="14" t="s">
        <v>27</v>
      </c>
      <c r="J10" s="14" t="s">
        <v>27</v>
      </c>
      <c r="K10" s="19">
        <f>SUM('Industrial utilities'!Q7:Q20)</f>
        <v>5.5827999999999998</v>
      </c>
      <c r="L10" s="14" t="s">
        <v>27</v>
      </c>
      <c r="M10" s="14" t="s">
        <v>27</v>
      </c>
      <c r="N10" s="14" t="s">
        <v>27</v>
      </c>
      <c r="O10" s="14" t="s">
        <v>27</v>
      </c>
      <c r="P10" s="14" t="s">
        <v>27</v>
      </c>
      <c r="Q10" s="21">
        <f>SUM('Industrial utilities'!Q21:Q27)</f>
        <v>0.89108333333333323</v>
      </c>
      <c r="R10" s="14" t="s">
        <v>27</v>
      </c>
      <c r="S10" s="14" t="s">
        <v>27</v>
      </c>
      <c r="T10" s="14" t="s">
        <v>27</v>
      </c>
      <c r="U10" s="14" t="s">
        <v>27</v>
      </c>
      <c r="V10" s="14" t="s">
        <v>27</v>
      </c>
      <c r="W10" s="14" t="s">
        <v>27</v>
      </c>
      <c r="X10" s="14" t="s">
        <v>27</v>
      </c>
      <c r="Y10" s="14" t="s">
        <v>27</v>
      </c>
      <c r="Z10" s="14" t="s">
        <v>27</v>
      </c>
      <c r="AA10" s="14" t="s">
        <v>27</v>
      </c>
      <c r="AB10" s="14" t="s">
        <v>27</v>
      </c>
      <c r="AC10" s="19">
        <f>SUM('Industrial utilities'!Q29:Q39)</f>
        <v>9.9250000000000007</v>
      </c>
      <c r="AD10" s="14" t="s">
        <v>27</v>
      </c>
      <c r="AE10" s="14" t="s">
        <v>27</v>
      </c>
      <c r="AF10" s="14" t="s">
        <v>27</v>
      </c>
      <c r="AG10" s="22">
        <f t="shared" si="0"/>
        <v>125.44888333333333</v>
      </c>
    </row>
    <row r="11" spans="1:33" ht="14.25" customHeight="1" x14ac:dyDescent="0.2">
      <c r="A11" s="14" t="s">
        <v>34</v>
      </c>
      <c r="B11" s="19">
        <f>SUM(Lodging!Q2:Q4)</f>
        <v>4.2441347489007173</v>
      </c>
      <c r="C11" s="19">
        <f>SUM(Lodging!Q5:Q6)</f>
        <v>45.128442490164311</v>
      </c>
      <c r="D11" s="14" t="s">
        <v>27</v>
      </c>
      <c r="E11" s="19">
        <f>SUM(Lodging!Q7:Q17)</f>
        <v>3.4349487387178894</v>
      </c>
      <c r="F11" s="14" t="s">
        <v>27</v>
      </c>
      <c r="G11" s="14" t="s">
        <v>27</v>
      </c>
      <c r="H11" s="14" t="s">
        <v>27</v>
      </c>
      <c r="I11" s="14" t="s">
        <v>27</v>
      </c>
      <c r="J11" s="14" t="s">
        <v>27</v>
      </c>
      <c r="K11" s="19">
        <f>SUM(Lodging!Q18:Q27)</f>
        <v>4.9352920620226808</v>
      </c>
      <c r="L11" s="14" t="s">
        <v>27</v>
      </c>
      <c r="M11" s="14" t="s">
        <v>27</v>
      </c>
      <c r="N11" s="14" t="s">
        <v>27</v>
      </c>
      <c r="O11" s="14" t="s">
        <v>27</v>
      </c>
      <c r="P11" s="19">
        <f>SUM(Lodging!Q28:Q33)</f>
        <v>12.986577181208053</v>
      </c>
      <c r="Q11" s="14" t="s">
        <v>27</v>
      </c>
      <c r="R11" s="14" t="s">
        <v>27</v>
      </c>
      <c r="S11" s="14" t="s">
        <v>27</v>
      </c>
      <c r="T11" s="14" t="s">
        <v>27</v>
      </c>
      <c r="U11" s="14" t="s">
        <v>27</v>
      </c>
      <c r="V11" s="19">
        <f>SUM(Lodging!Q34:Q43)</f>
        <v>0.44008331404767415</v>
      </c>
      <c r="W11" s="14" t="s">
        <v>27</v>
      </c>
      <c r="X11" s="14" t="s">
        <v>27</v>
      </c>
      <c r="Y11" s="14" t="s">
        <v>27</v>
      </c>
      <c r="Z11" s="14" t="s">
        <v>27</v>
      </c>
      <c r="AA11" s="14" t="s">
        <v>27</v>
      </c>
      <c r="AB11" s="14" t="s">
        <v>27</v>
      </c>
      <c r="AC11" s="14" t="s">
        <v>27</v>
      </c>
      <c r="AD11" s="14" t="s">
        <v>27</v>
      </c>
      <c r="AE11" s="19">
        <f>SUM(Lodging!Q46:Q54)</f>
        <v>10.171025225642213</v>
      </c>
      <c r="AF11" s="14" t="s">
        <v>27</v>
      </c>
      <c r="AG11" s="22">
        <f t="shared" si="0"/>
        <v>81.340503760703541</v>
      </c>
    </row>
    <row r="12" spans="1:33" ht="14.25" customHeight="1" x14ac:dyDescent="0.2">
      <c r="A12" s="14" t="s">
        <v>35</v>
      </c>
      <c r="B12" s="19">
        <f>SUM('Maintenance shop'!Q2:Q4)</f>
        <v>7.3591116573033704</v>
      </c>
      <c r="C12" s="19">
        <f>SUM('Maintenance shop'!Q5:Q6)</f>
        <v>76.716693418940608</v>
      </c>
      <c r="D12" s="14" t="s">
        <v>27</v>
      </c>
      <c r="E12" s="14" t="s">
        <v>27</v>
      </c>
      <c r="F12" s="14" t="s">
        <v>27</v>
      </c>
      <c r="G12" s="14" t="s">
        <v>27</v>
      </c>
      <c r="H12" s="19">
        <f>SUM('Maintenance shop'!Q7:Q19)</f>
        <v>7.4968900481540937</v>
      </c>
      <c r="I12" s="14" t="s">
        <v>27</v>
      </c>
      <c r="J12" s="14" t="s">
        <v>27</v>
      </c>
      <c r="K12" s="14" t="s">
        <v>27</v>
      </c>
      <c r="L12" s="14" t="s">
        <v>27</v>
      </c>
      <c r="M12" s="21">
        <f>SUM('Maintenance shop'!Q25:Q26)</f>
        <v>19.423154093097914</v>
      </c>
      <c r="N12" s="19">
        <f>SUM('Maintenance shop'!Q20:Q24)</f>
        <v>15.77974518459069</v>
      </c>
      <c r="O12" s="21">
        <f>SUM('Maintenance shop'!Q27:Q30)</f>
        <v>2.8877407704654892</v>
      </c>
      <c r="P12" s="14" t="s">
        <v>27</v>
      </c>
      <c r="Q12" s="14" t="s">
        <v>27</v>
      </c>
      <c r="R12" s="19">
        <f>SUM('Maintenance shop'!Q31:Q34)</f>
        <v>5.796548956661316</v>
      </c>
      <c r="S12" s="14" t="s">
        <v>27</v>
      </c>
      <c r="T12" s="14" t="s">
        <v>27</v>
      </c>
      <c r="U12" s="14" t="s">
        <v>27</v>
      </c>
      <c r="V12" s="14" t="s">
        <v>27</v>
      </c>
      <c r="W12" s="19">
        <f>SUM('Maintenance shop'!Q39:Q46)</f>
        <v>0.16210205992509363</v>
      </c>
      <c r="X12" s="14" t="s">
        <v>27</v>
      </c>
      <c r="Y12" s="14" t="s">
        <v>27</v>
      </c>
      <c r="Z12" s="14" t="s">
        <v>27</v>
      </c>
      <c r="AA12" s="19">
        <f>SUM('Maintenance shop'!Q47:Q57)</f>
        <v>3.4253109951845908</v>
      </c>
      <c r="AB12" s="14" t="s">
        <v>27</v>
      </c>
      <c r="AC12" s="14" t="s">
        <v>27</v>
      </c>
      <c r="AD12" s="14" t="s">
        <v>27</v>
      </c>
      <c r="AE12" s="14" t="s">
        <v>27</v>
      </c>
      <c r="AF12" s="19">
        <f>SUM('Maintenance shop'!Q58:Q60)</f>
        <v>0.2879213483146067</v>
      </c>
      <c r="AG12" s="22">
        <f t="shared" si="0"/>
        <v>139.33521853263778</v>
      </c>
    </row>
    <row r="13" spans="1:33" ht="14.25" customHeight="1" x14ac:dyDescent="0.2">
      <c r="A13" s="14" t="s">
        <v>36</v>
      </c>
      <c r="B13" s="19">
        <f>SUM(Office!Q2:Q4)</f>
        <v>1.8645730216036802</v>
      </c>
      <c r="C13" s="19">
        <f>SUM(Office!Q5:Q6)</f>
        <v>46.555639666918999</v>
      </c>
      <c r="D13" s="14" t="s">
        <v>27</v>
      </c>
      <c r="E13" s="14" t="s">
        <v>27</v>
      </c>
      <c r="F13" s="14" t="s">
        <v>27</v>
      </c>
      <c r="G13" s="19">
        <f>SUM(Office!Q7:Q12)</f>
        <v>59.020270555523204</v>
      </c>
      <c r="H13" s="26">
        <f>SUM(Office!Q13:Q22)</f>
        <v>3.9952250625982648</v>
      </c>
      <c r="I13" s="14" t="s">
        <v>27</v>
      </c>
      <c r="J13" s="14" t="s">
        <v>27</v>
      </c>
      <c r="K13" s="14" t="s">
        <v>27</v>
      </c>
      <c r="L13" s="14" t="s">
        <v>27</v>
      </c>
      <c r="M13" s="14" t="s">
        <v>27</v>
      </c>
      <c r="N13" s="14" t="s">
        <v>27</v>
      </c>
      <c r="O13" s="14" t="s">
        <v>27</v>
      </c>
      <c r="P13" s="19">
        <f>SUM(Office!Q23:Q28)</f>
        <v>7.2191812729284344</v>
      </c>
      <c r="Q13" s="14" t="s">
        <v>27</v>
      </c>
      <c r="R13" s="14" t="s">
        <v>27</v>
      </c>
      <c r="S13" s="14" t="s">
        <v>27</v>
      </c>
      <c r="T13" s="14" t="s">
        <v>27</v>
      </c>
      <c r="U13" s="14" t="s">
        <v>27</v>
      </c>
      <c r="V13" s="19">
        <f>SUM(Office!Q29:Q38)</f>
        <v>0.21477386983443</v>
      </c>
      <c r="W13" s="14" t="s">
        <v>27</v>
      </c>
      <c r="X13" s="19">
        <f>SUM(Office!Q39:Q43)</f>
        <v>6.2353613877080945E-2</v>
      </c>
      <c r="Y13" s="14" t="s">
        <v>27</v>
      </c>
      <c r="Z13" s="14" t="s">
        <v>27</v>
      </c>
      <c r="AA13" s="19">
        <f>SUM(Office!Q59:Q70)</f>
        <v>1.8153205613462995</v>
      </c>
      <c r="AB13" s="14" t="s">
        <v>27</v>
      </c>
      <c r="AC13" s="21">
        <f>SUM(Office!Q46:Q58)</f>
        <v>0.63573633028591403</v>
      </c>
      <c r="AD13" s="14" t="s">
        <v>27</v>
      </c>
      <c r="AE13" s="14" t="s">
        <v>27</v>
      </c>
      <c r="AF13" s="14" t="s">
        <v>27</v>
      </c>
      <c r="AG13" s="22">
        <f t="shared" si="0"/>
        <v>121.3830739549163</v>
      </c>
    </row>
    <row r="14" spans="1:33" ht="14.25" customHeight="1" x14ac:dyDescent="0.2">
      <c r="A14" s="14" t="s">
        <v>37</v>
      </c>
      <c r="B14" s="19">
        <f>SUM('RDT&amp;E'!Q2:Q5)</f>
        <v>15.769488188976377</v>
      </c>
      <c r="C14" s="19">
        <f>SUM('RDT&amp;E'!Q6:Q8)</f>
        <v>80.456692913385837</v>
      </c>
      <c r="D14" s="14" t="s">
        <v>27</v>
      </c>
      <c r="E14" s="14" t="s">
        <v>27</v>
      </c>
      <c r="F14" s="14" t="s">
        <v>27</v>
      </c>
      <c r="G14" s="14" t="s">
        <v>27</v>
      </c>
      <c r="H14" s="26">
        <f>SUM('RDT&amp;E'!Q9:Q21)</f>
        <v>7.6929921259842518</v>
      </c>
      <c r="I14" s="14" t="s">
        <v>27</v>
      </c>
      <c r="J14" s="14" t="s">
        <v>27</v>
      </c>
      <c r="K14" s="14" t="s">
        <v>27</v>
      </c>
      <c r="L14" s="14" t="s">
        <v>27</v>
      </c>
      <c r="M14" s="25">
        <f>SUM('RDT&amp;E'!Q22:Q24)</f>
        <v>37.376968503937007</v>
      </c>
      <c r="N14" s="14" t="s">
        <v>27</v>
      </c>
      <c r="O14" s="21">
        <f>SUM('RDT&amp;E'!Q30:Q34)</f>
        <v>8.3503937007874001</v>
      </c>
      <c r="P14" s="14" t="s">
        <v>27</v>
      </c>
      <c r="Q14" s="14" t="s">
        <v>27</v>
      </c>
      <c r="R14" s="14" t="s">
        <v>27</v>
      </c>
      <c r="S14" s="19">
        <f>SUM('RDT&amp;E'!Q25:Q29)</f>
        <v>42.13511811023622</v>
      </c>
      <c r="T14" s="14" t="s">
        <v>27</v>
      </c>
      <c r="U14" s="14" t="s">
        <v>27</v>
      </c>
      <c r="V14" s="19">
        <f>SUM('RDT&amp;E'!Q35:Q44)</f>
        <v>7.4866141732283467E-2</v>
      </c>
      <c r="W14" s="14" t="s">
        <v>27</v>
      </c>
      <c r="X14" s="14" t="s">
        <v>27</v>
      </c>
      <c r="Y14" s="14" t="s">
        <v>27</v>
      </c>
      <c r="Z14" s="14" t="s">
        <v>27</v>
      </c>
      <c r="AA14" s="14" t="s">
        <v>27</v>
      </c>
      <c r="AB14" s="14" t="s">
        <v>27</v>
      </c>
      <c r="AC14" s="19">
        <f>SUM('RDT&amp;E'!Q45:Q55)</f>
        <v>10.940944881889765</v>
      </c>
      <c r="AD14" s="14" t="s">
        <v>27</v>
      </c>
      <c r="AE14" s="14" t="s">
        <v>27</v>
      </c>
      <c r="AF14" s="14" t="s">
        <v>27</v>
      </c>
      <c r="AG14" s="22">
        <f t="shared" si="0"/>
        <v>202.79746456692916</v>
      </c>
    </row>
    <row r="15" spans="1:33" ht="14.25" customHeight="1" x14ac:dyDescent="0.2">
      <c r="A15" s="14" t="s">
        <v>38</v>
      </c>
      <c r="B15" s="19">
        <f>SUM('Recreation &amp; culture'!Q2:Q4)</f>
        <v>5.2214125560538109</v>
      </c>
      <c r="C15" s="19">
        <f>SUM('Recreation &amp; culture'!Q5:Q6)</f>
        <v>68.08968609865471</v>
      </c>
      <c r="D15" s="14" t="s">
        <v>27</v>
      </c>
      <c r="E15" s="14" t="s">
        <v>27</v>
      </c>
      <c r="F15" s="14" t="s">
        <v>27</v>
      </c>
      <c r="G15" s="14" t="s">
        <v>27</v>
      </c>
      <c r="H15" s="19">
        <f>SUM('Recreation &amp; culture'!Q19:Q28)</f>
        <v>9.0169925261584449</v>
      </c>
      <c r="I15" s="14" t="s">
        <v>27</v>
      </c>
      <c r="J15" s="14" t="s">
        <v>27</v>
      </c>
      <c r="K15" s="19">
        <f>SUM('Recreation &amp; culture'!Q7:Q18)</f>
        <v>1.9043713004484304</v>
      </c>
      <c r="L15" s="14" t="s">
        <v>27</v>
      </c>
      <c r="M15" s="14" t="s">
        <v>27</v>
      </c>
      <c r="N15" s="14" t="s">
        <v>27</v>
      </c>
      <c r="O15" s="14" t="s">
        <v>27</v>
      </c>
      <c r="P15" s="21">
        <f>SUM('Recreation &amp; culture'!Q29:Q34)</f>
        <v>11.782062780269058</v>
      </c>
      <c r="Q15" s="14" t="s">
        <v>27</v>
      </c>
      <c r="R15" s="14" t="s">
        <v>27</v>
      </c>
      <c r="S15" s="14" t="s">
        <v>27</v>
      </c>
      <c r="T15" s="14" t="s">
        <v>27</v>
      </c>
      <c r="U15" s="14" t="s">
        <v>27</v>
      </c>
      <c r="V15" s="19">
        <f>SUM('Recreation &amp; culture'!Q38:Q47)</f>
        <v>0.22502740408570002</v>
      </c>
      <c r="W15" s="14" t="s">
        <v>27</v>
      </c>
      <c r="X15" s="19">
        <f>SUM('Recreation &amp; culture'!Q58:Q63)</f>
        <v>3.3314200298953663E-2</v>
      </c>
      <c r="Y15" s="14" t="s">
        <v>27</v>
      </c>
      <c r="Z15" s="19">
        <f>SUM('Recreation &amp; culture'!Q48:Q57)</f>
        <v>3.526390383657199</v>
      </c>
      <c r="AA15" s="14" t="s">
        <v>27</v>
      </c>
      <c r="AB15" s="14" t="s">
        <v>27</v>
      </c>
      <c r="AC15" s="19">
        <f>SUM('Recreation &amp; culture'!Q64:Q74)</f>
        <v>5.4594917787742894</v>
      </c>
      <c r="AD15" s="14" t="s">
        <v>27</v>
      </c>
      <c r="AE15" s="19">
        <f>SUM('Recreation &amp; culture'!Q75:Q83)</f>
        <v>10.03709450871907</v>
      </c>
      <c r="AF15" s="14" t="s">
        <v>27</v>
      </c>
      <c r="AG15" s="22">
        <f t="shared" si="0"/>
        <v>115.29584353711967</v>
      </c>
    </row>
    <row r="16" spans="1:33" ht="14.25" customHeight="1" x14ac:dyDescent="0.2">
      <c r="A16" s="14" t="s">
        <v>39</v>
      </c>
      <c r="B16" s="19">
        <f>SUM('Store (retail &amp; grocery)'!Q2:Q4)</f>
        <v>2.1712866773498369</v>
      </c>
      <c r="C16" s="19">
        <f>SUM('Store (retail &amp; grocery)'!Q5:Q6)</f>
        <v>66.239443001602481</v>
      </c>
      <c r="D16" s="14" t="s">
        <v>27</v>
      </c>
      <c r="E16" s="14" t="s">
        <v>27</v>
      </c>
      <c r="F16" s="14" t="s">
        <v>27</v>
      </c>
      <c r="G16" s="14" t="s">
        <v>27</v>
      </c>
      <c r="H16" s="19">
        <f>SUM('Store (retail &amp; grocery)'!Q14:Q25)</f>
        <v>7.2595457810686845</v>
      </c>
      <c r="I16" s="14" t="s">
        <v>27</v>
      </c>
      <c r="J16" s="14" t="s">
        <v>27</v>
      </c>
      <c r="K16" s="14" t="s">
        <v>27</v>
      </c>
      <c r="L16" s="19">
        <f>SUM('Store (retail &amp; grocery)'!Q7:Q13)</f>
        <v>6.6639079528221377</v>
      </c>
      <c r="M16" s="21">
        <f>SUM('Store (retail &amp; grocery)'!Q37:Q38)</f>
        <v>3.3784605183179535</v>
      </c>
      <c r="N16" s="19">
        <f>SUM('Store (retail &amp; grocery)'!Q26:Q30)</f>
        <v>3.5789081063159642</v>
      </c>
      <c r="O16" s="21">
        <f>SUM('Store (retail &amp; grocery)'!Q39:Q42)</f>
        <v>8.3715532961264286E-2</v>
      </c>
      <c r="P16" s="21">
        <f>SUM('Store (retail &amp; grocery)'!Q31:Q36)</f>
        <v>1.5864507929491076</v>
      </c>
      <c r="Q16" s="14" t="s">
        <v>27</v>
      </c>
      <c r="R16" s="14" t="s">
        <v>27</v>
      </c>
      <c r="S16" s="14" t="s">
        <v>27</v>
      </c>
      <c r="T16" s="14" t="s">
        <v>27</v>
      </c>
      <c r="U16" s="14" t="s">
        <v>27</v>
      </c>
      <c r="V16" s="14" t="s">
        <v>27</v>
      </c>
      <c r="W16" s="14" t="s">
        <v>27</v>
      </c>
      <c r="X16" s="19">
        <f>SUM('Store (retail &amp; grocery)'!Q47:Q52)</f>
        <v>2.4031146967268976E-2</v>
      </c>
      <c r="Y16" s="19">
        <f>SUM('Store (retail &amp; grocery)'!Q53:Q60)</f>
        <v>0.13224774824556557</v>
      </c>
      <c r="Z16" s="14" t="s">
        <v>27</v>
      </c>
      <c r="AA16" s="19">
        <f>SUM('Store (retail &amp; grocery)'!Q61:Q71)</f>
        <v>2.6249654638890423</v>
      </c>
      <c r="AB16" s="14" t="s">
        <v>27</v>
      </c>
      <c r="AC16" s="14" t="s">
        <v>27</v>
      </c>
      <c r="AD16" s="14" t="s">
        <v>27</v>
      </c>
      <c r="AE16" s="14" t="s">
        <v>27</v>
      </c>
      <c r="AF16" s="14" t="s">
        <v>27</v>
      </c>
      <c r="AG16" s="22">
        <f t="shared" si="0"/>
        <v>93.74296272248931</v>
      </c>
    </row>
    <row r="17" spans="1:33" ht="14.25" customHeight="1" x14ac:dyDescent="0.2">
      <c r="A17" s="14" t="s">
        <v>40</v>
      </c>
      <c r="B17" s="14" t="s">
        <v>27</v>
      </c>
      <c r="C17" s="19">
        <f>SUM('Training &amp; academic instruction'!Q2:Q3)</f>
        <v>64.12298978456559</v>
      </c>
      <c r="D17" s="14" t="s">
        <v>27</v>
      </c>
      <c r="E17" s="14" t="s">
        <v>27</v>
      </c>
      <c r="F17" s="14" t="s">
        <v>27</v>
      </c>
      <c r="G17" s="14" t="s">
        <v>27</v>
      </c>
      <c r="H17" s="19">
        <f>SUM('Training &amp; academic instruction'!Q4:Q10)</f>
        <v>4.2507292404167085</v>
      </c>
      <c r="I17" s="14" t="s">
        <v>27</v>
      </c>
      <c r="J17" s="14" t="s">
        <v>27</v>
      </c>
      <c r="K17" s="14" t="s">
        <v>27</v>
      </c>
      <c r="L17" s="14" t="s">
        <v>27</v>
      </c>
      <c r="M17" s="25">
        <f>SUM('Training &amp; academic instruction'!Q11:Q13)</f>
        <v>72.145241225852132</v>
      </c>
      <c r="N17" s="14" t="s">
        <v>27</v>
      </c>
      <c r="O17" s="14" t="s">
        <v>27</v>
      </c>
      <c r="P17" s="14" t="s">
        <v>27</v>
      </c>
      <c r="Q17" s="14" t="s">
        <v>27</v>
      </c>
      <c r="R17" s="14" t="s">
        <v>27</v>
      </c>
      <c r="S17" s="14" t="s">
        <v>27</v>
      </c>
      <c r="T17" s="14" t="s">
        <v>27</v>
      </c>
      <c r="U17" s="14" t="s">
        <v>27</v>
      </c>
      <c r="V17" s="19">
        <f>SUM('Training &amp; academic instruction'!Q17:Q26)</f>
        <v>0.55095495768854708</v>
      </c>
      <c r="W17" s="14" t="s">
        <v>27</v>
      </c>
      <c r="X17" s="14" t="s">
        <v>27</v>
      </c>
      <c r="Y17" s="14" t="s">
        <v>27</v>
      </c>
      <c r="Z17" s="14" t="s">
        <v>27</v>
      </c>
      <c r="AA17" s="19">
        <f>SUM('Training &amp; academic instruction'!Q27:Q38)</f>
        <v>3.0885167391524222</v>
      </c>
      <c r="AB17" s="14" t="s">
        <v>27</v>
      </c>
      <c r="AC17" s="14" t="s">
        <v>27</v>
      </c>
      <c r="AD17" s="14" t="s">
        <v>27</v>
      </c>
      <c r="AE17" s="14" t="s">
        <v>27</v>
      </c>
      <c r="AF17" s="14" t="s">
        <v>27</v>
      </c>
      <c r="AG17" s="22">
        <f t="shared" si="0"/>
        <v>144.15843194767541</v>
      </c>
    </row>
    <row r="18" spans="1:33" ht="14.25" customHeight="1" x14ac:dyDescent="0.2">
      <c r="A18" s="14" t="s">
        <v>41</v>
      </c>
      <c r="B18" s="19">
        <f>SUM('Unaccompanied housing (barracks'!Q2:Q4)</f>
        <v>1.8216699521261617</v>
      </c>
      <c r="C18" s="19">
        <f>SUM('Unaccompanied housing (barracks'!Q5:Q6)</f>
        <v>40.677117556869739</v>
      </c>
      <c r="D18" s="14" t="s">
        <v>27</v>
      </c>
      <c r="E18" s="14" t="s">
        <v>27</v>
      </c>
      <c r="F18" s="14" t="s">
        <v>27</v>
      </c>
      <c r="G18" s="19">
        <f>SUM('Unaccompanied housing (barracks'!Q7:Q12)</f>
        <v>79.172877749616703</v>
      </c>
      <c r="H18" s="14" t="s">
        <v>27</v>
      </c>
      <c r="I18" s="14" t="s">
        <v>27</v>
      </c>
      <c r="J18" s="14" t="s">
        <v>27</v>
      </c>
      <c r="K18" s="14" t="s">
        <v>27</v>
      </c>
      <c r="L18" s="19">
        <f>SUM('Unaccompanied housing (barracks'!Q13:Q19)</f>
        <v>39.586438874808351</v>
      </c>
      <c r="M18" s="21">
        <f>SUM('Unaccompanied housing (barracks'!Q20:Q22)</f>
        <v>47.826903219750307</v>
      </c>
      <c r="N18" s="14" t="s">
        <v>27</v>
      </c>
      <c r="O18" s="14" t="s">
        <v>27</v>
      </c>
      <c r="P18" s="14" t="s">
        <v>27</v>
      </c>
      <c r="Q18" s="14" t="s">
        <v>27</v>
      </c>
      <c r="R18" s="14" t="s">
        <v>27</v>
      </c>
      <c r="S18" s="14" t="s">
        <v>27</v>
      </c>
      <c r="T18" s="14" t="s">
        <v>27</v>
      </c>
      <c r="U18" s="14" t="s">
        <v>27</v>
      </c>
      <c r="V18" s="19">
        <f>SUM('Unaccompanied housing (barracks'!Q25:Q35)</f>
        <v>0.23428611658687695</v>
      </c>
      <c r="W18" s="14" t="s">
        <v>27</v>
      </c>
      <c r="X18" s="14" t="s">
        <v>27</v>
      </c>
      <c r="Y18" s="14" t="s">
        <v>27</v>
      </c>
      <c r="Z18" s="14" t="s">
        <v>27</v>
      </c>
      <c r="AA18" s="14" t="s">
        <v>27</v>
      </c>
      <c r="AB18" s="14" t="s">
        <v>27</v>
      </c>
      <c r="AC18" s="19">
        <f>SUM('Unaccompanied housing (barracks'!Q36:Q46)</f>
        <v>3.881926843768579</v>
      </c>
      <c r="AD18" s="14" t="s">
        <v>27</v>
      </c>
      <c r="AE18" s="14" t="s">
        <v>27</v>
      </c>
      <c r="AF18" s="14" t="s">
        <v>27</v>
      </c>
      <c r="AG18" s="22">
        <f t="shared" si="0"/>
        <v>213.2012203135267</v>
      </c>
    </row>
    <row r="19" spans="1:33" ht="14.25" customHeight="1" x14ac:dyDescent="0.2">
      <c r="A19" s="14" t="s">
        <v>42</v>
      </c>
      <c r="B19" s="19">
        <f>SUM('Warehouse &amp; storage'!Q2:Q4)</f>
        <v>2.2563907713773173</v>
      </c>
      <c r="C19" s="19">
        <f>SUM('Warehouse &amp; storage'!Q5:Q6)</f>
        <v>132.25865391003921</v>
      </c>
      <c r="D19" s="14" t="s">
        <v>27</v>
      </c>
      <c r="E19" s="14" t="s">
        <v>27</v>
      </c>
      <c r="F19" s="14" t="s">
        <v>27</v>
      </c>
      <c r="G19" s="14" t="s">
        <v>27</v>
      </c>
      <c r="H19" s="26">
        <f>SUM('Warehouse &amp; storage'!Q7:Q18)</f>
        <v>5.3677911766660031</v>
      </c>
      <c r="I19" s="14" t="s">
        <v>27</v>
      </c>
      <c r="J19" s="14" t="s">
        <v>27</v>
      </c>
      <c r="K19" s="14" t="s">
        <v>27</v>
      </c>
      <c r="L19" s="14" t="s">
        <v>27</v>
      </c>
      <c r="M19" s="14" t="s">
        <v>27</v>
      </c>
      <c r="N19" s="14" t="s">
        <v>27</v>
      </c>
      <c r="O19" s="14" t="s">
        <v>27</v>
      </c>
      <c r="P19" s="14" t="s">
        <v>27</v>
      </c>
      <c r="Q19" s="14" t="s">
        <v>27</v>
      </c>
      <c r="R19" s="14" t="s">
        <v>27</v>
      </c>
      <c r="S19" s="19">
        <f>SUM('Warehouse &amp; storage'!Q19:Q23)</f>
        <v>51.166658361570654</v>
      </c>
      <c r="T19" s="14" t="s">
        <v>27</v>
      </c>
      <c r="U19" s="14" t="s">
        <v>27</v>
      </c>
      <c r="V19" s="14" t="s">
        <v>27</v>
      </c>
      <c r="W19" s="14" t="s">
        <v>27</v>
      </c>
      <c r="X19" s="14" t="s">
        <v>27</v>
      </c>
      <c r="Y19" s="14" t="s">
        <v>27</v>
      </c>
      <c r="Z19" s="14" t="s">
        <v>27</v>
      </c>
      <c r="AA19" s="14" t="s">
        <v>27</v>
      </c>
      <c r="AB19" s="19">
        <f>SUM('Warehouse &amp; storage'!Q31:Q40)</f>
        <v>3.0884575775695966</v>
      </c>
      <c r="AC19" s="14" t="s">
        <v>27</v>
      </c>
      <c r="AD19" s="14" t="s">
        <v>27</v>
      </c>
      <c r="AE19" s="14" t="s">
        <v>27</v>
      </c>
      <c r="AF19" s="14" t="s">
        <v>27</v>
      </c>
      <c r="AG19" s="22">
        <f t="shared" si="0"/>
        <v>194.13795179722277</v>
      </c>
    </row>
    <row r="20" spans="1:33" ht="14.25" customHeight="1" x14ac:dyDescent="0.2">
      <c r="A20" s="14" t="s">
        <v>43</v>
      </c>
      <c r="B20" s="19">
        <f>SUM('Public service'!Q2:Q4)</f>
        <v>7.2329905063291138</v>
      </c>
      <c r="C20" s="19">
        <f>SUM('Public service'!Q5:Q6)</f>
        <v>80.450070323488049</v>
      </c>
      <c r="D20" s="14" t="s">
        <v>27</v>
      </c>
      <c r="E20" s="14" t="s">
        <v>27</v>
      </c>
      <c r="F20" s="14" t="s">
        <v>27</v>
      </c>
      <c r="G20" s="14" t="s">
        <v>27</v>
      </c>
      <c r="H20" s="19">
        <f>SUM('Public service'!Q14:Q23)</f>
        <v>7.06460384435068</v>
      </c>
      <c r="I20" s="14" t="s">
        <v>27</v>
      </c>
      <c r="J20" s="14" t="s">
        <v>27</v>
      </c>
      <c r="K20" s="19">
        <f>SUM('Public service'!Q7:Q13)</f>
        <v>4.5815752461322088</v>
      </c>
      <c r="L20" s="14" t="s">
        <v>27</v>
      </c>
      <c r="M20" s="14" t="s">
        <v>27</v>
      </c>
      <c r="N20" s="14" t="s">
        <v>27</v>
      </c>
      <c r="O20" s="14" t="s">
        <v>27</v>
      </c>
      <c r="P20" s="21">
        <f>SUM('Public service'!Q24:Q29)</f>
        <v>9.7890295358649784</v>
      </c>
      <c r="Q20" s="14" t="s">
        <v>27</v>
      </c>
      <c r="R20" s="14" t="s">
        <v>27</v>
      </c>
      <c r="S20" s="14" t="s">
        <v>27</v>
      </c>
      <c r="T20" s="14" t="s">
        <v>27</v>
      </c>
      <c r="U20" s="14" t="s">
        <v>27</v>
      </c>
      <c r="V20" s="19">
        <f>SUM('Public service'!Q33:Q42)</f>
        <v>0.26745428973277069</v>
      </c>
      <c r="W20" s="14" t="s">
        <v>27</v>
      </c>
      <c r="X20" s="19">
        <f>SUM('Public service'!Q43:Q48)</f>
        <v>0.93829113924050622</v>
      </c>
      <c r="Y20" s="14" t="s">
        <v>27</v>
      </c>
      <c r="Z20" s="14" t="s">
        <v>27</v>
      </c>
      <c r="AA20" s="19">
        <f>SUM('Public service'!Q60:Q70)</f>
        <v>3.6190342240975153</v>
      </c>
      <c r="AB20" s="14" t="s">
        <v>27</v>
      </c>
      <c r="AC20" s="19">
        <f>SUM('Public service'!Q49:Q59)</f>
        <v>3.4898030942334737</v>
      </c>
      <c r="AD20" s="14" t="s">
        <v>27</v>
      </c>
      <c r="AE20" s="14" t="s">
        <v>27</v>
      </c>
      <c r="AF20" s="14" t="s">
        <v>27</v>
      </c>
      <c r="AG20" s="22">
        <f t="shared" si="0"/>
        <v>117.43285220346931</v>
      </c>
    </row>
    <row r="21" spans="1:33" ht="14.25" customHeight="1" x14ac:dyDescent="0.2">
      <c r="A21" s="14" t="s">
        <v>44</v>
      </c>
      <c r="B21" s="19">
        <f>SUM('Ship operational'!Q2:Q4)</f>
        <v>6.3013235294117642</v>
      </c>
      <c r="C21" s="19">
        <f>SUM('Ship operational'!Q5:Q6)</f>
        <v>78.917647058823519</v>
      </c>
      <c r="D21" s="14" t="s">
        <v>27</v>
      </c>
      <c r="E21" s="14" t="s">
        <v>27</v>
      </c>
      <c r="F21" s="14" t="s">
        <v>27</v>
      </c>
      <c r="G21" s="14" t="s">
        <v>27</v>
      </c>
      <c r="H21" s="19">
        <f>SUM('Ship operational'!Q7:Q23)</f>
        <v>5.5647058823529409</v>
      </c>
      <c r="I21" s="14" t="s">
        <v>27</v>
      </c>
      <c r="J21" s="14" t="s">
        <v>27</v>
      </c>
      <c r="K21" s="14" t="s">
        <v>27</v>
      </c>
      <c r="L21" s="14" t="s">
        <v>27</v>
      </c>
      <c r="M21" s="14" t="s">
        <v>27</v>
      </c>
      <c r="N21" s="19">
        <f>SUM('Ship operational'!Q24:Q28)</f>
        <v>22.859117647058824</v>
      </c>
      <c r="O21" s="21">
        <f>SUM('Ship operational'!Q29:Q32)</f>
        <v>3.1191176470588236</v>
      </c>
      <c r="P21" s="14" t="s">
        <v>27</v>
      </c>
      <c r="Q21" s="14" t="s">
        <v>27</v>
      </c>
      <c r="R21" s="14" t="s">
        <v>27</v>
      </c>
      <c r="S21" s="14" t="s">
        <v>27</v>
      </c>
      <c r="T21" s="14" t="s">
        <v>27</v>
      </c>
      <c r="U21" s="14" t="s">
        <v>27</v>
      </c>
      <c r="V21" s="14" t="s">
        <v>27</v>
      </c>
      <c r="W21" s="19">
        <f>SUM('Ship operational'!Q35:Q41)</f>
        <v>0.5044294117647059</v>
      </c>
      <c r="X21" s="14" t="s">
        <v>27</v>
      </c>
      <c r="Y21" s="14" t="s">
        <v>27</v>
      </c>
      <c r="Z21" s="14" t="s">
        <v>27</v>
      </c>
      <c r="AA21" s="19">
        <f>SUM('Ship operational'!Q42:Q51)</f>
        <v>3.492941176470588</v>
      </c>
      <c r="AB21" s="14" t="s">
        <v>27</v>
      </c>
      <c r="AC21" s="14" t="s">
        <v>27</v>
      </c>
      <c r="AD21" s="14" t="s">
        <v>27</v>
      </c>
      <c r="AE21" s="14" t="s">
        <v>27</v>
      </c>
      <c r="AF21" s="14" t="s">
        <v>27</v>
      </c>
      <c r="AG21" s="22">
        <f t="shared" si="0"/>
        <v>120.75928235294117</v>
      </c>
    </row>
    <row r="22" spans="1:33" ht="14.25" customHeight="1" x14ac:dyDescent="0.2">
      <c r="A22" s="14" t="s">
        <v>45</v>
      </c>
      <c r="B22" s="19">
        <f>SUM(Security!Q2:Q4)</f>
        <v>6.9101659429280398</v>
      </c>
      <c r="C22" s="19">
        <f>SUM(Security!Q5:Q6)</f>
        <v>77.016129032258064</v>
      </c>
      <c r="D22" s="14" t="s">
        <v>27</v>
      </c>
      <c r="E22" s="14" t="s">
        <v>27</v>
      </c>
      <c r="F22" s="14" t="s">
        <v>27</v>
      </c>
      <c r="G22" s="14" t="s">
        <v>27</v>
      </c>
      <c r="H22" s="14" t="s">
        <v>27</v>
      </c>
      <c r="I22" s="14" t="s">
        <v>27</v>
      </c>
      <c r="J22" s="14" t="s">
        <v>27</v>
      </c>
      <c r="K22" s="19">
        <f>SUM(Security!Q7:Q16)</f>
        <v>7.2697130893300246</v>
      </c>
      <c r="L22" s="14" t="s">
        <v>27</v>
      </c>
      <c r="M22" s="14" t="s">
        <v>27</v>
      </c>
      <c r="N22" s="14" t="s">
        <v>27</v>
      </c>
      <c r="O22" s="14" t="s">
        <v>27</v>
      </c>
      <c r="P22" s="19">
        <f>SUM(Security!Q17:Q22)</f>
        <v>7.0161290322580649</v>
      </c>
      <c r="Q22" s="14" t="s">
        <v>27</v>
      </c>
      <c r="R22" s="14" t="s">
        <v>27</v>
      </c>
      <c r="S22" s="14" t="s">
        <v>27</v>
      </c>
      <c r="T22" s="19">
        <f>SUM(Security!Q23:Q34)</f>
        <v>3.7965260545905704</v>
      </c>
      <c r="U22" s="14" t="s">
        <v>27</v>
      </c>
      <c r="V22" s="19">
        <f>SUM(Security!Q35:Q43)</f>
        <v>0.88473945409429267</v>
      </c>
      <c r="W22" s="14" t="s">
        <v>27</v>
      </c>
      <c r="X22" s="14" t="s">
        <v>27</v>
      </c>
      <c r="Y22" s="14" t="s">
        <v>27</v>
      </c>
      <c r="Z22" s="14" t="s">
        <v>27</v>
      </c>
      <c r="AA22" s="14" t="s">
        <v>27</v>
      </c>
      <c r="AB22" s="14" t="s">
        <v>27</v>
      </c>
      <c r="AC22" s="14" t="s">
        <v>27</v>
      </c>
      <c r="AD22" s="19">
        <f>SUM(Security!Q46:Q52)</f>
        <v>2.4114971050454921</v>
      </c>
      <c r="AE22" s="14" t="s">
        <v>27</v>
      </c>
      <c r="AF22" s="14" t="s">
        <v>27</v>
      </c>
      <c r="AG22" s="22">
        <f t="shared" si="0"/>
        <v>105.30489971050456</v>
      </c>
    </row>
    <row r="23" spans="1:33" ht="14.25" customHeight="1" x14ac:dyDescent="0.2">
      <c r="A23" s="14" t="s">
        <v>223</v>
      </c>
      <c r="B23" s="14" t="s">
        <v>27</v>
      </c>
      <c r="C23" s="19">
        <f>SUM(Medical!Q5:Q7)</f>
        <v>39.000792763492228</v>
      </c>
      <c r="D23" s="14" t="s">
        <v>27</v>
      </c>
      <c r="E23" s="14" t="s">
        <v>27</v>
      </c>
      <c r="F23" s="14" t="s">
        <v>27</v>
      </c>
      <c r="G23" s="26">
        <f>SUM(Medical!Q8:Q13)</f>
        <v>50.423860233086018</v>
      </c>
      <c r="H23" s="19">
        <f>SUM(Medical!Q14:Q29)</f>
        <v>2.2349768878951113</v>
      </c>
      <c r="I23" s="14" t="s">
        <v>27</v>
      </c>
      <c r="J23" s="14" t="s">
        <v>27</v>
      </c>
      <c r="K23" s="14" t="s">
        <v>27</v>
      </c>
      <c r="L23" s="14" t="s">
        <v>27</v>
      </c>
      <c r="M23" s="14" t="s">
        <v>27</v>
      </c>
      <c r="N23" s="14" t="s">
        <v>27</v>
      </c>
      <c r="O23" s="14" t="s">
        <v>27</v>
      </c>
      <c r="P23" s="14" t="s">
        <v>27</v>
      </c>
      <c r="Q23" s="14" t="s">
        <v>27</v>
      </c>
      <c r="R23" s="14" t="s">
        <v>27</v>
      </c>
      <c r="S23" s="19">
        <f>SUM(Medical!Q30:Q35)</f>
        <v>81.485435511738999</v>
      </c>
      <c r="T23" s="14" t="s">
        <v>27</v>
      </c>
      <c r="U23" s="14" t="s">
        <v>27</v>
      </c>
      <c r="V23" s="14" t="s">
        <v>27</v>
      </c>
      <c r="W23" s="14" t="s">
        <v>27</v>
      </c>
      <c r="X23" s="14" t="s">
        <v>27</v>
      </c>
      <c r="Y23" s="14" t="s">
        <v>27</v>
      </c>
      <c r="Z23" s="14" t="s">
        <v>27</v>
      </c>
      <c r="AA23" s="14" t="s">
        <v>27</v>
      </c>
      <c r="AB23" s="14" t="s">
        <v>27</v>
      </c>
      <c r="AC23" s="19">
        <f>SUM(Medical!Q37:Q47)</f>
        <v>4.9626008740725682</v>
      </c>
      <c r="AD23" s="14" t="s">
        <v>27</v>
      </c>
      <c r="AE23" s="14" t="s">
        <v>27</v>
      </c>
      <c r="AF23" s="14" t="s">
        <v>27</v>
      </c>
      <c r="AG23" s="22">
        <f t="shared" si="0"/>
        <v>178.10766627028494</v>
      </c>
    </row>
    <row r="24" spans="1:33" ht="14.25" customHeight="1" x14ac:dyDescent="0.2">
      <c r="A24" s="14" t="s">
        <v>47</v>
      </c>
      <c r="B24" s="19">
        <f>SUM('Fire station'!Q2:Q4)</f>
        <v>5.5062716262975782</v>
      </c>
      <c r="C24" s="19">
        <f>SUM('Fire station'!Q5:Q6)</f>
        <v>91.839677047289499</v>
      </c>
      <c r="D24" s="14" t="s">
        <v>27</v>
      </c>
      <c r="E24" s="14" t="s">
        <v>27</v>
      </c>
      <c r="F24" s="14" t="s">
        <v>27</v>
      </c>
      <c r="G24" s="14" t="s">
        <v>27</v>
      </c>
      <c r="H24" s="14" t="s">
        <v>27</v>
      </c>
      <c r="I24" s="14" t="s">
        <v>27</v>
      </c>
      <c r="J24" s="14" t="s">
        <v>27</v>
      </c>
      <c r="K24" s="19">
        <f>SUM('Fire station'!Q7:Q29)</f>
        <v>7.3307121107266449</v>
      </c>
      <c r="L24" s="14" t="s">
        <v>27</v>
      </c>
      <c r="M24" s="14" t="s">
        <v>27</v>
      </c>
      <c r="N24" s="14" t="s">
        <v>27</v>
      </c>
      <c r="O24" s="14" t="s">
        <v>27</v>
      </c>
      <c r="P24" s="21">
        <f>SUM('Fire station'!Q30:Q35)</f>
        <v>6.0207612456747404</v>
      </c>
      <c r="Q24" s="14" t="s">
        <v>27</v>
      </c>
      <c r="R24" s="14" t="s">
        <v>27</v>
      </c>
      <c r="S24" s="14" t="s">
        <v>27</v>
      </c>
      <c r="T24" s="14" t="s">
        <v>27</v>
      </c>
      <c r="U24" s="21">
        <f>SUM('Fire station'!Q36:Q48)</f>
        <v>3.5773933102652826</v>
      </c>
      <c r="V24" s="19">
        <f>SUM('Fire station'!Q51:Q60)</f>
        <v>0.28787197231833905</v>
      </c>
      <c r="W24" s="14" t="s">
        <v>27</v>
      </c>
      <c r="X24" s="14" t="s">
        <v>27</v>
      </c>
      <c r="Y24" s="14" t="s">
        <v>27</v>
      </c>
      <c r="Z24" s="14" t="s">
        <v>27</v>
      </c>
      <c r="AA24" s="14" t="s">
        <v>27</v>
      </c>
      <c r="AB24" s="14" t="s">
        <v>27</v>
      </c>
      <c r="AC24" s="19">
        <f>SUM('Fire station'!Q61:Q71)</f>
        <v>10.326643598615917</v>
      </c>
      <c r="AD24" s="14" t="s">
        <v>27</v>
      </c>
      <c r="AE24" s="14" t="s">
        <v>27</v>
      </c>
      <c r="AF24" s="14" t="s">
        <v>27</v>
      </c>
      <c r="AG24" s="22">
        <f t="shared" si="0"/>
        <v>124.889330911188</v>
      </c>
    </row>
    <row r="25" spans="1:33" ht="14.25" customHeight="1" x14ac:dyDescent="0.2">
      <c r="A25" s="14" t="s">
        <v>48</v>
      </c>
      <c r="B25" s="19">
        <f>SUM(Dining!Q2:Q4)</f>
        <v>4.819816592635048</v>
      </c>
      <c r="C25" s="19">
        <f>SUM(Dining!Q5:Q6)</f>
        <v>76.651382719587332</v>
      </c>
      <c r="D25" s="19">
        <f>SUM(Dining!Q7:Q9)</f>
        <v>28.213390170511534</v>
      </c>
      <c r="E25" s="14" t="s">
        <v>27</v>
      </c>
      <c r="F25" s="14" t="s">
        <v>27</v>
      </c>
      <c r="G25" s="26">
        <f>SUM(Dining!Q10:Q15)</f>
        <v>97.85924546125149</v>
      </c>
      <c r="H25" s="19">
        <f>SUM(Dining!Q16:Q27)</f>
        <v>0.22492596838133447</v>
      </c>
      <c r="I25" s="14" t="s">
        <v>27</v>
      </c>
      <c r="J25" s="14" t="s">
        <v>27</v>
      </c>
      <c r="K25" s="14" t="s">
        <v>27</v>
      </c>
      <c r="L25" s="19">
        <f>SUM(Dining!Q28:Q33)</f>
        <v>103.80173483413205</v>
      </c>
      <c r="M25" s="21">
        <f>SUM(Dining!Q39:Q40)</f>
        <v>3.8935855184601422</v>
      </c>
      <c r="N25" s="19">
        <f>SUM(Dining!Q34:Q38)</f>
        <v>46.401705115346033</v>
      </c>
      <c r="O25" s="14" t="s">
        <v>27</v>
      </c>
      <c r="P25" s="14" t="s">
        <v>27</v>
      </c>
      <c r="Q25" s="14" t="s">
        <v>27</v>
      </c>
      <c r="R25" s="14" t="s">
        <v>27</v>
      </c>
      <c r="S25" s="14" t="s">
        <v>27</v>
      </c>
      <c r="T25" s="14" t="s">
        <v>27</v>
      </c>
      <c r="U25" s="14" t="s">
        <v>27</v>
      </c>
      <c r="V25" s="14" t="s">
        <v>27</v>
      </c>
      <c r="W25" s="19">
        <f>SUM(Dining!Q44:Q50)</f>
        <v>0.37870213373807488</v>
      </c>
      <c r="X25" s="14" t="s">
        <v>27</v>
      </c>
      <c r="Y25" s="14" t="s">
        <v>27</v>
      </c>
      <c r="Z25" s="14" t="s">
        <v>27</v>
      </c>
      <c r="AA25" s="14" t="s">
        <v>27</v>
      </c>
      <c r="AB25" s="19">
        <f>SUM(Dining!Q51:Q60)</f>
        <v>2.9839518555667</v>
      </c>
      <c r="AC25" s="14" t="s">
        <v>27</v>
      </c>
      <c r="AD25" s="14" t="s">
        <v>27</v>
      </c>
      <c r="AE25" s="14" t="s">
        <v>27</v>
      </c>
      <c r="AF25" s="14" t="s">
        <v>27</v>
      </c>
      <c r="AG25" s="22">
        <f t="shared" si="0"/>
        <v>365.22844036960981</v>
      </c>
    </row>
    <row r="26" spans="1:33" ht="14.25" customHeight="1" x14ac:dyDescent="0.2">
      <c r="A26" s="14" t="s">
        <v>49</v>
      </c>
      <c r="B26" s="19">
        <f>SUM(Armory!Q2:Q4)</f>
        <v>18.521188020380265</v>
      </c>
      <c r="C26" s="19">
        <f>SUM(Armory!Q5:Q6)</f>
        <v>82.390953150242325</v>
      </c>
      <c r="D26" s="14" t="s">
        <v>27</v>
      </c>
      <c r="E26" s="14" t="s">
        <v>27</v>
      </c>
      <c r="F26" s="14" t="s">
        <v>27</v>
      </c>
      <c r="G26" s="14" t="s">
        <v>27</v>
      </c>
      <c r="H26" s="19">
        <f>SUM(Armory!Q7:Q16)</f>
        <v>4.8337268547284706</v>
      </c>
      <c r="I26" s="14" t="s">
        <v>27</v>
      </c>
      <c r="J26" s="14" t="s">
        <v>27</v>
      </c>
      <c r="K26" s="14" t="s">
        <v>27</v>
      </c>
      <c r="L26" s="14" t="s">
        <v>27</v>
      </c>
      <c r="M26" s="25">
        <f>SUM(Armory!Q17:Q19)</f>
        <v>108.9026966571393</v>
      </c>
      <c r="N26" s="14" t="s">
        <v>27</v>
      </c>
      <c r="O26" s="14" t="s">
        <v>27</v>
      </c>
      <c r="P26" s="14" t="s">
        <v>27</v>
      </c>
      <c r="Q26" s="14" t="s">
        <v>27</v>
      </c>
      <c r="R26" s="14" t="s">
        <v>27</v>
      </c>
      <c r="S26" s="14" t="s">
        <v>27</v>
      </c>
      <c r="T26" s="14" t="s">
        <v>27</v>
      </c>
      <c r="U26" s="14" t="s">
        <v>27</v>
      </c>
      <c r="V26" s="14" t="s">
        <v>27</v>
      </c>
      <c r="W26" s="19">
        <f>SUM(Armory!Q20:Q27)</f>
        <v>2.0311296135205666E-2</v>
      </c>
      <c r="X26" s="14" t="s">
        <v>27</v>
      </c>
      <c r="Y26" s="14" t="s">
        <v>27</v>
      </c>
      <c r="Z26" s="14" t="s">
        <v>27</v>
      </c>
      <c r="AA26" s="14" t="s">
        <v>27</v>
      </c>
      <c r="AB26" s="14" t="s">
        <v>27</v>
      </c>
      <c r="AC26" s="19">
        <f>SUM(Armory!Q31:Q41)</f>
        <v>10.483720641232756</v>
      </c>
      <c r="AD26" s="14" t="s">
        <v>27</v>
      </c>
      <c r="AE26" s="14" t="s">
        <v>27</v>
      </c>
      <c r="AF26" s="14" t="s">
        <v>27</v>
      </c>
      <c r="AG26" s="22">
        <f t="shared" si="0"/>
        <v>225.15259661985834</v>
      </c>
    </row>
    <row r="27" spans="1:33" ht="14.25" customHeight="1" x14ac:dyDescent="0.2">
      <c r="A27" s="42" t="s">
        <v>170</v>
      </c>
      <c r="B27" s="64">
        <f t="shared" ref="B27:AF27" si="1">AVERAGE(B4:B26)</f>
        <v>8.535885291726883</v>
      </c>
      <c r="C27" s="64">
        <f t="shared" si="1"/>
        <v>73.4120709858867</v>
      </c>
      <c r="D27" s="44">
        <f t="shared" si="1"/>
        <v>28.213390170511534</v>
      </c>
      <c r="E27" s="64">
        <f t="shared" si="1"/>
        <v>2.3130089805347716</v>
      </c>
      <c r="F27" s="44">
        <f t="shared" si="1"/>
        <v>9.6805540291842203</v>
      </c>
      <c r="G27" s="44">
        <f t="shared" si="1"/>
        <v>71.619063499869355</v>
      </c>
      <c r="H27" s="64">
        <f t="shared" si="1"/>
        <v>5.6833025463261295</v>
      </c>
      <c r="I27" s="44">
        <f t="shared" si="1"/>
        <v>1.8129139737115245</v>
      </c>
      <c r="J27" s="44">
        <f t="shared" si="1"/>
        <v>328.00672834314554</v>
      </c>
      <c r="K27" s="44">
        <f t="shared" si="1"/>
        <v>5.9443684171381248</v>
      </c>
      <c r="L27" s="44">
        <f t="shared" si="1"/>
        <v>50.017360553920845</v>
      </c>
      <c r="M27" s="65">
        <f t="shared" si="1"/>
        <v>45.612077371755134</v>
      </c>
      <c r="N27" s="66">
        <f t="shared" si="1"/>
        <v>55.41834051112005</v>
      </c>
      <c r="O27" s="65">
        <f t="shared" si="1"/>
        <v>3.1558485437866537</v>
      </c>
      <c r="P27" s="66">
        <f t="shared" si="1"/>
        <v>8.7688020927968289</v>
      </c>
      <c r="Q27" s="44">
        <f t="shared" si="1"/>
        <v>0.89108333333333323</v>
      </c>
      <c r="R27" s="66">
        <f t="shared" si="1"/>
        <v>5.796548956661316</v>
      </c>
      <c r="S27" s="44">
        <f t="shared" si="1"/>
        <v>58.262403994515296</v>
      </c>
      <c r="T27" s="44">
        <f t="shared" si="1"/>
        <v>3.7965260545905704</v>
      </c>
      <c r="U27" s="66">
        <f t="shared" si="1"/>
        <v>3.5773933102652826</v>
      </c>
      <c r="V27" s="44">
        <f t="shared" si="1"/>
        <v>0.3215851827179228</v>
      </c>
      <c r="W27" s="66">
        <f t="shared" si="1"/>
        <v>0.26775112684887947</v>
      </c>
      <c r="X27" s="44">
        <f t="shared" si="1"/>
        <v>0.24453263542218168</v>
      </c>
      <c r="Y27" s="66">
        <f t="shared" si="1"/>
        <v>0.13224774824556557</v>
      </c>
      <c r="Z27" s="44">
        <f t="shared" si="1"/>
        <v>3.526390383657199</v>
      </c>
      <c r="AA27" s="64">
        <f t="shared" si="1"/>
        <v>2.4590455845584516</v>
      </c>
      <c r="AB27" s="44">
        <f t="shared" si="1"/>
        <v>2.9150285472681134</v>
      </c>
      <c r="AC27" s="44">
        <f t="shared" si="1"/>
        <v>7.102988430766545</v>
      </c>
      <c r="AD27" s="44">
        <f t="shared" si="1"/>
        <v>2.1821922659730384</v>
      </c>
      <c r="AE27" s="44">
        <f t="shared" si="1"/>
        <v>10.104059867180641</v>
      </c>
      <c r="AF27" s="44">
        <f t="shared" si="1"/>
        <v>0.2879213483146067</v>
      </c>
      <c r="AG27" s="22">
        <f>SUM(AG4:AG26)</f>
        <v>4020.4182792199576</v>
      </c>
    </row>
    <row r="28" spans="1:33" ht="14.25" customHeight="1" x14ac:dyDescent="0.2"/>
    <row r="29" spans="1:33" ht="14.25" customHeight="1" x14ac:dyDescent="0.2"/>
    <row r="30" spans="1:33" ht="14.25" customHeight="1" x14ac:dyDescent="0.2"/>
    <row r="31" spans="1:33" ht="14.25" customHeight="1" x14ac:dyDescent="0.2"/>
    <row r="32" spans="1:3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6">
    <mergeCell ref="B1:AF1"/>
    <mergeCell ref="E2:G2"/>
    <mergeCell ref="H2:L2"/>
    <mergeCell ref="M2:U2"/>
    <mergeCell ref="V2:Z2"/>
    <mergeCell ref="AA2:AF2"/>
  </mergeCells>
  <conditionalFormatting sqref="N4 P4 R4 U4 W4 Y4">
    <cfRule type="colorScale" priority="1">
      <colorScale>
        <cfvo type="min"/>
        <cfvo type="max"/>
        <color rgb="FFFCFCFF"/>
        <color rgb="FF63BE7B"/>
      </colorScale>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000"/>
  <sheetViews>
    <sheetView workbookViewId="0"/>
  </sheetViews>
  <sheetFormatPr baseColWidth="10" defaultColWidth="14.5" defaultRowHeight="15" customHeight="1" x14ac:dyDescent="0.2"/>
  <cols>
    <col min="1" max="1" width="45.6640625" customWidth="1"/>
    <col min="2" max="2" width="12" customWidth="1"/>
    <col min="3" max="4" width="15.1640625" customWidth="1"/>
    <col min="5" max="5" width="19.83203125" customWidth="1"/>
    <col min="6" max="6" width="21.83203125" customWidth="1"/>
    <col min="7" max="7" width="21" customWidth="1"/>
    <col min="8" max="8" width="41.6640625" customWidth="1"/>
    <col min="9" max="9" width="21.6640625" customWidth="1"/>
    <col min="10" max="10" width="11.1640625" customWidth="1"/>
    <col min="11" max="11" width="9.83203125" customWidth="1"/>
    <col min="12" max="12" width="13.83203125" customWidth="1"/>
    <col min="13" max="16" width="8.6640625" customWidth="1"/>
    <col min="17" max="17" width="10.83203125" customWidth="1"/>
    <col min="18" max="18" width="9.5" customWidth="1"/>
    <col min="19" max="19" width="14.1640625" customWidth="1"/>
    <col min="20" max="20" width="11.33203125" customWidth="1"/>
    <col min="21" max="21" width="13.83203125" customWidth="1"/>
    <col min="22" max="22" width="11.6640625" customWidth="1"/>
    <col min="23" max="24" width="8.6640625" customWidth="1"/>
    <col min="25" max="25" width="26.1640625" customWidth="1"/>
    <col min="26" max="26" width="8.6640625" customWidth="1"/>
    <col min="27" max="27" width="12.5" customWidth="1"/>
    <col min="28" max="28" width="15.1640625" customWidth="1"/>
    <col min="29" max="29" width="8.6640625" customWidth="1"/>
    <col min="30" max="30" width="11.5" customWidth="1"/>
    <col min="31" max="31" width="8.6640625" customWidth="1"/>
    <col min="32" max="32" width="13.5" customWidth="1"/>
    <col min="33" max="33" width="8.6640625" customWidth="1"/>
  </cols>
  <sheetData>
    <row r="1" spans="1:33" ht="14.25" customHeight="1" x14ac:dyDescent="0.2">
      <c r="B1" s="169" t="s">
        <v>50</v>
      </c>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row>
    <row r="2" spans="1:33" ht="42" customHeight="1" x14ac:dyDescent="0.2">
      <c r="A2" s="14" t="s">
        <v>51</v>
      </c>
      <c r="B2" s="15" t="s">
        <v>53</v>
      </c>
      <c r="C2" s="15" t="s">
        <v>54</v>
      </c>
      <c r="D2" s="15" t="s">
        <v>55</v>
      </c>
      <c r="E2" s="171" t="s">
        <v>56</v>
      </c>
      <c r="F2" s="172"/>
      <c r="G2" s="173"/>
      <c r="H2" s="171" t="s">
        <v>61</v>
      </c>
      <c r="I2" s="172"/>
      <c r="J2" s="172"/>
      <c r="K2" s="172"/>
      <c r="L2" s="173"/>
      <c r="M2" s="171" t="s">
        <v>65</v>
      </c>
      <c r="N2" s="172"/>
      <c r="O2" s="172"/>
      <c r="P2" s="172"/>
      <c r="Q2" s="172"/>
      <c r="R2" s="172"/>
      <c r="S2" s="172"/>
      <c r="T2" s="172"/>
      <c r="U2" s="173"/>
      <c r="V2" s="171" t="s">
        <v>69</v>
      </c>
      <c r="W2" s="172"/>
      <c r="X2" s="172"/>
      <c r="Y2" s="172"/>
      <c r="Z2" s="173"/>
      <c r="AA2" s="171" t="s">
        <v>70</v>
      </c>
      <c r="AB2" s="172"/>
      <c r="AC2" s="172"/>
      <c r="AD2" s="172"/>
      <c r="AE2" s="172"/>
      <c r="AF2" s="173"/>
    </row>
    <row r="3" spans="1:33" ht="42" customHeight="1" x14ac:dyDescent="0.2">
      <c r="A3" s="14"/>
      <c r="B3" s="17" t="s">
        <v>71</v>
      </c>
      <c r="C3" s="17" t="s">
        <v>72</v>
      </c>
      <c r="D3" s="17" t="s">
        <v>2</v>
      </c>
      <c r="E3" s="17" t="s">
        <v>73</v>
      </c>
      <c r="F3" s="17" t="s">
        <v>74</v>
      </c>
      <c r="G3" s="17" t="s">
        <v>75</v>
      </c>
      <c r="H3" s="17" t="s">
        <v>76</v>
      </c>
      <c r="I3" s="17" t="s">
        <v>77</v>
      </c>
      <c r="J3" s="17" t="s">
        <v>78</v>
      </c>
      <c r="K3" s="17" t="s">
        <v>79</v>
      </c>
      <c r="L3" s="17" t="s">
        <v>80</v>
      </c>
      <c r="M3" s="17" t="s">
        <v>81</v>
      </c>
      <c r="N3" s="17" t="s">
        <v>2</v>
      </c>
      <c r="O3" s="17" t="s">
        <v>82</v>
      </c>
      <c r="P3" s="17" t="s">
        <v>6</v>
      </c>
      <c r="Q3" s="17" t="s">
        <v>83</v>
      </c>
      <c r="R3" s="17" t="s">
        <v>84</v>
      </c>
      <c r="S3" s="17" t="s">
        <v>85</v>
      </c>
      <c r="T3" s="17" t="s">
        <v>86</v>
      </c>
      <c r="U3" s="17" t="s">
        <v>87</v>
      </c>
      <c r="V3" s="17" t="s">
        <v>88</v>
      </c>
      <c r="W3" s="17" t="s">
        <v>89</v>
      </c>
      <c r="X3" s="17" t="s">
        <v>90</v>
      </c>
      <c r="Y3" s="17" t="s">
        <v>91</v>
      </c>
      <c r="Z3" s="17" t="s">
        <v>92</v>
      </c>
      <c r="AA3" s="17" t="s">
        <v>93</v>
      </c>
      <c r="AB3" s="17" t="s">
        <v>94</v>
      </c>
      <c r="AC3" s="17" t="s">
        <v>95</v>
      </c>
      <c r="AD3" s="17" t="s">
        <v>96</v>
      </c>
      <c r="AE3" s="17" t="s">
        <v>97</v>
      </c>
      <c r="AF3" s="17" t="s">
        <v>98</v>
      </c>
    </row>
    <row r="4" spans="1:33" ht="14.25" customHeight="1" x14ac:dyDescent="0.2">
      <c r="A4" s="14" t="s">
        <v>99</v>
      </c>
      <c r="B4" s="20">
        <f>'MIC by location'!B4/'MIC by location'!$AG4</f>
        <v>5.5164964548207546E-2</v>
      </c>
      <c r="C4" s="20">
        <f>'MIC by location'!C4/'MIC by location'!$AG4</f>
        <v>0.64913159402264065</v>
      </c>
      <c r="D4" s="20" t="s">
        <v>27</v>
      </c>
      <c r="E4" s="20">
        <f>'MIC by location'!E4/'MIC by location'!$AG4</f>
        <v>1.0517078852968948E-2</v>
      </c>
      <c r="F4" s="20" t="s">
        <v>27</v>
      </c>
      <c r="G4" s="20" t="s">
        <v>27</v>
      </c>
      <c r="H4" s="20">
        <f>'MIC by location'!H4/'MIC by location'!$AG4</f>
        <v>7.0077037700781247E-2</v>
      </c>
      <c r="I4" s="20" t="s">
        <v>27</v>
      </c>
      <c r="J4" s="20" t="s">
        <v>27</v>
      </c>
      <c r="K4" s="20" t="s">
        <v>27</v>
      </c>
      <c r="L4" s="20" t="s">
        <v>27</v>
      </c>
      <c r="M4" s="20">
        <f>'MIC by location'!M4/'MIC by location'!$AG4</f>
        <v>0.17151212471281002</v>
      </c>
      <c r="N4" s="20" t="s">
        <v>27</v>
      </c>
      <c r="O4" s="20">
        <f>'MIC by location'!O4/'MIC by location'!$AG4</f>
        <v>1.8888588590114292E-2</v>
      </c>
      <c r="P4" s="20" t="s">
        <v>27</v>
      </c>
      <c r="Q4" s="20" t="s">
        <v>27</v>
      </c>
      <c r="R4" s="20" t="s">
        <v>27</v>
      </c>
      <c r="S4" s="20" t="s">
        <v>27</v>
      </c>
      <c r="T4" s="20" t="s">
        <v>27</v>
      </c>
      <c r="U4" s="20" t="s">
        <v>27</v>
      </c>
      <c r="V4" s="20" t="s">
        <v>27</v>
      </c>
      <c r="W4" s="20" t="s">
        <v>27</v>
      </c>
      <c r="X4" s="20" t="s">
        <v>27</v>
      </c>
      <c r="Y4" s="20" t="s">
        <v>27</v>
      </c>
      <c r="Z4" s="20" t="s">
        <v>27</v>
      </c>
      <c r="AA4" s="20">
        <f>'MIC by location'!AA4/'MIC by location'!$AG4</f>
        <v>2.4708611572477175E-2</v>
      </c>
      <c r="AB4" s="20" t="s">
        <v>27</v>
      </c>
      <c r="AC4" s="20" t="s">
        <v>27</v>
      </c>
      <c r="AD4" s="20" t="s">
        <v>27</v>
      </c>
      <c r="AE4" s="20" t="s">
        <v>27</v>
      </c>
      <c r="AF4" s="20" t="s">
        <v>27</v>
      </c>
      <c r="AG4" s="23">
        <f t="shared" ref="AG4:AG26" si="0">SUM(B4:AF4)</f>
        <v>0.99999999999999978</v>
      </c>
    </row>
    <row r="5" spans="1:33" ht="14.25" customHeight="1" x14ac:dyDescent="0.2">
      <c r="A5" s="14" t="s">
        <v>100</v>
      </c>
      <c r="B5" s="20">
        <f>'MIC by location'!B5/'MIC by location'!$AG5</f>
        <v>2.1828479471131507E-2</v>
      </c>
      <c r="C5" s="20">
        <f>'MIC by location'!C5/'MIC by location'!$AG5</f>
        <v>0.11465463964634731</v>
      </c>
      <c r="D5" s="20" t="s">
        <v>27</v>
      </c>
      <c r="E5" s="20" t="s">
        <v>27</v>
      </c>
      <c r="F5" s="20" t="s">
        <v>27</v>
      </c>
      <c r="G5" s="20" t="s">
        <v>27</v>
      </c>
      <c r="H5" s="20" t="s">
        <v>27</v>
      </c>
      <c r="I5" s="20" t="s">
        <v>27</v>
      </c>
      <c r="J5" s="20">
        <f>'MIC by location'!J5/'MIC by location'!$AG5</f>
        <v>0.49849843324498833</v>
      </c>
      <c r="K5" s="20" t="s">
        <v>27</v>
      </c>
      <c r="L5" s="20" t="s">
        <v>27</v>
      </c>
      <c r="M5" s="20" t="s">
        <v>27</v>
      </c>
      <c r="N5" s="20">
        <f>'MIC by location'!N5/'MIC by location'!$AG5</f>
        <v>0.36501844763753283</v>
      </c>
      <c r="O5" s="20" t="s">
        <v>27</v>
      </c>
      <c r="P5" s="20" t="s">
        <v>27</v>
      </c>
      <c r="Q5" s="20" t="s">
        <v>27</v>
      </c>
      <c r="R5" s="20" t="s">
        <v>27</v>
      </c>
      <c r="S5" s="20" t="s">
        <v>27</v>
      </c>
      <c r="T5" s="20" t="s">
        <v>27</v>
      </c>
      <c r="U5" s="20" t="s">
        <v>27</v>
      </c>
      <c r="V5" s="20" t="s">
        <v>27</v>
      </c>
      <c r="W5" s="20" t="s">
        <v>27</v>
      </c>
      <c r="X5" s="20" t="s">
        <v>27</v>
      </c>
      <c r="Y5" s="20" t="s">
        <v>27</v>
      </c>
      <c r="Z5" s="20" t="s">
        <v>27</v>
      </c>
      <c r="AA5" s="20" t="s">
        <v>27</v>
      </c>
      <c r="AB5" s="20" t="s">
        <v>27</v>
      </c>
      <c r="AC5" s="20" t="s">
        <v>27</v>
      </c>
      <c r="AD5" s="20" t="s">
        <v>27</v>
      </c>
      <c r="AE5" s="20" t="s">
        <v>27</v>
      </c>
      <c r="AF5" s="20" t="s">
        <v>27</v>
      </c>
      <c r="AG5" s="23">
        <f t="shared" si="0"/>
        <v>1</v>
      </c>
    </row>
    <row r="6" spans="1:33" ht="14.25" customHeight="1" x14ac:dyDescent="0.2">
      <c r="A6" s="14" t="s">
        <v>101</v>
      </c>
      <c r="B6" s="20">
        <f>'MIC by location'!B6/'MIC by location'!$AG6</f>
        <v>2.0396310820025274E-2</v>
      </c>
      <c r="C6" s="20">
        <f>'MIC by location'!C6/'MIC by location'!$AG6</f>
        <v>0.6903183869718178</v>
      </c>
      <c r="D6" s="20" t="s">
        <v>27</v>
      </c>
      <c r="E6" s="20" t="s">
        <v>27</v>
      </c>
      <c r="F6" s="20">
        <f>'MIC by location'!F6/'MIC by location'!$AG6</f>
        <v>6.9435054102433613E-2</v>
      </c>
      <c r="G6" s="20" t="s">
        <v>27</v>
      </c>
      <c r="H6" s="20">
        <f>'MIC by location'!H6/'MIC by location'!$AG6</f>
        <v>4.7279627553786403E-2</v>
      </c>
      <c r="I6" s="20">
        <f>'MIC by location'!I6/'MIC by location'!$AG6</f>
        <v>1.3003365248334396E-2</v>
      </c>
      <c r="J6" s="20" t="s">
        <v>27</v>
      </c>
      <c r="K6" s="20" t="s">
        <v>27</v>
      </c>
      <c r="L6" s="20" t="s">
        <v>27</v>
      </c>
      <c r="M6" s="20">
        <f>'MIC by location'!M6/'MIC by location'!$AG6</f>
        <v>9.5623835866601128E-2</v>
      </c>
      <c r="N6" s="20">
        <f>'MIC by location'!N6/'MIC by location'!$AG6</f>
        <v>2.6626718287447459E-2</v>
      </c>
      <c r="O6" s="20">
        <f>'MIC by location'!O6/'MIC by location'!$AG6</f>
        <v>1.6891354716377038E-2</v>
      </c>
      <c r="P6" s="20" t="s">
        <v>27</v>
      </c>
      <c r="Q6" s="20" t="s">
        <v>27</v>
      </c>
      <c r="R6" s="20" t="s">
        <v>27</v>
      </c>
      <c r="S6" s="20" t="s">
        <v>27</v>
      </c>
      <c r="T6" s="20" t="s">
        <v>27</v>
      </c>
      <c r="U6" s="20" t="s">
        <v>27</v>
      </c>
      <c r="V6" s="20">
        <f>'MIC by location'!V6/'MIC by location'!$AG6</f>
        <v>6.067224468747376E-4</v>
      </c>
      <c r="W6" s="20">
        <f>'MIC by location'!W6/'MIC by location'!$AG6</f>
        <v>9.1273373618538687E-5</v>
      </c>
      <c r="X6" s="20" t="s">
        <v>27</v>
      </c>
      <c r="Y6" s="20" t="s">
        <v>27</v>
      </c>
      <c r="Z6" s="20" t="s">
        <v>27</v>
      </c>
      <c r="AA6" s="20">
        <f>'MIC by location'!AA6/'MIC by location'!$AG6</f>
        <v>5.5722702392137149E-4</v>
      </c>
      <c r="AB6" s="20">
        <f>'MIC by location'!AB6/'MIC by location'!$AG6</f>
        <v>1.9170123588762349E-2</v>
      </c>
      <c r="AC6" s="20" t="s">
        <v>27</v>
      </c>
      <c r="AD6" s="20" t="s">
        <v>27</v>
      </c>
      <c r="AE6" s="20" t="s">
        <v>27</v>
      </c>
      <c r="AF6" s="20" t="s">
        <v>27</v>
      </c>
      <c r="AG6" s="23">
        <f t="shared" si="0"/>
        <v>1</v>
      </c>
    </row>
    <row r="7" spans="1:33" ht="14.25" customHeight="1" x14ac:dyDescent="0.2">
      <c r="A7" s="14" t="s">
        <v>102</v>
      </c>
      <c r="B7" s="20">
        <f>'MIC by location'!B7/'MIC by location'!$AG7</f>
        <v>8.702632477656376E-2</v>
      </c>
      <c r="C7" s="20">
        <f>'MIC by location'!C7/'MIC by location'!$AG7</f>
        <v>0.30059817495286512</v>
      </c>
      <c r="D7" s="20" t="s">
        <v>27</v>
      </c>
      <c r="E7" s="20" t="s">
        <v>27</v>
      </c>
      <c r="F7" s="20" t="s">
        <v>27</v>
      </c>
      <c r="G7" s="20" t="s">
        <v>27</v>
      </c>
      <c r="H7" s="20">
        <f>'MIC by location'!H7/'MIC by location'!$AG7</f>
        <v>2.3480459175367133E-2</v>
      </c>
      <c r="I7" s="20" t="s">
        <v>27</v>
      </c>
      <c r="J7" s="20" t="s">
        <v>27</v>
      </c>
      <c r="K7" s="20" t="s">
        <v>27</v>
      </c>
      <c r="L7" s="20" t="s">
        <v>27</v>
      </c>
      <c r="M7" s="20">
        <f>'MIC by location'!M7/'MIC by location'!$AG7</f>
        <v>0.53550618929540139</v>
      </c>
      <c r="N7" s="20" t="s">
        <v>27</v>
      </c>
      <c r="O7" s="20" t="s">
        <v>27</v>
      </c>
      <c r="P7" s="20" t="s">
        <v>27</v>
      </c>
      <c r="Q7" s="20" t="s">
        <v>27</v>
      </c>
      <c r="R7" s="20" t="s">
        <v>27</v>
      </c>
      <c r="S7" s="20" t="s">
        <v>27</v>
      </c>
      <c r="T7" s="20" t="s">
        <v>27</v>
      </c>
      <c r="U7" s="20" t="s">
        <v>27</v>
      </c>
      <c r="V7" s="20" t="s">
        <v>27</v>
      </c>
      <c r="W7" s="20">
        <f>'MIC by location'!W7/'MIC by location'!$AG7</f>
        <v>2.1689781599706971E-3</v>
      </c>
      <c r="X7" s="20" t="s">
        <v>27</v>
      </c>
      <c r="Y7" s="20" t="s">
        <v>27</v>
      </c>
      <c r="Z7" s="20" t="s">
        <v>27</v>
      </c>
      <c r="AA7" s="20" t="s">
        <v>27</v>
      </c>
      <c r="AB7" s="20" t="s">
        <v>27</v>
      </c>
      <c r="AC7" s="20">
        <f>'MIC by location'!AC7/'MIC by location'!$AG7</f>
        <v>5.1219873639831791E-2</v>
      </c>
      <c r="AD7" s="20" t="s">
        <v>27</v>
      </c>
      <c r="AE7" s="20" t="s">
        <v>27</v>
      </c>
      <c r="AF7" s="20" t="s">
        <v>27</v>
      </c>
      <c r="AG7" s="23">
        <f t="shared" si="0"/>
        <v>0.99999999999999989</v>
      </c>
    </row>
    <row r="8" spans="1:33" ht="14.25" customHeight="1" x14ac:dyDescent="0.2">
      <c r="A8" s="14" t="s">
        <v>103</v>
      </c>
      <c r="B8" s="20" t="s">
        <v>27</v>
      </c>
      <c r="C8" s="20">
        <f>'MIC by location'!C8/'MIC by location'!$AG8</f>
        <v>0.68167005285710691</v>
      </c>
      <c r="D8" s="20" t="s">
        <v>27</v>
      </c>
      <c r="E8" s="20" t="s">
        <v>27</v>
      </c>
      <c r="F8" s="20" t="s">
        <v>27</v>
      </c>
      <c r="G8" s="20" t="s">
        <v>27</v>
      </c>
      <c r="H8" s="20" t="s">
        <v>27</v>
      </c>
      <c r="I8" s="20" t="s">
        <v>27</v>
      </c>
      <c r="J8" s="20" t="s">
        <v>27</v>
      </c>
      <c r="K8" s="20">
        <f>'MIC by location'!K8/'MIC by location'!$AG8</f>
        <v>0.11278540502958398</v>
      </c>
      <c r="L8" s="20" t="s">
        <v>27</v>
      </c>
      <c r="M8" s="20" t="s">
        <v>27</v>
      </c>
      <c r="N8" s="20" t="s">
        <v>27</v>
      </c>
      <c r="O8" s="20" t="s">
        <v>27</v>
      </c>
      <c r="P8" s="20">
        <f>'MIC by location'!P8/'MIC by location'!$AG8</f>
        <v>0.18247782953405631</v>
      </c>
      <c r="Q8" s="20" t="s">
        <v>27</v>
      </c>
      <c r="R8" s="20" t="s">
        <v>27</v>
      </c>
      <c r="S8" s="20" t="s">
        <v>27</v>
      </c>
      <c r="T8" s="20" t="s">
        <v>27</v>
      </c>
      <c r="U8" s="20" t="s">
        <v>27</v>
      </c>
      <c r="V8" s="20">
        <f>'MIC by location'!V8/'MIC by location'!$AG8</f>
        <v>2.2670366074589066E-3</v>
      </c>
      <c r="W8" s="20" t="s">
        <v>27</v>
      </c>
      <c r="X8" s="20" t="s">
        <v>27</v>
      </c>
      <c r="Y8" s="20" t="s">
        <v>27</v>
      </c>
      <c r="Z8" s="20" t="s">
        <v>27</v>
      </c>
      <c r="AA8" s="20" t="s">
        <v>27</v>
      </c>
      <c r="AB8" s="20" t="s">
        <v>27</v>
      </c>
      <c r="AC8" s="20" t="s">
        <v>27</v>
      </c>
      <c r="AD8" s="20">
        <f>'MIC by location'!AD8/'MIC by location'!$AG8</f>
        <v>2.0799675971793778E-2</v>
      </c>
      <c r="AE8" s="20" t="s">
        <v>27</v>
      </c>
      <c r="AF8" s="20" t="s">
        <v>27</v>
      </c>
      <c r="AG8" s="23">
        <f t="shared" si="0"/>
        <v>0.99999999999999989</v>
      </c>
    </row>
    <row r="9" spans="1:33" ht="14.25" customHeight="1" x14ac:dyDescent="0.2">
      <c r="A9" s="14" t="s">
        <v>104</v>
      </c>
      <c r="B9" s="20">
        <f>'MIC by location'!B9/'MIC by location'!$AG9</f>
        <v>4.7981061461381369E-2</v>
      </c>
      <c r="C9" s="20">
        <f>'MIC by location'!C9/'MIC by location'!$AG9</f>
        <v>0.77961210770019196</v>
      </c>
      <c r="D9" s="20" t="s">
        <v>27</v>
      </c>
      <c r="E9" s="20" t="s">
        <v>27</v>
      </c>
      <c r="F9" s="20" t="s">
        <v>27</v>
      </c>
      <c r="G9" s="20" t="s">
        <v>27</v>
      </c>
      <c r="H9" s="20" t="s">
        <v>27</v>
      </c>
      <c r="I9" s="20" t="s">
        <v>27</v>
      </c>
      <c r="J9" s="20" t="s">
        <v>27</v>
      </c>
      <c r="K9" s="20">
        <f>'MIC by location'!K9/'MIC by location'!$AG9</f>
        <v>5.1247582272104658E-2</v>
      </c>
      <c r="L9" s="20" t="s">
        <v>27</v>
      </c>
      <c r="M9" s="20" t="s">
        <v>27</v>
      </c>
      <c r="N9" s="20" t="s">
        <v>27</v>
      </c>
      <c r="O9" s="20" t="s">
        <v>27</v>
      </c>
      <c r="P9" s="20">
        <f>'MIC by location'!P9/'MIC by location'!$AG9</f>
        <v>5.148754051360073E-2</v>
      </c>
      <c r="Q9" s="20" t="s">
        <v>27</v>
      </c>
      <c r="R9" s="20" t="s">
        <v>27</v>
      </c>
      <c r="S9" s="20" t="s">
        <v>27</v>
      </c>
      <c r="T9" s="20" t="s">
        <v>27</v>
      </c>
      <c r="U9" s="20" t="s">
        <v>27</v>
      </c>
      <c r="V9" s="20">
        <f>'MIC by location'!V9/'MIC by location'!$AG9</f>
        <v>3.6470889170106533E-3</v>
      </c>
      <c r="W9" s="20" t="s">
        <v>27</v>
      </c>
      <c r="X9" s="20">
        <f>'MIC by location'!X9/'MIC by location'!$AG9</f>
        <v>1.5741558700472253E-3</v>
      </c>
      <c r="Y9" s="20" t="s">
        <v>27</v>
      </c>
      <c r="Z9" s="20" t="s">
        <v>27</v>
      </c>
      <c r="AA9" s="20">
        <f>'MIC by location'!AA9/'MIC by location'!$AG9</f>
        <v>1.1369417347491091E-2</v>
      </c>
      <c r="AB9" s="20" t="s">
        <v>27</v>
      </c>
      <c r="AC9" s="20">
        <f>'MIC by location'!AC9/'MIC by location'!$AG9</f>
        <v>5.3081045918172358E-2</v>
      </c>
      <c r="AD9" s="20" t="s">
        <v>27</v>
      </c>
      <c r="AE9" s="20" t="s">
        <v>27</v>
      </c>
      <c r="AF9" s="20" t="s">
        <v>27</v>
      </c>
      <c r="AG9" s="23">
        <f t="shared" si="0"/>
        <v>1</v>
      </c>
    </row>
    <row r="10" spans="1:33" ht="14.25" customHeight="1" x14ac:dyDescent="0.2">
      <c r="A10" s="14" t="s">
        <v>107</v>
      </c>
      <c r="B10" s="20">
        <f>'MIC by location'!B10/'MIC by location'!$AG10</f>
        <v>0.24751117088460867</v>
      </c>
      <c r="C10" s="20">
        <f>'MIC by location'!C10/'MIC by location'!$AG10</f>
        <v>0.62176719256036961</v>
      </c>
      <c r="D10" s="20" t="s">
        <v>27</v>
      </c>
      <c r="E10" s="20" t="s">
        <v>27</v>
      </c>
      <c r="F10" s="20" t="s">
        <v>27</v>
      </c>
      <c r="G10" s="20" t="s">
        <v>27</v>
      </c>
      <c r="H10" s="20" t="s">
        <v>27</v>
      </c>
      <c r="I10" s="20" t="s">
        <v>27</v>
      </c>
      <c r="J10" s="20" t="s">
        <v>27</v>
      </c>
      <c r="K10" s="20">
        <f>'MIC by location'!K10/'MIC by location'!$AG10</f>
        <v>4.4502588238795271E-2</v>
      </c>
      <c r="L10" s="20" t="s">
        <v>27</v>
      </c>
      <c r="M10" s="20" t="s">
        <v>27</v>
      </c>
      <c r="N10" s="20" t="s">
        <v>27</v>
      </c>
      <c r="O10" s="20" t="s">
        <v>27</v>
      </c>
      <c r="P10" s="20" t="s">
        <v>27</v>
      </c>
      <c r="Q10" s="20">
        <f>'MIC by location'!Q10/'MIC by location'!$AG10</f>
        <v>7.1031587500513154E-3</v>
      </c>
      <c r="R10" s="20" t="s">
        <v>27</v>
      </c>
      <c r="S10" s="20" t="s">
        <v>27</v>
      </c>
      <c r="T10" s="20" t="s">
        <v>27</v>
      </c>
      <c r="U10" s="20" t="s">
        <v>27</v>
      </c>
      <c r="V10" s="20" t="s">
        <v>27</v>
      </c>
      <c r="W10" s="20" t="s">
        <v>27</v>
      </c>
      <c r="X10" s="20" t="s">
        <v>27</v>
      </c>
      <c r="Y10" s="20" t="s">
        <v>27</v>
      </c>
      <c r="Z10" s="20" t="s">
        <v>27</v>
      </c>
      <c r="AA10" s="20" t="s">
        <v>27</v>
      </c>
      <c r="AB10" s="20" t="s">
        <v>27</v>
      </c>
      <c r="AC10" s="20">
        <f>'MIC by location'!AC10/'MIC by location'!$AG10</f>
        <v>7.911588956617524E-2</v>
      </c>
      <c r="AD10" s="20" t="s">
        <v>27</v>
      </c>
      <c r="AE10" s="20" t="s">
        <v>27</v>
      </c>
      <c r="AF10" s="20" t="s">
        <v>27</v>
      </c>
      <c r="AG10" s="23">
        <f t="shared" si="0"/>
        <v>1.0000000000000002</v>
      </c>
    </row>
    <row r="11" spans="1:33" ht="14.25" customHeight="1" x14ac:dyDescent="0.2">
      <c r="A11" s="14" t="s">
        <v>109</v>
      </c>
      <c r="B11" s="20">
        <f>'MIC by location'!B11/'MIC by location'!$AG11</f>
        <v>5.2177384607631404E-2</v>
      </c>
      <c r="C11" s="20">
        <f>'MIC by location'!C11/'MIC by location'!$AG11</f>
        <v>0.55480898695843017</v>
      </c>
      <c r="D11" s="20" t="s">
        <v>27</v>
      </c>
      <c r="E11" s="20">
        <f>'MIC by location'!E11/'MIC by location'!$AG11</f>
        <v>4.2229253322836557E-2</v>
      </c>
      <c r="F11" s="20" t="s">
        <v>27</v>
      </c>
      <c r="G11" s="20" t="s">
        <v>27</v>
      </c>
      <c r="H11" s="20" t="s">
        <v>27</v>
      </c>
      <c r="I11" s="20" t="s">
        <v>27</v>
      </c>
      <c r="J11" s="20" t="s">
        <v>27</v>
      </c>
      <c r="K11" s="20">
        <f>'MIC by location'!K11/'MIC by location'!$AG11</f>
        <v>6.0674471313109483E-2</v>
      </c>
      <c r="L11" s="20" t="s">
        <v>27</v>
      </c>
      <c r="M11" s="20" t="s">
        <v>27</v>
      </c>
      <c r="N11" s="20" t="s">
        <v>27</v>
      </c>
      <c r="O11" s="20" t="s">
        <v>27</v>
      </c>
      <c r="P11" s="20">
        <f>'MIC by location'!P11/'MIC by location'!$AG11</f>
        <v>0.15965695540088365</v>
      </c>
      <c r="Q11" s="20" t="s">
        <v>27</v>
      </c>
      <c r="R11" s="20" t="s">
        <v>27</v>
      </c>
      <c r="S11" s="20" t="s">
        <v>27</v>
      </c>
      <c r="T11" s="20" t="s">
        <v>27</v>
      </c>
      <c r="U11" s="20" t="s">
        <v>27</v>
      </c>
      <c r="V11" s="20">
        <f>'MIC by location'!V11/'MIC by location'!$AG11</f>
        <v>5.4103834338469275E-3</v>
      </c>
      <c r="W11" s="20" t="s">
        <v>27</v>
      </c>
      <c r="X11" s="20" t="s">
        <v>27</v>
      </c>
      <c r="Y11" s="20" t="s">
        <v>27</v>
      </c>
      <c r="Z11" s="20" t="s">
        <v>27</v>
      </c>
      <c r="AA11" s="20" t="s">
        <v>27</v>
      </c>
      <c r="AB11" s="20" t="s">
        <v>27</v>
      </c>
      <c r="AC11" s="20" t="s">
        <v>27</v>
      </c>
      <c r="AD11" s="20" t="s">
        <v>27</v>
      </c>
      <c r="AE11" s="20">
        <f>'MIC by location'!AE11/'MIC by location'!$AG11</f>
        <v>0.1250425649632618</v>
      </c>
      <c r="AF11" s="20" t="s">
        <v>27</v>
      </c>
      <c r="AG11" s="23">
        <f t="shared" si="0"/>
        <v>1</v>
      </c>
    </row>
    <row r="12" spans="1:33" ht="14.25" customHeight="1" x14ac:dyDescent="0.2">
      <c r="A12" s="14" t="s">
        <v>110</v>
      </c>
      <c r="B12" s="20">
        <f>'MIC by location'!B12/'MIC by location'!$AG12</f>
        <v>5.2815876235767181E-2</v>
      </c>
      <c r="C12" s="20">
        <f>'MIC by location'!C12/'MIC by location'!$AG12</f>
        <v>0.55059082855617403</v>
      </c>
      <c r="D12" s="20" t="s">
        <v>27</v>
      </c>
      <c r="E12" s="20" t="s">
        <v>27</v>
      </c>
      <c r="F12" s="20" t="s">
        <v>27</v>
      </c>
      <c r="G12" s="20" t="s">
        <v>27</v>
      </c>
      <c r="H12" s="20">
        <f>'MIC by location'!H12/'MIC by location'!$AG12</f>
        <v>5.3804702982527187E-2</v>
      </c>
      <c r="I12" s="20" t="s">
        <v>27</v>
      </c>
      <c r="J12" s="20" t="s">
        <v>27</v>
      </c>
      <c r="K12" s="20" t="s">
        <v>27</v>
      </c>
      <c r="L12" s="20" t="s">
        <v>27</v>
      </c>
      <c r="M12" s="20">
        <f>'MIC by location'!M12/'MIC by location'!$AG12</f>
        <v>0.13939874137814087</v>
      </c>
      <c r="N12" s="20">
        <f>'MIC by location'!N12/'MIC by location'!$AG12</f>
        <v>0.11325022740675182</v>
      </c>
      <c r="O12" s="20">
        <f>'MIC by location'!O12/'MIC by location'!$AG12</f>
        <v>2.0725131814316327E-2</v>
      </c>
      <c r="P12" s="20" t="s">
        <v>27</v>
      </c>
      <c r="Q12" s="20" t="s">
        <v>27</v>
      </c>
      <c r="R12" s="20">
        <f>'MIC by location'!R12/'MIC by location'!$AG12</f>
        <v>4.1601463131186296E-2</v>
      </c>
      <c r="S12" s="20" t="s">
        <v>27</v>
      </c>
      <c r="T12" s="20" t="s">
        <v>27</v>
      </c>
      <c r="U12" s="20" t="s">
        <v>27</v>
      </c>
      <c r="V12" s="20" t="s">
        <v>27</v>
      </c>
      <c r="W12" s="20">
        <f>'MIC by location'!W12/'MIC by location'!$AG12</f>
        <v>1.1633961724265927E-3</v>
      </c>
      <c r="X12" s="20" t="s">
        <v>27</v>
      </c>
      <c r="Y12" s="20" t="s">
        <v>27</v>
      </c>
      <c r="Z12" s="20" t="s">
        <v>27</v>
      </c>
      <c r="AA12" s="20">
        <f>'MIC by location'!AA12/'MIC by location'!$AG12</f>
        <v>2.458323912114329E-2</v>
      </c>
      <c r="AB12" s="20" t="s">
        <v>27</v>
      </c>
      <c r="AC12" s="20" t="s">
        <v>27</v>
      </c>
      <c r="AD12" s="20" t="s">
        <v>27</v>
      </c>
      <c r="AE12" s="20" t="s">
        <v>27</v>
      </c>
      <c r="AF12" s="20">
        <f>'MIC by location'!AF12/'MIC by location'!$AG12</f>
        <v>2.0663932015663666E-3</v>
      </c>
      <c r="AG12" s="23">
        <f t="shared" si="0"/>
        <v>0.99999999999999989</v>
      </c>
    </row>
    <row r="13" spans="1:33" ht="14.25" customHeight="1" x14ac:dyDescent="0.2">
      <c r="A13" s="14" t="s">
        <v>114</v>
      </c>
      <c r="B13" s="20">
        <f>'MIC by location'!B13/'MIC by location'!$AG13</f>
        <v>1.5361062797735818E-2</v>
      </c>
      <c r="C13" s="20">
        <f>'MIC by location'!C13/'MIC by location'!$AG13</f>
        <v>0.383543093365806</v>
      </c>
      <c r="D13" s="20" t="s">
        <v>27</v>
      </c>
      <c r="E13" s="20" t="s">
        <v>27</v>
      </c>
      <c r="F13" s="20" t="s">
        <v>27</v>
      </c>
      <c r="G13" s="20">
        <f>'MIC by location'!G13/'MIC by location'!$AG13</f>
        <v>0.48623147060391897</v>
      </c>
      <c r="H13" s="20">
        <f>'MIC by location'!H13/'MIC by location'!$AG13</f>
        <v>3.2914185910979304E-2</v>
      </c>
      <c r="I13" s="20" t="s">
        <v>27</v>
      </c>
      <c r="J13" s="20" t="s">
        <v>27</v>
      </c>
      <c r="K13" s="20" t="s">
        <v>27</v>
      </c>
      <c r="L13" s="20" t="s">
        <v>27</v>
      </c>
      <c r="M13" s="20" t="s">
        <v>27</v>
      </c>
      <c r="N13" s="20" t="s">
        <v>27</v>
      </c>
      <c r="O13" s="20" t="s">
        <v>27</v>
      </c>
      <c r="P13" s="20">
        <f>'MIC by location'!P13/'MIC by location'!$AG13</f>
        <v>5.9474365228299943E-2</v>
      </c>
      <c r="Q13" s="20" t="s">
        <v>27</v>
      </c>
      <c r="R13" s="20" t="s">
        <v>27</v>
      </c>
      <c r="S13" s="20" t="s">
        <v>27</v>
      </c>
      <c r="T13" s="20" t="s">
        <v>27</v>
      </c>
      <c r="U13" s="20" t="s">
        <v>27</v>
      </c>
      <c r="V13" s="20">
        <f>'MIC by location'!V13/'MIC by location'!$AG13</f>
        <v>1.7693889505072233E-3</v>
      </c>
      <c r="W13" s="20" t="s">
        <v>27</v>
      </c>
      <c r="X13" s="20">
        <f>'MIC by location'!X13/'MIC by location'!$AG13</f>
        <v>5.1369282261083714E-4</v>
      </c>
      <c r="Y13" s="20" t="s">
        <v>27</v>
      </c>
      <c r="Z13" s="20" t="s">
        <v>27</v>
      </c>
      <c r="AA13" s="20">
        <f>'MIC by location'!AA13/'MIC by location'!$AG13</f>
        <v>1.4955302269083579E-2</v>
      </c>
      <c r="AB13" s="20" t="s">
        <v>27</v>
      </c>
      <c r="AC13" s="20">
        <f>'MIC by location'!AC13/'MIC by location'!$AG13</f>
        <v>5.2374380510583967E-3</v>
      </c>
      <c r="AD13" s="20" t="s">
        <v>27</v>
      </c>
      <c r="AE13" s="20" t="s">
        <v>27</v>
      </c>
      <c r="AF13" s="20" t="s">
        <v>27</v>
      </c>
      <c r="AG13" s="23">
        <f t="shared" si="0"/>
        <v>1.0000000000000002</v>
      </c>
    </row>
    <row r="14" spans="1:33" ht="14.25" customHeight="1" x14ac:dyDescent="0.2">
      <c r="A14" s="14" t="s">
        <v>120</v>
      </c>
      <c r="B14" s="20">
        <f>'MIC by location'!B14/'MIC by location'!$AG14</f>
        <v>7.7759789663307058E-2</v>
      </c>
      <c r="C14" s="20">
        <f>'MIC by location'!C14/'MIC by location'!$AG14</f>
        <v>0.39673421502186851</v>
      </c>
      <c r="D14" s="20" t="s">
        <v>27</v>
      </c>
      <c r="E14" s="20" t="s">
        <v>27</v>
      </c>
      <c r="F14" s="20" t="s">
        <v>27</v>
      </c>
      <c r="G14" s="20" t="s">
        <v>27</v>
      </c>
      <c r="H14" s="20">
        <f>'MIC by location'!H14/'MIC by location'!$AG14</f>
        <v>3.7934360483315298E-2</v>
      </c>
      <c r="I14" s="20" t="s">
        <v>27</v>
      </c>
      <c r="J14" s="20" t="s">
        <v>27</v>
      </c>
      <c r="K14" s="20" t="s">
        <v>27</v>
      </c>
      <c r="L14" s="20" t="s">
        <v>27</v>
      </c>
      <c r="M14" s="20">
        <f>'MIC by location'!M14/'MIC by location'!$AG14</f>
        <v>0.18430688265139283</v>
      </c>
      <c r="N14" s="20" t="s">
        <v>27</v>
      </c>
      <c r="O14" s="20">
        <f>'MIC by location'!O14/'MIC by location'!$AG14</f>
        <v>4.1176026133361854E-2</v>
      </c>
      <c r="P14" s="20" t="s">
        <v>27</v>
      </c>
      <c r="Q14" s="20" t="s">
        <v>27</v>
      </c>
      <c r="R14" s="20" t="s">
        <v>27</v>
      </c>
      <c r="S14" s="20">
        <f>'MIC by location'!S14/'MIC by location'!$AG14</f>
        <v>0.20776945214879836</v>
      </c>
      <c r="T14" s="20" t="s">
        <v>27</v>
      </c>
      <c r="U14" s="20" t="s">
        <v>27</v>
      </c>
      <c r="V14" s="20">
        <f>'MIC by location'!V14/'MIC by location'!$AG14</f>
        <v>3.6916704995379972E-4</v>
      </c>
      <c r="W14" s="20" t="s">
        <v>27</v>
      </c>
      <c r="X14" s="20" t="s">
        <v>27</v>
      </c>
      <c r="Y14" s="20" t="s">
        <v>27</v>
      </c>
      <c r="Z14" s="20" t="s">
        <v>27</v>
      </c>
      <c r="AA14" s="20" t="s">
        <v>27</v>
      </c>
      <c r="AB14" s="20" t="s">
        <v>27</v>
      </c>
      <c r="AC14" s="20">
        <f>'MIC by location'!AC14/'MIC by location'!$AG14</f>
        <v>5.395010684800218E-2</v>
      </c>
      <c r="AD14" s="20" t="s">
        <v>27</v>
      </c>
      <c r="AE14" s="20" t="s">
        <v>27</v>
      </c>
      <c r="AF14" s="20" t="s">
        <v>27</v>
      </c>
      <c r="AG14" s="23">
        <f t="shared" si="0"/>
        <v>1</v>
      </c>
    </row>
    <row r="15" spans="1:33" ht="14.25" customHeight="1" x14ac:dyDescent="0.2">
      <c r="A15" s="14" t="s">
        <v>146</v>
      </c>
      <c r="B15" s="20">
        <f>'MIC by location'!B15/'MIC by location'!$AG15</f>
        <v>4.5287084042823882E-2</v>
      </c>
      <c r="C15" s="20">
        <f>'MIC by location'!C15/'MIC by location'!$AG15</f>
        <v>0.59056496756305998</v>
      </c>
      <c r="D15" s="20" t="s">
        <v>27</v>
      </c>
      <c r="E15" s="20" t="s">
        <v>27</v>
      </c>
      <c r="F15" s="20" t="s">
        <v>27</v>
      </c>
      <c r="G15" s="20" t="s">
        <v>27</v>
      </c>
      <c r="H15" s="20">
        <f>'MIC by location'!H15/'MIC by location'!$AG15</f>
        <v>7.8207437922559728E-2</v>
      </c>
      <c r="I15" s="20" t="s">
        <v>27</v>
      </c>
      <c r="J15" s="20" t="s">
        <v>27</v>
      </c>
      <c r="K15" s="20">
        <f>'MIC by location'!K15/'MIC by location'!$AG15</f>
        <v>1.6517258923001116E-2</v>
      </c>
      <c r="L15" s="20" t="s">
        <v>27</v>
      </c>
      <c r="M15" s="20" t="s">
        <v>27</v>
      </c>
      <c r="N15" s="20" t="s">
        <v>27</v>
      </c>
      <c r="O15" s="20" t="s">
        <v>27</v>
      </c>
      <c r="P15" s="20">
        <f>'MIC by location'!P15/'MIC by location'!$AG15</f>
        <v>0.1021898311232339</v>
      </c>
      <c r="Q15" s="20" t="s">
        <v>27</v>
      </c>
      <c r="R15" s="20" t="s">
        <v>27</v>
      </c>
      <c r="S15" s="20" t="s">
        <v>27</v>
      </c>
      <c r="T15" s="20" t="s">
        <v>27</v>
      </c>
      <c r="U15" s="20" t="s">
        <v>27</v>
      </c>
      <c r="V15" s="20">
        <f>'MIC by location'!V15/'MIC by location'!$AG15</f>
        <v>1.9517390842736851E-3</v>
      </c>
      <c r="W15" s="20" t="s">
        <v>27</v>
      </c>
      <c r="X15" s="20">
        <f>'MIC by location'!X15/'MIC by location'!$AG15</f>
        <v>2.8894537111589895E-4</v>
      </c>
      <c r="Y15" s="20" t="s">
        <v>27</v>
      </c>
      <c r="Z15" s="20">
        <f>'MIC by location'!Z15/'MIC by location'!$AG15</f>
        <v>3.0585581192455323E-2</v>
      </c>
      <c r="AA15" s="20" t="s">
        <v>27</v>
      </c>
      <c r="AB15" s="20" t="s">
        <v>27</v>
      </c>
      <c r="AC15" s="20">
        <f>'MIC by location'!AC15/'MIC by location'!$AG15</f>
        <v>4.7352025981895855E-2</v>
      </c>
      <c r="AD15" s="20" t="s">
        <v>27</v>
      </c>
      <c r="AE15" s="20">
        <f>'MIC by location'!AE15/'MIC by location'!$AG15</f>
        <v>8.705512879558068E-2</v>
      </c>
      <c r="AF15" s="20" t="s">
        <v>27</v>
      </c>
      <c r="AG15" s="23">
        <f t="shared" si="0"/>
        <v>1</v>
      </c>
    </row>
    <row r="16" spans="1:33" ht="14.25" customHeight="1" x14ac:dyDescent="0.2">
      <c r="A16" s="14" t="s">
        <v>159</v>
      </c>
      <c r="B16" s="20">
        <f>'MIC by location'!B16/'MIC by location'!$AG16</f>
        <v>2.3162129873978653E-2</v>
      </c>
      <c r="C16" s="20">
        <f>'MIC by location'!C16/'MIC by location'!$AG16</f>
        <v>0.70660709964643964</v>
      </c>
      <c r="D16" s="20" t="s">
        <v>27</v>
      </c>
      <c r="E16" s="20" t="s">
        <v>27</v>
      </c>
      <c r="F16" s="20" t="s">
        <v>27</v>
      </c>
      <c r="G16" s="20" t="s">
        <v>27</v>
      </c>
      <c r="H16" s="20">
        <f>'MIC by location'!H16/'MIC by location'!$AG16</f>
        <v>7.744096804961649E-2</v>
      </c>
      <c r="I16" s="20" t="s">
        <v>27</v>
      </c>
      <c r="J16" s="20" t="s">
        <v>27</v>
      </c>
      <c r="K16" s="20" t="s">
        <v>27</v>
      </c>
      <c r="L16" s="20">
        <f>'MIC by location'!L16/'MIC by location'!$AG16</f>
        <v>7.1087020927101979E-2</v>
      </c>
      <c r="M16" s="20">
        <f>'MIC by location'!M16/'MIC by location'!$AG16</f>
        <v>3.603961748381404E-2</v>
      </c>
      <c r="N16" s="20">
        <f>'MIC by location'!N16/'MIC by location'!$AG16</f>
        <v>3.8177885596711252E-2</v>
      </c>
      <c r="O16" s="20">
        <f>'MIC by location'!O16/'MIC by location'!$AG16</f>
        <v>8.9303271979028877E-4</v>
      </c>
      <c r="P16" s="20">
        <f>'MIC by location'!P16/'MIC by location'!$AG16</f>
        <v>1.6923412135431814E-2</v>
      </c>
      <c r="Q16" s="20" t="s">
        <v>27</v>
      </c>
      <c r="R16" s="20" t="s">
        <v>27</v>
      </c>
      <c r="S16" s="20" t="s">
        <v>27</v>
      </c>
      <c r="T16" s="20" t="s">
        <v>27</v>
      </c>
      <c r="U16" s="20" t="s">
        <v>27</v>
      </c>
      <c r="V16" s="20" t="s">
        <v>27</v>
      </c>
      <c r="W16" s="20" t="s">
        <v>27</v>
      </c>
      <c r="X16" s="20">
        <f>'MIC by location'!X16/'MIC by location'!$AG16</f>
        <v>2.5635147716004296E-4</v>
      </c>
      <c r="Y16" s="20">
        <f>'MIC by location'!Y16/'MIC by location'!$AG16</f>
        <v>1.4107485447954462E-3</v>
      </c>
      <c r="Z16" s="20" t="s">
        <v>27</v>
      </c>
      <c r="AA16" s="20">
        <f>'MIC by location'!AA16/'MIC by location'!$AG16</f>
        <v>2.8001733545160321E-2</v>
      </c>
      <c r="AB16" s="20" t="s">
        <v>27</v>
      </c>
      <c r="AC16" s="20" t="s">
        <v>27</v>
      </c>
      <c r="AD16" s="20" t="s">
        <v>27</v>
      </c>
      <c r="AE16" s="20" t="s">
        <v>27</v>
      </c>
      <c r="AF16" s="20" t="s">
        <v>27</v>
      </c>
      <c r="AG16" s="23">
        <f t="shared" si="0"/>
        <v>0.99999999999999989</v>
      </c>
    </row>
    <row r="17" spans="1:33" ht="14.25" customHeight="1" x14ac:dyDescent="0.2">
      <c r="A17" s="14" t="s">
        <v>171</v>
      </c>
      <c r="B17" s="20" t="s">
        <v>27</v>
      </c>
      <c r="C17" s="20">
        <f>'MIC by location'!C17/'MIC by location'!$AG17</f>
        <v>0.44480915141918337</v>
      </c>
      <c r="D17" s="20" t="s">
        <v>27</v>
      </c>
      <c r="E17" s="20" t="s">
        <v>27</v>
      </c>
      <c r="F17" s="20" t="s">
        <v>27</v>
      </c>
      <c r="G17" s="20" t="s">
        <v>27</v>
      </c>
      <c r="H17" s="20">
        <f>'MIC by location'!H17/'MIC by location'!$AG17</f>
        <v>2.9486511354116132E-2</v>
      </c>
      <c r="I17" s="20" t="s">
        <v>27</v>
      </c>
      <c r="J17" s="20" t="s">
        <v>27</v>
      </c>
      <c r="K17" s="20" t="s">
        <v>27</v>
      </c>
      <c r="L17" s="20" t="s">
        <v>27</v>
      </c>
      <c r="M17" s="20">
        <f>'MIC by location'!M17/'MIC by location'!$AG17</f>
        <v>0.50045800478766578</v>
      </c>
      <c r="N17" s="20" t="s">
        <v>27</v>
      </c>
      <c r="O17" s="20" t="s">
        <v>27</v>
      </c>
      <c r="P17" s="20" t="s">
        <v>27</v>
      </c>
      <c r="Q17" s="20" t="s">
        <v>27</v>
      </c>
      <c r="R17" s="20" t="s">
        <v>27</v>
      </c>
      <c r="S17" s="20" t="s">
        <v>27</v>
      </c>
      <c r="T17" s="20" t="s">
        <v>27</v>
      </c>
      <c r="U17" s="20" t="s">
        <v>27</v>
      </c>
      <c r="V17" s="20">
        <f>'MIC by location'!V17/'MIC by location'!$AG17</f>
        <v>3.8218711888356616E-3</v>
      </c>
      <c r="W17" s="20" t="s">
        <v>27</v>
      </c>
      <c r="X17" s="20" t="s">
        <v>27</v>
      </c>
      <c r="Y17" s="20" t="s">
        <v>27</v>
      </c>
      <c r="Z17" s="20" t="s">
        <v>27</v>
      </c>
      <c r="AA17" s="20">
        <f>'MIC by location'!AA17/'MIC by location'!$AG17</f>
        <v>2.1424461250199006E-2</v>
      </c>
      <c r="AB17" s="20" t="s">
        <v>27</v>
      </c>
      <c r="AC17" s="20" t="s">
        <v>27</v>
      </c>
      <c r="AD17" s="20" t="s">
        <v>27</v>
      </c>
      <c r="AE17" s="20" t="s">
        <v>27</v>
      </c>
      <c r="AF17" s="20" t="s">
        <v>27</v>
      </c>
      <c r="AG17" s="23">
        <f t="shared" si="0"/>
        <v>1</v>
      </c>
    </row>
    <row r="18" spans="1:33" ht="14.25" customHeight="1" x14ac:dyDescent="0.2">
      <c r="A18" s="14" t="s">
        <v>141</v>
      </c>
      <c r="B18" s="20">
        <f>'MIC by location'!B18/'MIC by location'!$AG18</f>
        <v>8.544369255707231E-3</v>
      </c>
      <c r="C18" s="20">
        <f>'MIC by location'!C18/'MIC by location'!$AG18</f>
        <v>0.1907921422637793</v>
      </c>
      <c r="D18" s="20" t="s">
        <v>27</v>
      </c>
      <c r="E18" s="20" t="s">
        <v>27</v>
      </c>
      <c r="F18" s="20" t="s">
        <v>27</v>
      </c>
      <c r="G18" s="20">
        <f>'MIC by location'!G18/'MIC by location'!$AG18</f>
        <v>0.37135283575388395</v>
      </c>
      <c r="H18" s="20" t="s">
        <v>27</v>
      </c>
      <c r="I18" s="20" t="s">
        <v>27</v>
      </c>
      <c r="J18" s="20" t="s">
        <v>27</v>
      </c>
      <c r="K18" s="20" t="s">
        <v>27</v>
      </c>
      <c r="L18" s="20">
        <f>'MIC by location'!L18/'MIC by location'!$AG18</f>
        <v>0.18567641787694197</v>
      </c>
      <c r="M18" s="20">
        <f>'MIC by location'!M18/'MIC by location'!$AG18</f>
        <v>0.22432753034629743</v>
      </c>
      <c r="N18" s="20" t="s">
        <v>27</v>
      </c>
      <c r="O18" s="20" t="s">
        <v>27</v>
      </c>
      <c r="P18" s="20" t="s">
        <v>27</v>
      </c>
      <c r="Q18" s="20" t="s">
        <v>27</v>
      </c>
      <c r="R18" s="20" t="s">
        <v>27</v>
      </c>
      <c r="S18" s="20" t="s">
        <v>27</v>
      </c>
      <c r="T18" s="20" t="s">
        <v>27</v>
      </c>
      <c r="U18" s="20" t="s">
        <v>27</v>
      </c>
      <c r="V18" s="20">
        <f>'MIC by location'!V18/'MIC by location'!$AG18</f>
        <v>1.0988966960055082E-3</v>
      </c>
      <c r="W18" s="20" t="s">
        <v>27</v>
      </c>
      <c r="X18" s="20" t="s">
        <v>27</v>
      </c>
      <c r="Y18" s="20" t="s">
        <v>27</v>
      </c>
      <c r="Z18" s="20" t="s">
        <v>27</v>
      </c>
      <c r="AA18" s="20" t="s">
        <v>27</v>
      </c>
      <c r="AB18" s="20" t="s">
        <v>27</v>
      </c>
      <c r="AC18" s="20">
        <f>'MIC by location'!AC18/'MIC by location'!$AG18</f>
        <v>1.8207807807384711E-2</v>
      </c>
      <c r="AD18" s="20" t="s">
        <v>27</v>
      </c>
      <c r="AE18" s="20" t="s">
        <v>27</v>
      </c>
      <c r="AF18" s="20" t="s">
        <v>27</v>
      </c>
      <c r="AG18" s="23">
        <f t="shared" si="0"/>
        <v>1</v>
      </c>
    </row>
    <row r="19" spans="1:33" ht="14.25" customHeight="1" x14ac:dyDescent="0.2">
      <c r="A19" s="14" t="s">
        <v>187</v>
      </c>
      <c r="B19" s="20">
        <f>'MIC by location'!B19/'MIC by location'!$AG19</f>
        <v>1.1622615518959009E-2</v>
      </c>
      <c r="C19" s="20">
        <f>'MIC by location'!C19/'MIC by location'!$AG19</f>
        <v>0.68126119950097896</v>
      </c>
      <c r="D19" s="20" t="s">
        <v>27</v>
      </c>
      <c r="E19" s="20" t="s">
        <v>27</v>
      </c>
      <c r="F19" s="20" t="s">
        <v>27</v>
      </c>
      <c r="G19" s="20" t="s">
        <v>27</v>
      </c>
      <c r="H19" s="20">
        <f>'MIC by location'!H19/'MIC by location'!$AG19</f>
        <v>2.7649365448506765E-2</v>
      </c>
      <c r="I19" s="20" t="s">
        <v>27</v>
      </c>
      <c r="J19" s="20" t="s">
        <v>27</v>
      </c>
      <c r="K19" s="20" t="s">
        <v>27</v>
      </c>
      <c r="L19" s="20" t="s">
        <v>27</v>
      </c>
      <c r="M19" s="20" t="s">
        <v>27</v>
      </c>
      <c r="N19" s="20" t="s">
        <v>27</v>
      </c>
      <c r="O19" s="20" t="s">
        <v>27</v>
      </c>
      <c r="P19" s="20" t="s">
        <v>27</v>
      </c>
      <c r="Q19" s="20" t="s">
        <v>27</v>
      </c>
      <c r="R19" s="20" t="s">
        <v>27</v>
      </c>
      <c r="S19" s="20">
        <f>'MIC by location'!S19/'MIC by location'!$AG19</f>
        <v>0.26355824756518637</v>
      </c>
      <c r="T19" s="20" t="s">
        <v>27</v>
      </c>
      <c r="U19" s="20" t="s">
        <v>27</v>
      </c>
      <c r="V19" s="20" t="s">
        <v>27</v>
      </c>
      <c r="W19" s="20" t="s">
        <v>27</v>
      </c>
      <c r="X19" s="20" t="s">
        <v>27</v>
      </c>
      <c r="Y19" s="20" t="s">
        <v>27</v>
      </c>
      <c r="Z19" s="20" t="s">
        <v>27</v>
      </c>
      <c r="AA19" s="20" t="s">
        <v>27</v>
      </c>
      <c r="AB19" s="20">
        <f>'MIC by location'!AB19/'MIC by location'!$AG19</f>
        <v>1.5908571966369012E-2</v>
      </c>
      <c r="AC19" s="20" t="s">
        <v>27</v>
      </c>
      <c r="AD19" s="20" t="s">
        <v>27</v>
      </c>
      <c r="AE19" s="20" t="s">
        <v>27</v>
      </c>
      <c r="AF19" s="20" t="s">
        <v>27</v>
      </c>
      <c r="AG19" s="23">
        <f t="shared" si="0"/>
        <v>1</v>
      </c>
    </row>
    <row r="20" spans="1:33" ht="14.25" customHeight="1" x14ac:dyDescent="0.2">
      <c r="A20" s="14" t="s">
        <v>145</v>
      </c>
      <c r="B20" s="20">
        <f>'MIC by location'!B20/'MIC by location'!$AG20</f>
        <v>6.1592564351557411E-2</v>
      </c>
      <c r="C20" s="20">
        <f>'MIC by location'!C20/'MIC by location'!$AG20</f>
        <v>0.68507294861659951</v>
      </c>
      <c r="D20" s="20" t="s">
        <v>27</v>
      </c>
      <c r="E20" s="20" t="s">
        <v>27</v>
      </c>
      <c r="F20" s="20" t="s">
        <v>27</v>
      </c>
      <c r="G20" s="20" t="s">
        <v>27</v>
      </c>
      <c r="H20" s="20">
        <f>'MIC by location'!H20/'MIC by location'!$AG20</f>
        <v>6.0158666947050195E-2</v>
      </c>
      <c r="I20" s="20" t="s">
        <v>27</v>
      </c>
      <c r="J20" s="20" t="s">
        <v>27</v>
      </c>
      <c r="K20" s="20">
        <f>'MIC by location'!K20/'MIC by location'!$AG20</f>
        <v>3.9014425351723302E-2</v>
      </c>
      <c r="L20" s="20" t="s">
        <v>27</v>
      </c>
      <c r="M20" s="20" t="s">
        <v>27</v>
      </c>
      <c r="N20" s="20" t="s">
        <v>27</v>
      </c>
      <c r="O20" s="20" t="s">
        <v>27</v>
      </c>
      <c r="P20" s="20">
        <f>'MIC by location'!P20/'MIC by location'!$AG20</f>
        <v>8.3358526614886921E-2</v>
      </c>
      <c r="Q20" s="20" t="s">
        <v>27</v>
      </c>
      <c r="R20" s="20" t="s">
        <v>27</v>
      </c>
      <c r="S20" s="20" t="s">
        <v>27</v>
      </c>
      <c r="T20" s="20" t="s">
        <v>27</v>
      </c>
      <c r="U20" s="20" t="s">
        <v>27</v>
      </c>
      <c r="V20" s="20">
        <f>'MIC by location'!V20/'MIC by location'!$AG20</f>
        <v>2.2775082501561628E-3</v>
      </c>
      <c r="W20" s="20" t="s">
        <v>27</v>
      </c>
      <c r="X20" s="20">
        <f>'MIC by location'!X20/'MIC by location'!$AG20</f>
        <v>7.9900225672351194E-3</v>
      </c>
      <c r="Y20" s="20" t="s">
        <v>27</v>
      </c>
      <c r="Z20" s="20" t="s">
        <v>27</v>
      </c>
      <c r="AA20" s="20">
        <f>'MIC by location'!AA20/'MIC by location'!$AG20</f>
        <v>3.0817902794586117E-2</v>
      </c>
      <c r="AB20" s="20" t="s">
        <v>27</v>
      </c>
      <c r="AC20" s="20">
        <f>'MIC by location'!AC20/'MIC by location'!$AG20</f>
        <v>2.9717434506205197E-2</v>
      </c>
      <c r="AD20" s="20" t="s">
        <v>27</v>
      </c>
      <c r="AE20" s="20" t="s">
        <v>27</v>
      </c>
      <c r="AF20" s="20" t="s">
        <v>27</v>
      </c>
      <c r="AG20" s="23">
        <f t="shared" si="0"/>
        <v>1</v>
      </c>
    </row>
    <row r="21" spans="1:33" ht="14.25" customHeight="1" x14ac:dyDescent="0.2">
      <c r="A21" s="14" t="s">
        <v>148</v>
      </c>
      <c r="B21" s="20">
        <f>'MIC by location'!B21/'MIC by location'!$AG21</f>
        <v>5.218086267683332E-2</v>
      </c>
      <c r="C21" s="20">
        <f>'MIC by location'!C21/'MIC by location'!$AG21</f>
        <v>0.65351205738513918</v>
      </c>
      <c r="D21" s="20" t="s">
        <v>27</v>
      </c>
      <c r="E21" s="20" t="s">
        <v>27</v>
      </c>
      <c r="F21" s="20" t="s">
        <v>27</v>
      </c>
      <c r="G21" s="20" t="s">
        <v>27</v>
      </c>
      <c r="H21" s="20">
        <f>'MIC by location'!H21/'MIC by location'!$AG21</f>
        <v>4.6080978405362384E-2</v>
      </c>
      <c r="I21" s="20" t="s">
        <v>27</v>
      </c>
      <c r="J21" s="20" t="s">
        <v>27</v>
      </c>
      <c r="K21" s="20" t="s">
        <v>27</v>
      </c>
      <c r="L21" s="20" t="s">
        <v>27</v>
      </c>
      <c r="M21" s="20" t="s">
        <v>27</v>
      </c>
      <c r="N21" s="20">
        <f>'MIC by location'!N21/'MIC by location'!$AG21</f>
        <v>0.18929491134477644</v>
      </c>
      <c r="O21" s="20" t="s">
        <v>27</v>
      </c>
      <c r="P21" s="20" t="s">
        <v>27</v>
      </c>
      <c r="Q21" s="20" t="s">
        <v>27</v>
      </c>
      <c r="R21" s="20" t="s">
        <v>27</v>
      </c>
      <c r="S21" s="20" t="s">
        <v>27</v>
      </c>
      <c r="T21" s="20" t="s">
        <v>27</v>
      </c>
      <c r="U21" s="20" t="s">
        <v>27</v>
      </c>
      <c r="V21" s="20" t="s">
        <v>27</v>
      </c>
      <c r="W21" s="20">
        <f>'MIC by location'!W21/'MIC by location'!$AG21</f>
        <v>4.1771481407981408E-3</v>
      </c>
      <c r="X21" s="20" t="s">
        <v>27</v>
      </c>
      <c r="Y21" s="20" t="s">
        <v>27</v>
      </c>
      <c r="Z21" s="20" t="s">
        <v>27</v>
      </c>
      <c r="AA21" s="20">
        <f>'MIC by location'!AA21/'MIC by location'!$AG21</f>
        <v>2.8924825557192581E-2</v>
      </c>
      <c r="AB21" s="20" t="s">
        <v>27</v>
      </c>
      <c r="AC21" s="20" t="s">
        <v>27</v>
      </c>
      <c r="AD21" s="20" t="s">
        <v>27</v>
      </c>
      <c r="AE21" s="20" t="s">
        <v>27</v>
      </c>
      <c r="AF21" s="20" t="s">
        <v>27</v>
      </c>
      <c r="AG21" s="23">
        <f t="shared" si="0"/>
        <v>0.97417078351010211</v>
      </c>
    </row>
    <row r="22" spans="1:33" ht="14.25" customHeight="1" x14ac:dyDescent="0.2">
      <c r="A22" s="14" t="s">
        <v>151</v>
      </c>
      <c r="B22" s="20">
        <f>'MIC by location'!B22/'MIC by location'!$AG22</f>
        <v>6.5620554807277645E-2</v>
      </c>
      <c r="C22" s="20">
        <f>'MIC by location'!C22/'MIC by location'!$AG22</f>
        <v>0.73136320573861591</v>
      </c>
      <c r="D22" s="20" t="s">
        <v>27</v>
      </c>
      <c r="E22" s="20" t="s">
        <v>27</v>
      </c>
      <c r="F22" s="20" t="s">
        <v>27</v>
      </c>
      <c r="G22" s="20" t="s">
        <v>27</v>
      </c>
      <c r="H22" s="20" t="s">
        <v>27</v>
      </c>
      <c r="I22" s="20" t="s">
        <v>27</v>
      </c>
      <c r="J22" s="20" t="s">
        <v>27</v>
      </c>
      <c r="K22" s="20">
        <f>'MIC by location'!K22/'MIC by location'!$AG22</f>
        <v>6.9034898749396403E-2</v>
      </c>
      <c r="L22" s="20" t="s">
        <v>27</v>
      </c>
      <c r="M22" s="20" t="s">
        <v>27</v>
      </c>
      <c r="N22" s="20" t="s">
        <v>27</v>
      </c>
      <c r="O22" s="20" t="s">
        <v>27</v>
      </c>
      <c r="P22" s="20">
        <f>'MIC by location'!P22/'MIC by location'!$AG22</f>
        <v>6.662680513011475E-2</v>
      </c>
      <c r="Q22" s="20" t="s">
        <v>27</v>
      </c>
      <c r="R22" s="20" t="s">
        <v>27</v>
      </c>
      <c r="S22" s="20" t="s">
        <v>27</v>
      </c>
      <c r="T22" s="20">
        <f>'MIC by location'!T22/'MIC by location'!$AG22</f>
        <v>3.6052700919213282E-2</v>
      </c>
      <c r="U22" s="20" t="s">
        <v>27</v>
      </c>
      <c r="V22" s="20">
        <f>'MIC by location'!V22/'MIC by location'!$AG22</f>
        <v>8.4016931455852921E-3</v>
      </c>
      <c r="W22" s="20" t="s">
        <v>27</v>
      </c>
      <c r="X22" s="20" t="s">
        <v>27</v>
      </c>
      <c r="Y22" s="20" t="s">
        <v>27</v>
      </c>
      <c r="Z22" s="20" t="s">
        <v>27</v>
      </c>
      <c r="AA22" s="20" t="s">
        <v>27</v>
      </c>
      <c r="AB22" s="20" t="s">
        <v>27</v>
      </c>
      <c r="AC22" s="20" t="s">
        <v>27</v>
      </c>
      <c r="AD22" s="20">
        <f>'MIC by location'!AD22/'MIC by location'!$AG22</f>
        <v>2.2900141509796589E-2</v>
      </c>
      <c r="AE22" s="20" t="s">
        <v>27</v>
      </c>
      <c r="AF22" s="20" t="s">
        <v>27</v>
      </c>
      <c r="AG22" s="23">
        <f t="shared" si="0"/>
        <v>0.99999999999999989</v>
      </c>
    </row>
    <row r="23" spans="1:33" ht="14.25" customHeight="1" x14ac:dyDescent="0.2">
      <c r="A23" s="14" t="s">
        <v>158</v>
      </c>
      <c r="B23" s="20" t="s">
        <v>27</v>
      </c>
      <c r="C23" s="20">
        <f>'MIC by location'!C23/'MIC by location'!$AG23</f>
        <v>0.21897312777265349</v>
      </c>
      <c r="D23" s="20" t="s">
        <v>27</v>
      </c>
      <c r="E23" s="20" t="s">
        <v>27</v>
      </c>
      <c r="F23" s="20" t="s">
        <v>27</v>
      </c>
      <c r="G23" s="20">
        <f>'MIC by location'!G23/'MIC by location'!$AG23</f>
        <v>0.28310887054443773</v>
      </c>
      <c r="H23" s="20">
        <f>'MIC by location'!H23/'MIC by location'!$AG23</f>
        <v>1.254845978669695E-2</v>
      </c>
      <c r="I23" s="20" t="s">
        <v>27</v>
      </c>
      <c r="J23" s="20" t="s">
        <v>27</v>
      </c>
      <c r="K23" s="20" t="s">
        <v>27</v>
      </c>
      <c r="L23" s="20" t="s">
        <v>27</v>
      </c>
      <c r="M23" s="20" t="s">
        <v>27</v>
      </c>
      <c r="N23" s="20" t="s">
        <v>27</v>
      </c>
      <c r="O23" s="20" t="s">
        <v>27</v>
      </c>
      <c r="P23" s="20" t="s">
        <v>27</v>
      </c>
      <c r="Q23" s="20" t="s">
        <v>27</v>
      </c>
      <c r="R23" s="20" t="s">
        <v>27</v>
      </c>
      <c r="S23" s="20">
        <f>'MIC by location'!S23/'MIC by location'!$AG23</f>
        <v>0.45750661506103757</v>
      </c>
      <c r="T23" s="20" t="s">
        <v>27</v>
      </c>
      <c r="U23" s="20" t="s">
        <v>27</v>
      </c>
      <c r="V23" s="20" t="s">
        <v>27</v>
      </c>
      <c r="W23" s="20" t="s">
        <v>27</v>
      </c>
      <c r="X23" s="20" t="s">
        <v>27</v>
      </c>
      <c r="Y23" s="20" t="s">
        <v>27</v>
      </c>
      <c r="Z23" s="20" t="s">
        <v>27</v>
      </c>
      <c r="AA23" s="20" t="s">
        <v>27</v>
      </c>
      <c r="AB23" s="20" t="s">
        <v>27</v>
      </c>
      <c r="AC23" s="20">
        <f>'MIC by location'!AC23/'MIC by location'!$AG23</f>
        <v>2.7862926835174173E-2</v>
      </c>
      <c r="AD23" s="20" t="s">
        <v>27</v>
      </c>
      <c r="AE23" s="20" t="s">
        <v>27</v>
      </c>
      <c r="AF23" s="20" t="s">
        <v>27</v>
      </c>
      <c r="AG23" s="23">
        <f t="shared" si="0"/>
        <v>1</v>
      </c>
    </row>
    <row r="24" spans="1:33" ht="14.25" customHeight="1" x14ac:dyDescent="0.2">
      <c r="A24" s="14" t="s">
        <v>161</v>
      </c>
      <c r="B24" s="20">
        <f>'MIC by location'!B24/'MIC by location'!$AG24</f>
        <v>4.4089207509753009E-2</v>
      </c>
      <c r="C24" s="20">
        <f>'MIC by location'!C24/'MIC by location'!$AG24</f>
        <v>0.73536847685251072</v>
      </c>
      <c r="D24" s="20" t="s">
        <v>27</v>
      </c>
      <c r="E24" s="20" t="s">
        <v>27</v>
      </c>
      <c r="F24" s="20" t="s">
        <v>27</v>
      </c>
      <c r="G24" s="20" t="s">
        <v>27</v>
      </c>
      <c r="H24" s="20" t="s">
        <v>27</v>
      </c>
      <c r="I24" s="20" t="s">
        <v>27</v>
      </c>
      <c r="J24" s="20" t="s">
        <v>27</v>
      </c>
      <c r="K24" s="20">
        <f>'MIC by location'!K24/'MIC by location'!$AG24</f>
        <v>5.869766502264074E-2</v>
      </c>
      <c r="L24" s="20" t="s">
        <v>27</v>
      </c>
      <c r="M24" s="20" t="s">
        <v>27</v>
      </c>
      <c r="N24" s="20" t="s">
        <v>27</v>
      </c>
      <c r="O24" s="20" t="s">
        <v>27</v>
      </c>
      <c r="P24" s="20">
        <f>'MIC by location'!P24/'MIC by location'!$AG24</f>
        <v>4.8208771732120639E-2</v>
      </c>
      <c r="Q24" s="20" t="s">
        <v>27</v>
      </c>
      <c r="R24" s="20" t="s">
        <v>27</v>
      </c>
      <c r="S24" s="20" t="s">
        <v>27</v>
      </c>
      <c r="T24" s="20" t="s">
        <v>27</v>
      </c>
      <c r="U24" s="20">
        <f>'MIC by location'!U24/'MIC by location'!$AG24</f>
        <v>2.8644506974012524E-2</v>
      </c>
      <c r="V24" s="20">
        <f>'MIC by location'!V24/'MIC by location'!$AG24</f>
        <v>2.3050165311803311E-3</v>
      </c>
      <c r="W24" s="20" t="s">
        <v>27</v>
      </c>
      <c r="X24" s="20" t="s">
        <v>27</v>
      </c>
      <c r="Y24" s="20" t="s">
        <v>27</v>
      </c>
      <c r="Z24" s="20" t="s">
        <v>27</v>
      </c>
      <c r="AA24" s="20" t="s">
        <v>27</v>
      </c>
      <c r="AB24" s="20" t="s">
        <v>27</v>
      </c>
      <c r="AC24" s="20">
        <f>'MIC by location'!AC24/'MIC by location'!$AG24</f>
        <v>8.2686355377782086E-2</v>
      </c>
      <c r="AD24" s="20" t="s">
        <v>27</v>
      </c>
      <c r="AE24" s="20" t="s">
        <v>27</v>
      </c>
      <c r="AF24" s="20" t="s">
        <v>27</v>
      </c>
      <c r="AG24" s="23">
        <f t="shared" si="0"/>
        <v>1</v>
      </c>
    </row>
    <row r="25" spans="1:33" ht="14.25" customHeight="1" x14ac:dyDescent="0.2">
      <c r="A25" s="14" t="s">
        <v>163</v>
      </c>
      <c r="B25" s="20">
        <f>'MIC by location'!B25/'MIC by location'!$AG25</f>
        <v>1.3196717615302389E-2</v>
      </c>
      <c r="C25" s="20">
        <f>'MIC by location'!C25/'MIC by location'!$AG25</f>
        <v>0.20987243666461577</v>
      </c>
      <c r="D25" s="20">
        <f>'MIC by location'!D25/'MIC by location'!$AG25</f>
        <v>7.7248612243777312E-2</v>
      </c>
      <c r="E25" s="20" t="s">
        <v>27</v>
      </c>
      <c r="F25" s="20" t="s">
        <v>27</v>
      </c>
      <c r="G25" s="20">
        <f>'MIC by location'!G25/'MIC by location'!$AG25</f>
        <v>0.26793982791213711</v>
      </c>
      <c r="H25" s="20">
        <f>'MIC by location'!H25/'MIC by location'!$AG25</f>
        <v>6.1585009139406076E-4</v>
      </c>
      <c r="I25" s="20" t="s">
        <v>27</v>
      </c>
      <c r="J25" s="20" t="s">
        <v>27</v>
      </c>
      <c r="K25" s="20" t="s">
        <v>27</v>
      </c>
      <c r="L25" s="20">
        <f>'MIC by location'!L25/'MIC by location'!$AG25</f>
        <v>0.28421043752530628</v>
      </c>
      <c r="M25" s="20">
        <f>'MIC by location'!M25/'MIC by location'!$AG25</f>
        <v>1.0660685445306088E-2</v>
      </c>
      <c r="N25" s="20">
        <f>'MIC by location'!N25/'MIC by location'!$AG25</f>
        <v>0.12704844416931957</v>
      </c>
      <c r="O25" s="20" t="s">
        <v>27</v>
      </c>
      <c r="P25" s="20" t="s">
        <v>27</v>
      </c>
      <c r="Q25" s="20" t="s">
        <v>27</v>
      </c>
      <c r="R25" s="20" t="s">
        <v>27</v>
      </c>
      <c r="S25" s="20" t="s">
        <v>27</v>
      </c>
      <c r="T25" s="20" t="s">
        <v>27</v>
      </c>
      <c r="U25" s="20" t="s">
        <v>27</v>
      </c>
      <c r="V25" s="20" t="s">
        <v>27</v>
      </c>
      <c r="W25" s="20">
        <f>'MIC by location'!W25/'MIC by location'!$AG25</f>
        <v>1.0368911395696068E-3</v>
      </c>
      <c r="X25" s="20" t="s">
        <v>27</v>
      </c>
      <c r="Y25" s="20" t="s">
        <v>27</v>
      </c>
      <c r="Z25" s="20" t="s">
        <v>27</v>
      </c>
      <c r="AA25" s="20" t="s">
        <v>27</v>
      </c>
      <c r="AB25" s="20">
        <f>'MIC by location'!AB25/'MIC by location'!$AG25</f>
        <v>8.1700971932715648E-3</v>
      </c>
      <c r="AC25" s="20" t="s">
        <v>27</v>
      </c>
      <c r="AD25" s="20" t="s">
        <v>27</v>
      </c>
      <c r="AE25" s="20" t="s">
        <v>27</v>
      </c>
      <c r="AF25" s="20" t="s">
        <v>27</v>
      </c>
      <c r="AG25" s="23">
        <f t="shared" si="0"/>
        <v>0.99999999999999978</v>
      </c>
    </row>
    <row r="26" spans="1:33" ht="14.25" customHeight="1" x14ac:dyDescent="0.2">
      <c r="A26" s="14" t="s">
        <v>236</v>
      </c>
      <c r="B26" s="20">
        <f>'MIC by location'!B26/'MIC by location'!$AG26</f>
        <v>8.2260601469548875E-2</v>
      </c>
      <c r="C26" s="20">
        <f>'MIC by location'!C26/'MIC by location'!$AG26</f>
        <v>0.36593383503965987</v>
      </c>
      <c r="D26" s="20" t="s">
        <v>27</v>
      </c>
      <c r="E26" s="20" t="s">
        <v>27</v>
      </c>
      <c r="F26" s="20" t="s">
        <v>27</v>
      </c>
      <c r="G26" s="20" t="s">
        <v>27</v>
      </c>
      <c r="H26" s="20">
        <f>'MIC by location'!H26/'MIC by location'!$AG26</f>
        <v>2.1468670258729488E-2</v>
      </c>
      <c r="I26" s="20" t="s">
        <v>27</v>
      </c>
      <c r="J26" s="20" t="s">
        <v>27</v>
      </c>
      <c r="K26" s="20" t="s">
        <v>27</v>
      </c>
      <c r="L26" s="20" t="s">
        <v>27</v>
      </c>
      <c r="M26" s="20">
        <f>'MIC by location'!M26/'MIC by location'!$AG26</f>
        <v>0.48368394720762525</v>
      </c>
      <c r="N26" s="20" t="s">
        <v>27</v>
      </c>
      <c r="O26" s="20" t="s">
        <v>27</v>
      </c>
      <c r="P26" s="20" t="s">
        <v>27</v>
      </c>
      <c r="Q26" s="20" t="s">
        <v>27</v>
      </c>
      <c r="R26" s="20" t="s">
        <v>27</v>
      </c>
      <c r="S26" s="20" t="s">
        <v>27</v>
      </c>
      <c r="T26" s="20" t="s">
        <v>27</v>
      </c>
      <c r="U26" s="20" t="s">
        <v>27</v>
      </c>
      <c r="V26" s="20" t="s">
        <v>27</v>
      </c>
      <c r="W26" s="20">
        <f>'MIC by location'!W26/'MIC by location'!$AG26</f>
        <v>9.0211245351519165E-5</v>
      </c>
      <c r="X26" s="20" t="s">
        <v>27</v>
      </c>
      <c r="Y26" s="20" t="s">
        <v>27</v>
      </c>
      <c r="Z26" s="20" t="s">
        <v>27</v>
      </c>
      <c r="AA26" s="20" t="s">
        <v>27</v>
      </c>
      <c r="AB26" s="20" t="s">
        <v>27</v>
      </c>
      <c r="AC26" s="20">
        <f>'MIC by location'!AC26/'MIC by location'!$AG26</f>
        <v>4.6562734779084916E-2</v>
      </c>
      <c r="AD26" s="20" t="s">
        <v>27</v>
      </c>
      <c r="AE26" s="20" t="s">
        <v>27</v>
      </c>
      <c r="AF26" s="20" t="s">
        <v>27</v>
      </c>
      <c r="AG26" s="23">
        <f t="shared" si="0"/>
        <v>0.99999999999999989</v>
      </c>
    </row>
    <row r="27" spans="1:33" ht="14.25" customHeight="1" x14ac:dyDescent="0.2">
      <c r="A27" s="42" t="s">
        <v>170</v>
      </c>
      <c r="B27" s="23">
        <f t="shared" ref="B27:AF27" si="1">AVERAGE(B4:B26)</f>
        <v>5.4278956619405058E-2</v>
      </c>
      <c r="C27" s="23">
        <f t="shared" si="1"/>
        <v>0.51902434439464584</v>
      </c>
      <c r="D27" s="23">
        <f t="shared" si="1"/>
        <v>7.7248612243777312E-2</v>
      </c>
      <c r="E27" s="23">
        <f t="shared" si="1"/>
        <v>2.6373166087902751E-2</v>
      </c>
      <c r="F27" s="23">
        <f t="shared" si="1"/>
        <v>6.9435054102433613E-2</v>
      </c>
      <c r="G27" s="23">
        <f t="shared" si="1"/>
        <v>0.35215825120359445</v>
      </c>
      <c r="H27" s="23">
        <f t="shared" si="1"/>
        <v>4.1276485471385918E-2</v>
      </c>
      <c r="I27" s="23">
        <f t="shared" si="1"/>
        <v>1.3003365248334396E-2</v>
      </c>
      <c r="J27" s="23">
        <f t="shared" si="1"/>
        <v>0.49849843324498833</v>
      </c>
      <c r="K27" s="23">
        <f t="shared" si="1"/>
        <v>5.6559286862544363E-2</v>
      </c>
      <c r="L27" s="23">
        <f t="shared" si="1"/>
        <v>0.18032462544311675</v>
      </c>
      <c r="M27" s="23">
        <f t="shared" si="1"/>
        <v>0.23815175591750554</v>
      </c>
      <c r="N27" s="23">
        <f t="shared" si="1"/>
        <v>0.14323610574042323</v>
      </c>
      <c r="O27" s="23">
        <f t="shared" si="1"/>
        <v>1.9714826794791959E-2</v>
      </c>
      <c r="P27" s="23">
        <f t="shared" si="1"/>
        <v>8.5600448601403201E-2</v>
      </c>
      <c r="Q27" s="23">
        <f t="shared" si="1"/>
        <v>7.1031587500513154E-3</v>
      </c>
      <c r="R27" s="23">
        <f t="shared" si="1"/>
        <v>4.1601463131186296E-2</v>
      </c>
      <c r="S27" s="23">
        <f t="shared" si="1"/>
        <v>0.30961143825834075</v>
      </c>
      <c r="T27" s="23">
        <f t="shared" si="1"/>
        <v>3.6052700919213282E-2</v>
      </c>
      <c r="U27" s="23">
        <f t="shared" si="1"/>
        <v>2.8644506974012524E-2</v>
      </c>
      <c r="V27" s="23">
        <f t="shared" si="1"/>
        <v>2.827209358474074E-3</v>
      </c>
      <c r="W27" s="23">
        <f t="shared" si="1"/>
        <v>1.4546497052891824E-3</v>
      </c>
      <c r="X27" s="23">
        <f t="shared" si="1"/>
        <v>2.1246336216338246E-3</v>
      </c>
      <c r="Y27" s="23">
        <f t="shared" si="1"/>
        <v>1.4107485447954462E-3</v>
      </c>
      <c r="Z27" s="23">
        <f t="shared" si="1"/>
        <v>3.0585581192455323E-2</v>
      </c>
      <c r="AA27" s="23">
        <f t="shared" si="1"/>
        <v>2.0593635609028282E-2</v>
      </c>
      <c r="AB27" s="23">
        <f t="shared" si="1"/>
        <v>1.4416264249467644E-2</v>
      </c>
      <c r="AC27" s="23">
        <f t="shared" si="1"/>
        <v>4.4999421755524266E-2</v>
      </c>
      <c r="AD27" s="23">
        <f t="shared" si="1"/>
        <v>2.1849908740795183E-2</v>
      </c>
      <c r="AE27" s="23">
        <f t="shared" si="1"/>
        <v>0.10604884687942123</v>
      </c>
      <c r="AF27" s="23">
        <f t="shared" si="1"/>
        <v>2.0663932015663666E-3</v>
      </c>
      <c r="AG27" s="43"/>
    </row>
    <row r="28" spans="1:33" ht="14.25" customHeight="1" x14ac:dyDescent="0.2"/>
    <row r="29" spans="1:33" ht="14.25" customHeight="1" x14ac:dyDescent="0.2"/>
    <row r="30" spans="1:33" ht="14.25" customHeight="1" x14ac:dyDescent="0.2">
      <c r="A30" s="44" t="s">
        <v>173</v>
      </c>
      <c r="B30" s="23">
        <f t="shared" ref="B30:C30" si="2">B27</f>
        <v>5.4278956619405058E-2</v>
      </c>
      <c r="C30" s="23">
        <f t="shared" si="2"/>
        <v>0.51902434439464584</v>
      </c>
      <c r="D30" s="23"/>
      <c r="E30" s="174">
        <f>AVERAGE(E27:G27)</f>
        <v>0.14932215713131028</v>
      </c>
      <c r="F30" s="170"/>
      <c r="G30" s="170"/>
      <c r="H30" s="174">
        <f>AVERAGE(H27:L27)</f>
        <v>0.15793243925407396</v>
      </c>
      <c r="I30" s="170"/>
      <c r="J30" s="170"/>
      <c r="K30" s="170"/>
      <c r="L30" s="170"/>
      <c r="M30" s="174">
        <f>AVERAGE(M27:U27)</f>
        <v>0.10107960056521423</v>
      </c>
      <c r="N30" s="170"/>
      <c r="O30" s="170"/>
      <c r="P30" s="170"/>
      <c r="Q30" s="170"/>
      <c r="R30" s="170"/>
      <c r="S30" s="170"/>
      <c r="T30" s="170"/>
      <c r="U30" s="170"/>
      <c r="V30" s="174">
        <f>AVERAGE(V27:Z27)</f>
        <v>7.6805644845295701E-3</v>
      </c>
      <c r="W30" s="170"/>
      <c r="X30" s="170"/>
      <c r="Y30" s="170"/>
      <c r="Z30" s="170"/>
      <c r="AA30" s="174">
        <f>AVERAGE(AA27:AF27)</f>
        <v>3.4995745072633831E-2</v>
      </c>
      <c r="AB30" s="170"/>
      <c r="AC30" s="170"/>
      <c r="AD30" s="170"/>
      <c r="AE30" s="170"/>
      <c r="AF30" s="170"/>
    </row>
    <row r="31" spans="1:33" ht="14.25" customHeight="1" x14ac:dyDescent="0.2"/>
    <row r="32" spans="1:33" ht="14.25" customHeight="1" x14ac:dyDescent="0.2"/>
    <row r="33" spans="3:3" ht="14.25" customHeight="1" x14ac:dyDescent="0.2"/>
    <row r="34" spans="3:3" ht="14.25" customHeight="1" x14ac:dyDescent="0.2"/>
    <row r="35" spans="3:3" ht="14.25" customHeight="1" x14ac:dyDescent="0.2"/>
    <row r="36" spans="3:3" ht="14.25" customHeight="1" x14ac:dyDescent="0.2"/>
    <row r="37" spans="3:3" ht="14.25" customHeight="1" x14ac:dyDescent="0.2"/>
    <row r="38" spans="3:3" ht="14.25" customHeight="1" x14ac:dyDescent="0.2"/>
    <row r="39" spans="3:3" ht="14.25" customHeight="1" x14ac:dyDescent="0.2"/>
    <row r="40" spans="3:3" ht="14.25" customHeight="1" x14ac:dyDescent="0.2">
      <c r="C40" s="46"/>
    </row>
    <row r="41" spans="3:3" ht="14.25" customHeight="1" x14ac:dyDescent="0.2"/>
    <row r="42" spans="3:3" ht="14.25" customHeight="1" x14ac:dyDescent="0.2"/>
    <row r="43" spans="3:3" ht="14.25" customHeight="1" x14ac:dyDescent="0.2"/>
    <row r="44" spans="3:3" ht="14.25" customHeight="1" x14ac:dyDescent="0.2"/>
    <row r="45" spans="3:3" ht="14.25" customHeight="1" x14ac:dyDescent="0.2"/>
    <row r="46" spans="3:3" ht="14.25" customHeight="1" x14ac:dyDescent="0.2"/>
    <row r="47" spans="3:3" ht="14.25" customHeight="1" x14ac:dyDescent="0.2"/>
    <row r="48" spans="3: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1">
    <mergeCell ref="H30:L30"/>
    <mergeCell ref="M30:U30"/>
    <mergeCell ref="V30:Z30"/>
    <mergeCell ref="AA30:AF30"/>
    <mergeCell ref="B1:AF1"/>
    <mergeCell ref="E2:G2"/>
    <mergeCell ref="H2:L2"/>
    <mergeCell ref="M2:U2"/>
    <mergeCell ref="V2:Z2"/>
    <mergeCell ref="AA2:AF2"/>
    <mergeCell ref="E30:G30"/>
  </mergeCells>
  <conditionalFormatting sqref="B30:AF30">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sheetViews>
  <sheetFormatPr baseColWidth="10" defaultColWidth="14.5" defaultRowHeight="15" customHeight="1" x14ac:dyDescent="0.2"/>
  <cols>
    <col min="1" max="1" width="45.6640625" customWidth="1"/>
    <col min="2" max="2" width="12" customWidth="1"/>
    <col min="3" max="4" width="15.1640625" customWidth="1"/>
    <col min="5" max="5" width="19.83203125" customWidth="1"/>
    <col min="6" max="9" width="41.6640625" customWidth="1"/>
    <col min="10" max="26" width="8.6640625" customWidth="1"/>
  </cols>
  <sheetData>
    <row r="1" spans="1:10" ht="14.25" customHeight="1" x14ac:dyDescent="0.2">
      <c r="B1" s="169" t="s">
        <v>50</v>
      </c>
      <c r="C1" s="170"/>
      <c r="D1" s="170"/>
      <c r="E1" s="170"/>
      <c r="F1" s="170"/>
      <c r="G1" s="170"/>
      <c r="H1" s="170"/>
      <c r="I1" s="170"/>
    </row>
    <row r="2" spans="1:10" ht="42" customHeight="1" x14ac:dyDescent="0.2">
      <c r="A2" s="14" t="s">
        <v>105</v>
      </c>
      <c r="B2" s="17" t="s">
        <v>71</v>
      </c>
      <c r="C2" s="17" t="s">
        <v>72</v>
      </c>
      <c r="D2" s="15" t="s">
        <v>55</v>
      </c>
      <c r="E2" s="27" t="s">
        <v>56</v>
      </c>
      <c r="F2" s="27" t="s">
        <v>61</v>
      </c>
      <c r="G2" s="17" t="s">
        <v>106</v>
      </c>
      <c r="H2" s="17" t="s">
        <v>69</v>
      </c>
      <c r="I2" s="17" t="s">
        <v>70</v>
      </c>
    </row>
    <row r="3" spans="1:10" ht="14.25" customHeight="1" x14ac:dyDescent="0.2">
      <c r="A3" s="14" t="s">
        <v>99</v>
      </c>
      <c r="B3" s="20">
        <f>'MIC by location'!B4/'MIC by location'!$AG4</f>
        <v>5.5164964548207546E-2</v>
      </c>
      <c r="C3" s="20">
        <f>'MIC by location'!C4/'MIC by location'!$AG4</f>
        <v>0.64913159402264065</v>
      </c>
      <c r="D3" s="20" t="s">
        <v>27</v>
      </c>
      <c r="E3" s="20">
        <f>'MIC by location'!E4/'MIC by location'!$AG4</f>
        <v>1.0517078852968948E-2</v>
      </c>
      <c r="F3" s="20">
        <f>'MIC by location'!H4/'MIC by location'!$AG4</f>
        <v>7.0077037700781247E-2</v>
      </c>
      <c r="G3" s="20">
        <v>0.19883063144521196</v>
      </c>
      <c r="H3" s="23">
        <v>0</v>
      </c>
      <c r="I3" s="23">
        <v>1.9533129223106613E-2</v>
      </c>
      <c r="J3" s="23">
        <f t="shared" ref="J3:J25" si="0">SUM(B3:I3)</f>
        <v>1.003254435792917</v>
      </c>
    </row>
    <row r="4" spans="1:10" ht="14.25" customHeight="1" x14ac:dyDescent="0.2">
      <c r="A4" s="14" t="s">
        <v>108</v>
      </c>
      <c r="B4" s="20">
        <f>'MIC by location'!B5/'MIC by location'!$AG5</f>
        <v>2.1828479471131507E-2</v>
      </c>
      <c r="C4" s="20">
        <f>'MIC by location'!C5/'MIC by location'!$AG5</f>
        <v>0.11465463964634731</v>
      </c>
      <c r="D4" s="20" t="s">
        <v>27</v>
      </c>
      <c r="E4" s="20" t="s">
        <v>27</v>
      </c>
      <c r="F4" s="20">
        <f>'MIC by location'!J5/'MIC by location'!$AG5</f>
        <v>0.49849843324498833</v>
      </c>
      <c r="G4" s="20">
        <v>0.36501844763753283</v>
      </c>
      <c r="H4" s="23">
        <v>0</v>
      </c>
      <c r="I4" s="23">
        <v>0</v>
      </c>
      <c r="J4" s="23">
        <f t="shared" si="0"/>
        <v>1</v>
      </c>
    </row>
    <row r="5" spans="1:10" ht="14.25" customHeight="1" x14ac:dyDescent="0.2">
      <c r="A5" s="14" t="s">
        <v>101</v>
      </c>
      <c r="B5" s="20">
        <f>'MIC by location'!B6/'MIC by location'!$AG6</f>
        <v>2.0396310820025274E-2</v>
      </c>
      <c r="C5" s="20">
        <f>'MIC by location'!C6/'MIC by location'!$AG6</f>
        <v>0.6903183869718178</v>
      </c>
      <c r="D5" s="20" t="s">
        <v>27</v>
      </c>
      <c r="E5" s="20">
        <f>'MIC by location'!F6/'MIC by location'!$AG6</f>
        <v>6.9435054102433613E-2</v>
      </c>
      <c r="F5" s="20">
        <f>'MIC by location'!H6/'MIC by location'!$AG6+'MIC by location'!I6/'MIC by location'!$AG6</f>
        <v>6.0282992802120801E-2</v>
      </c>
      <c r="G5" s="20">
        <v>0.14386604970679159</v>
      </c>
      <c r="H5" s="23">
        <v>6.9442641540245196E-4</v>
      </c>
      <c r="I5" s="23">
        <v>2.2703621958768662E-2</v>
      </c>
      <c r="J5" s="23">
        <f t="shared" si="0"/>
        <v>1.00769684277736</v>
      </c>
    </row>
    <row r="6" spans="1:10" ht="14.25" customHeight="1" x14ac:dyDescent="0.2">
      <c r="A6" s="14" t="s">
        <v>102</v>
      </c>
      <c r="B6" s="20">
        <f>'MIC by location'!B7/'MIC by location'!$AG7</f>
        <v>8.702632477656376E-2</v>
      </c>
      <c r="C6" s="20">
        <f>'MIC by location'!C7/'MIC by location'!$AG7</f>
        <v>0.30059817495286512</v>
      </c>
      <c r="D6" s="20" t="s">
        <v>27</v>
      </c>
      <c r="E6" s="20" t="s">
        <v>27</v>
      </c>
      <c r="F6" s="20">
        <f>'MIC by location'!H7/'MIC by location'!$AG7</f>
        <v>2.3480459175367133E-2</v>
      </c>
      <c r="G6" s="20">
        <v>0.53540089842229976</v>
      </c>
      <c r="H6" s="23">
        <v>2.1685516969180436E-3</v>
      </c>
      <c r="I6" s="23">
        <v>5.1406422161366851E-2</v>
      </c>
      <c r="J6" s="23">
        <f t="shared" si="0"/>
        <v>1.0000808311853806</v>
      </c>
    </row>
    <row r="7" spans="1:10" ht="14.25" customHeight="1" x14ac:dyDescent="0.2">
      <c r="A7" s="14" t="s">
        <v>103</v>
      </c>
      <c r="B7" s="20" t="s">
        <v>27</v>
      </c>
      <c r="C7" s="20">
        <f>'MIC by location'!C8/'MIC by location'!$AG8</f>
        <v>0.68167005285710691</v>
      </c>
      <c r="D7" s="20" t="s">
        <v>27</v>
      </c>
      <c r="E7" s="20" t="s">
        <v>27</v>
      </c>
      <c r="F7" s="20">
        <f>'MIC by location'!K8/'MIC by location'!$AG8</f>
        <v>0.11278540502958398</v>
      </c>
      <c r="G7" s="20">
        <v>0.17722036841062697</v>
      </c>
      <c r="H7" s="23">
        <v>2.2017198681073906E-3</v>
      </c>
      <c r="I7" s="23">
        <v>3.3441008215415242E-2</v>
      </c>
      <c r="J7" s="23">
        <f t="shared" si="0"/>
        <v>1.0073185543808405</v>
      </c>
    </row>
    <row r="8" spans="1:10" ht="14.25" customHeight="1" x14ac:dyDescent="0.2">
      <c r="A8" s="14" t="s">
        <v>104</v>
      </c>
      <c r="B8" s="20">
        <f>'MIC by location'!B9/'MIC by location'!$AG9</f>
        <v>4.7981061461381369E-2</v>
      </c>
      <c r="C8" s="20">
        <f>'MIC by location'!C9/'MIC by location'!$AG9</f>
        <v>0.77961210770019196</v>
      </c>
      <c r="D8" s="20" t="s">
        <v>27</v>
      </c>
      <c r="E8" s="20" t="s">
        <v>27</v>
      </c>
      <c r="F8" s="20">
        <f>'MIC by location'!K9/'MIC by location'!$AG9</f>
        <v>5.1247582272104658E-2</v>
      </c>
      <c r="G8" s="20">
        <v>5.2124670488015036E-2</v>
      </c>
      <c r="H8" s="23">
        <v>5.2858548174536842E-3</v>
      </c>
      <c r="I8" s="23">
        <v>6.1454835193073896E-2</v>
      </c>
      <c r="J8" s="23">
        <f t="shared" si="0"/>
        <v>0.9977061119322207</v>
      </c>
    </row>
    <row r="9" spans="1:10" ht="14.25" customHeight="1" x14ac:dyDescent="0.2">
      <c r="A9" s="14" t="s">
        <v>111</v>
      </c>
      <c r="B9" s="20">
        <f>'MIC by location'!B10/'MIC by location'!$AG10</f>
        <v>0.24751117088460867</v>
      </c>
      <c r="C9" s="20">
        <f>'MIC by location'!C10/'MIC by location'!$AG10</f>
        <v>0.62176719256036961</v>
      </c>
      <c r="D9" s="20" t="s">
        <v>27</v>
      </c>
      <c r="E9" s="20" t="s">
        <v>27</v>
      </c>
      <c r="F9" s="20">
        <f>'MIC by location'!K10/'MIC by location'!$AG10</f>
        <v>4.4502588238795271E-2</v>
      </c>
      <c r="G9" s="20">
        <v>7.1304074368022385E-3</v>
      </c>
      <c r="H9" s="23">
        <v>0</v>
      </c>
      <c r="I9" s="23">
        <v>8.3405962175565798E-2</v>
      </c>
      <c r="J9" s="23">
        <f t="shared" si="0"/>
        <v>1.0043173212961416</v>
      </c>
    </row>
    <row r="10" spans="1:10" ht="14.25" customHeight="1" x14ac:dyDescent="0.2">
      <c r="A10" s="14" t="s">
        <v>109</v>
      </c>
      <c r="B10" s="20">
        <f>'MIC by location'!B11/'MIC by location'!$AG11</f>
        <v>5.2177384607631404E-2</v>
      </c>
      <c r="C10" s="20">
        <f>'MIC by location'!C11/'MIC by location'!$AG11</f>
        <v>0.55480898695843017</v>
      </c>
      <c r="D10" s="20" t="s">
        <v>27</v>
      </c>
      <c r="E10" s="20">
        <f>'MIC by location'!E11/'MIC by location'!$AG11</f>
        <v>4.2229253322836557E-2</v>
      </c>
      <c r="F10" s="20">
        <f>'MIC by location'!K11/'MIC by location'!$AG11</f>
        <v>6.0674471313109483E-2</v>
      </c>
      <c r="G10" s="20">
        <v>0.15649522873719751</v>
      </c>
      <c r="H10" s="23">
        <v>5.3032402560216482E-3</v>
      </c>
      <c r="I10" s="23">
        <v>0.13306068526257095</v>
      </c>
      <c r="J10" s="23">
        <f t="shared" si="0"/>
        <v>1.0047492504577977</v>
      </c>
    </row>
    <row r="11" spans="1:10" ht="14.25" customHeight="1" x14ac:dyDescent="0.2">
      <c r="A11" s="14" t="s">
        <v>112</v>
      </c>
      <c r="B11" s="20">
        <f>'MIC by location'!B12/'MIC by location'!$AG12</f>
        <v>5.2815876235767181E-2</v>
      </c>
      <c r="C11" s="20">
        <f>'MIC by location'!C12/'MIC by location'!$AG12</f>
        <v>0.55059082855617403</v>
      </c>
      <c r="D11" s="20" t="s">
        <v>27</v>
      </c>
      <c r="E11" s="20" t="s">
        <v>27</v>
      </c>
      <c r="F11" s="20">
        <f>'MIC by location'!H12/'MIC by location'!$AG12</f>
        <v>5.3804702982527187E-2</v>
      </c>
      <c r="G11" s="20">
        <v>0.32925622327808152</v>
      </c>
      <c r="H11" s="23">
        <v>1.1353416545464505E-3</v>
      </c>
      <c r="I11" s="23">
        <v>2.0956802592162413E-2</v>
      </c>
      <c r="J11" s="23">
        <f t="shared" si="0"/>
        <v>1.0085597752992588</v>
      </c>
    </row>
    <row r="12" spans="1:10" ht="14.25" customHeight="1" x14ac:dyDescent="0.2">
      <c r="A12" s="14" t="s">
        <v>113</v>
      </c>
      <c r="B12" s="20">
        <f>'MIC by location'!B13/'MIC by location'!$AG13</f>
        <v>1.5361062797735818E-2</v>
      </c>
      <c r="C12" s="20">
        <f>'MIC by location'!C13/'MIC by location'!$AG13</f>
        <v>0.383543093365806</v>
      </c>
      <c r="D12" s="20" t="s">
        <v>27</v>
      </c>
      <c r="E12" s="20">
        <f>'MIC by location'!G13/'MIC by location'!$AG13</f>
        <v>0.48623147060391897</v>
      </c>
      <c r="F12" s="20">
        <f>'MIC by location'!H13/'MIC by location'!$AG13</f>
        <v>3.2914185910979304E-2</v>
      </c>
      <c r="G12" s="20">
        <v>5.8741915553878872E-2</v>
      </c>
      <c r="H12" s="23">
        <v>2.2549647432854947E-3</v>
      </c>
      <c r="I12" s="23">
        <v>1.7094274113598519E-2</v>
      </c>
      <c r="J12" s="23">
        <f t="shared" si="0"/>
        <v>0.99614096708920297</v>
      </c>
    </row>
    <row r="13" spans="1:10" ht="14.25" customHeight="1" x14ac:dyDescent="0.2">
      <c r="A13" s="14" t="s">
        <v>120</v>
      </c>
      <c r="B13" s="20">
        <f>'MIC by location'!B14/'MIC by location'!$AG14</f>
        <v>7.7759789663307058E-2</v>
      </c>
      <c r="C13" s="20">
        <f>'MIC by location'!C14/'MIC by location'!$AG14</f>
        <v>0.39673421502186851</v>
      </c>
      <c r="D13" s="20" t="s">
        <v>27</v>
      </c>
      <c r="E13" s="20" t="s">
        <v>27</v>
      </c>
      <c r="F13" s="20">
        <f>'MIC by location'!H14/'MIC by location'!$AG14</f>
        <v>3.7934360483315298E-2</v>
      </c>
      <c r="G13" s="20">
        <v>0.44311080162572386</v>
      </c>
      <c r="H13" s="23">
        <v>3.6266547375103739E-4</v>
      </c>
      <c r="I13" s="23">
        <v>5.3122786979653426E-2</v>
      </c>
      <c r="J13" s="23">
        <f t="shared" si="0"/>
        <v>1.0090246192476193</v>
      </c>
    </row>
    <row r="14" spans="1:10" ht="14.25" customHeight="1" x14ac:dyDescent="0.2">
      <c r="A14" s="14" t="s">
        <v>129</v>
      </c>
      <c r="B14" s="20">
        <f>'MIC by location'!B15/'MIC by location'!$AG15</f>
        <v>4.5287084042823882E-2</v>
      </c>
      <c r="C14" s="20">
        <f>'MIC by location'!C15/'MIC by location'!$AG15</f>
        <v>0.59056496756305998</v>
      </c>
      <c r="D14" s="20" t="s">
        <v>27</v>
      </c>
      <c r="E14" s="20" t="s">
        <v>27</v>
      </c>
      <c r="F14" s="20">
        <f>'MIC by location'!H15/'MIC by location'!$AG15+'MIC by location'!K15/'MIC by location'!$AG15</f>
        <v>9.4724696845560841E-2</v>
      </c>
      <c r="G14" s="20">
        <v>0.1018128198356917</v>
      </c>
      <c r="H14" s="23">
        <v>3.2705158953166336E-2</v>
      </c>
      <c r="I14" s="23">
        <v>0.14361616268984401</v>
      </c>
      <c r="J14" s="23">
        <f t="shared" si="0"/>
        <v>1.0087108899301467</v>
      </c>
    </row>
    <row r="15" spans="1:10" ht="14.25" customHeight="1" x14ac:dyDescent="0.2">
      <c r="A15" s="14" t="s">
        <v>136</v>
      </c>
      <c r="B15" s="20">
        <f>'MIC by location'!B16/'MIC by location'!$AG16</f>
        <v>2.3162129873978653E-2</v>
      </c>
      <c r="C15" s="20">
        <f>'MIC by location'!C16/'MIC by location'!$AG16</f>
        <v>0.70660709964643964</v>
      </c>
      <c r="D15" s="20" t="s">
        <v>27</v>
      </c>
      <c r="E15" s="20" t="s">
        <v>27</v>
      </c>
      <c r="F15" s="20">
        <f>'MIC by location'!H16/'MIC by location'!$AG16+'MIC by location'!L16/'MIC by location'!$AG16</f>
        <v>0.14852798897671848</v>
      </c>
      <c r="G15" s="20">
        <v>9.2834676539762448E-2</v>
      </c>
      <c r="H15" s="23">
        <v>1.6745792753503617E-3</v>
      </c>
      <c r="I15" s="23">
        <v>2.2206309233499165E-2</v>
      </c>
      <c r="J15" s="23">
        <f t="shared" si="0"/>
        <v>0.99501278354574874</v>
      </c>
    </row>
    <row r="16" spans="1:10" ht="14.25" customHeight="1" x14ac:dyDescent="0.2">
      <c r="A16" s="14" t="s">
        <v>138</v>
      </c>
      <c r="B16" s="20" t="s">
        <v>27</v>
      </c>
      <c r="C16" s="20">
        <f>'MIC by location'!C17/'MIC by location'!$AG17</f>
        <v>0.44480915141918337</v>
      </c>
      <c r="D16" s="20" t="s">
        <v>27</v>
      </c>
      <c r="E16" s="20" t="s">
        <v>27</v>
      </c>
      <c r="F16" s="20">
        <f>'MIC by location'!H17/'MIC by location'!$AG17</f>
        <v>2.9486511354116132E-2</v>
      </c>
      <c r="G16" s="20">
        <v>0.50259779161950058</v>
      </c>
      <c r="H16" s="23">
        <v>3.8382121995990111E-3</v>
      </c>
      <c r="I16" s="23">
        <v>1.6986748442835532E-2</v>
      </c>
      <c r="J16" s="23">
        <f t="shared" si="0"/>
        <v>0.99771841503523462</v>
      </c>
    </row>
    <row r="17" spans="1:10" ht="14.25" customHeight="1" x14ac:dyDescent="0.2">
      <c r="A17" s="14" t="s">
        <v>141</v>
      </c>
      <c r="B17" s="20">
        <f>'MIC by location'!B18/'MIC by location'!$AG18</f>
        <v>8.544369255707231E-3</v>
      </c>
      <c r="C17" s="20">
        <f>'MIC by location'!C18/'MIC by location'!$AG18</f>
        <v>0.1907921422637793</v>
      </c>
      <c r="D17" s="20" t="s">
        <v>27</v>
      </c>
      <c r="E17" s="20">
        <f>'MIC by location'!G18/'MIC by location'!$AG18</f>
        <v>0.37135283575388395</v>
      </c>
      <c r="F17" s="20">
        <f>'MIC by location'!L18/'MIC by location'!$AG18</f>
        <v>0.18567641787694197</v>
      </c>
      <c r="G17" s="20">
        <v>0.21683784372362538</v>
      </c>
      <c r="H17" s="23">
        <v>1.0622075216047311E-3</v>
      </c>
      <c r="I17" s="23">
        <v>1.848335142868901E-2</v>
      </c>
      <c r="J17" s="23">
        <f t="shared" si="0"/>
        <v>0.9927491678242315</v>
      </c>
    </row>
    <row r="18" spans="1:10" ht="14.25" customHeight="1" x14ac:dyDescent="0.2">
      <c r="A18" s="14" t="s">
        <v>143</v>
      </c>
      <c r="B18" s="20">
        <f>'MIC by location'!B19/'MIC by location'!$AG19</f>
        <v>1.1622615518959009E-2</v>
      </c>
      <c r="C18" s="20">
        <f>'MIC by location'!C19/'MIC by location'!$AG19</f>
        <v>0.68126119950097896</v>
      </c>
      <c r="D18" s="20" t="s">
        <v>27</v>
      </c>
      <c r="E18" s="20" t="s">
        <v>27</v>
      </c>
      <c r="F18" s="20">
        <f>'MIC by location'!H19/'MIC by location'!$AG19</f>
        <v>2.7649365448506765E-2</v>
      </c>
      <c r="G18" s="20">
        <v>0.26285797179051357</v>
      </c>
      <c r="H18" s="23">
        <v>0</v>
      </c>
      <c r="I18" s="23">
        <v>1.8523308532124326E-2</v>
      </c>
      <c r="J18" s="23">
        <f t="shared" si="0"/>
        <v>1.0019144607910826</v>
      </c>
    </row>
    <row r="19" spans="1:10" ht="14.25" customHeight="1" x14ac:dyDescent="0.2">
      <c r="A19" s="14" t="s">
        <v>145</v>
      </c>
      <c r="B19" s="20">
        <f>'MIC by location'!B20/'MIC by location'!$AG20</f>
        <v>6.1592564351557411E-2</v>
      </c>
      <c r="C19" s="20">
        <f>'MIC by location'!C20/'MIC by location'!$AG20</f>
        <v>0.68507294861659951</v>
      </c>
      <c r="D19" s="20" t="s">
        <v>27</v>
      </c>
      <c r="E19" s="20" t="s">
        <v>27</v>
      </c>
      <c r="F19" s="20">
        <f>'MIC by location'!H20/'MIC by location'!$AG20+'MIC by location'!K20/'MIC by location'!$AG20</f>
        <v>9.9173092298773496E-2</v>
      </c>
      <c r="G19" s="20">
        <v>8.3467607799922017E-2</v>
      </c>
      <c r="H19" s="23">
        <v>1.0280966688614387E-2</v>
      </c>
      <c r="I19" s="23">
        <v>5.5612292442095548E-2</v>
      </c>
      <c r="J19" s="23">
        <f t="shared" si="0"/>
        <v>0.99519947219756233</v>
      </c>
    </row>
    <row r="20" spans="1:10" ht="14.25" customHeight="1" x14ac:dyDescent="0.2">
      <c r="A20" s="14" t="s">
        <v>148</v>
      </c>
      <c r="B20" s="20">
        <f>'MIC by location'!B21/'MIC by location'!$AG21</f>
        <v>5.218086267683332E-2</v>
      </c>
      <c r="C20" s="20">
        <f>'MIC by location'!C21/'MIC by location'!$AG21</f>
        <v>0.65351205738513918</v>
      </c>
      <c r="D20" s="20" t="s">
        <v>27</v>
      </c>
      <c r="E20" s="20" t="s">
        <v>27</v>
      </c>
      <c r="F20" s="20">
        <f>'MIC by location'!H21/'MIC by location'!$AG21</f>
        <v>4.6080978405362384E-2</v>
      </c>
      <c r="G20" s="20">
        <v>0.19823112370197526</v>
      </c>
      <c r="H20" s="23">
        <v>4.3743424687833366E-3</v>
      </c>
      <c r="I20" s="23">
        <v>2.3913935948195724E-2</v>
      </c>
      <c r="J20" s="23">
        <f t="shared" si="0"/>
        <v>0.97829330058628916</v>
      </c>
    </row>
    <row r="21" spans="1:10" ht="14.25" customHeight="1" x14ac:dyDescent="0.2">
      <c r="A21" s="14" t="s">
        <v>151</v>
      </c>
      <c r="B21" s="20">
        <f>'MIC by location'!B22/'MIC by location'!$AG22</f>
        <v>6.5620554807277645E-2</v>
      </c>
      <c r="C21" s="20">
        <f>'MIC by location'!C22/'MIC by location'!$AG22</f>
        <v>0.73136320573861591</v>
      </c>
      <c r="D21" s="20" t="s">
        <v>27</v>
      </c>
      <c r="E21" s="20" t="s">
        <v>27</v>
      </c>
      <c r="F21" s="20">
        <f>'MIC by location'!K22/'MIC by location'!$AG22</f>
        <v>6.9034898749396403E-2</v>
      </c>
      <c r="G21" s="20">
        <v>9.9172427523724543E-2</v>
      </c>
      <c r="H21" s="23">
        <v>8.1147284070186999E-3</v>
      </c>
      <c r="I21" s="23">
        <v>3.6615469224957474E-2</v>
      </c>
      <c r="J21" s="23">
        <f t="shared" si="0"/>
        <v>1.0099212844509906</v>
      </c>
    </row>
    <row r="22" spans="1:10" ht="14.25" customHeight="1" x14ac:dyDescent="0.2">
      <c r="A22" s="14" t="s">
        <v>158</v>
      </c>
      <c r="B22" s="20" t="s">
        <v>27</v>
      </c>
      <c r="C22" s="20">
        <f>'MIC by location'!C23/'MIC by location'!$AG23</f>
        <v>0.21897312777265349</v>
      </c>
      <c r="D22" s="20" t="s">
        <v>27</v>
      </c>
      <c r="E22" s="20">
        <f>'MIC by location'!G23/'MIC by location'!$AG23</f>
        <v>0.28310887054443773</v>
      </c>
      <c r="F22" s="20">
        <f>'MIC by location'!H23/'MIC by location'!$AG23</f>
        <v>1.254845978669695E-2</v>
      </c>
      <c r="G22" s="20">
        <v>0.44470581116022273</v>
      </c>
      <c r="H22" s="23">
        <v>0</v>
      </c>
      <c r="I22" s="23">
        <v>2.8442824192465282E-2</v>
      </c>
      <c r="J22" s="23">
        <f t="shared" si="0"/>
        <v>0.98777909345647608</v>
      </c>
    </row>
    <row r="23" spans="1:10" ht="14.25" customHeight="1" x14ac:dyDescent="0.2">
      <c r="A23" s="14" t="s">
        <v>161</v>
      </c>
      <c r="B23" s="20">
        <f>'MIC by location'!B24/'MIC by location'!$AG24</f>
        <v>4.4089207509753009E-2</v>
      </c>
      <c r="C23" s="20">
        <f>'MIC by location'!C24/'MIC by location'!$AG24</f>
        <v>0.73536847685251072</v>
      </c>
      <c r="D23" s="20" t="s">
        <v>27</v>
      </c>
      <c r="E23" s="20" t="s">
        <v>27</v>
      </c>
      <c r="F23" s="20">
        <f>'MIC by location'!K24/'MIC by location'!$AG24</f>
        <v>5.869766502264074E-2</v>
      </c>
      <c r="G23" s="20">
        <v>7.7042432059156507E-2</v>
      </c>
      <c r="H23" s="23">
        <v>2.3106896997554045E-3</v>
      </c>
      <c r="I23" s="23">
        <v>8.6849381135250439E-2</v>
      </c>
      <c r="J23" s="23">
        <f t="shared" si="0"/>
        <v>1.0043578522790668</v>
      </c>
    </row>
    <row r="24" spans="1:10" ht="14.25" customHeight="1" x14ac:dyDescent="0.2">
      <c r="A24" s="14" t="s">
        <v>163</v>
      </c>
      <c r="B24" s="20">
        <f>'MIC by location'!B25/'MIC by location'!$AG25</f>
        <v>1.3196717615302389E-2</v>
      </c>
      <c r="C24" s="20">
        <f>'MIC by location'!C25/'MIC by location'!$AG25</f>
        <v>0.20987243666461577</v>
      </c>
      <c r="D24" s="20">
        <f>'MIC by location'!D25/'MIC by location'!$AG25</f>
        <v>7.7248612243777312E-2</v>
      </c>
      <c r="E24" s="20">
        <f>'MIC by location'!G25/'MIC by location'!$AG25</f>
        <v>0.26793982791213711</v>
      </c>
      <c r="F24" s="20">
        <f>'MIC by location'!H25/'MIC by location'!$AG25+'MIC by location'!L25/'MIC by location'!$AG25</f>
        <v>0.28482628761670037</v>
      </c>
      <c r="G24" s="20">
        <v>0.1313306582604076</v>
      </c>
      <c r="H24" s="23">
        <v>9.8886396483038874E-4</v>
      </c>
      <c r="I24" s="23">
        <v>9.096481340956716E-3</v>
      </c>
      <c r="J24" s="23">
        <f t="shared" si="0"/>
        <v>0.9944998856187276</v>
      </c>
    </row>
    <row r="25" spans="1:10" ht="14.25" customHeight="1" x14ac:dyDescent="0.2">
      <c r="A25" s="14" t="s">
        <v>167</v>
      </c>
      <c r="B25" s="20">
        <f>'MIC by location'!B26/'MIC by location'!$AG26</f>
        <v>8.2260601469548875E-2</v>
      </c>
      <c r="C25" s="20">
        <f>'MIC by location'!C26/'MIC by location'!$AG26</f>
        <v>0.36593383503965987</v>
      </c>
      <c r="D25" s="20" t="s">
        <v>27</v>
      </c>
      <c r="E25" s="20" t="s">
        <v>27</v>
      </c>
      <c r="F25" s="20">
        <f>'MIC by location'!H26/'MIC by location'!$AG26</f>
        <v>2.1468670258729488E-2</v>
      </c>
      <c r="G25" s="20">
        <v>0.48255607608838963</v>
      </c>
      <c r="H25" s="23">
        <v>9.0000887619265176E-5</v>
      </c>
      <c r="I25" s="23">
        <v>4.8785993089917469E-2</v>
      </c>
      <c r="J25" s="23">
        <f t="shared" si="0"/>
        <v>1.0010951768338645</v>
      </c>
    </row>
    <row r="26" spans="1:10" ht="14.25" customHeight="1" x14ac:dyDescent="0.2">
      <c r="A26" s="42" t="s">
        <v>170</v>
      </c>
      <c r="B26" s="23">
        <f t="shared" ref="B26:F26" si="1">AVERAGE(B3:B25)</f>
        <v>5.4278956619405058E-2</v>
      </c>
      <c r="C26" s="23">
        <f t="shared" si="1"/>
        <v>0.51902434439464584</v>
      </c>
      <c r="D26" s="23">
        <f t="shared" si="1"/>
        <v>7.7248612243777312E-2</v>
      </c>
      <c r="E26" s="23">
        <f t="shared" si="1"/>
        <v>0.21868777015608812</v>
      </c>
      <c r="F26" s="23">
        <f t="shared" si="1"/>
        <v>9.235205442581812E-2</v>
      </c>
      <c r="G26" s="23"/>
      <c r="H26" s="23"/>
      <c r="I26" s="23"/>
      <c r="J26" s="43"/>
    </row>
    <row r="27" spans="1:10" ht="14.25" customHeight="1" x14ac:dyDescent="0.2"/>
    <row r="28" spans="1:10" ht="14.25" customHeight="1" x14ac:dyDescent="0.2"/>
    <row r="29" spans="1:10" ht="14.25" customHeight="1" x14ac:dyDescent="0.2">
      <c r="A29" s="44" t="s">
        <v>173</v>
      </c>
      <c r="B29" s="23"/>
      <c r="C29" s="23"/>
      <c r="D29" s="23"/>
      <c r="E29" s="45"/>
      <c r="F29" s="45"/>
      <c r="G29" s="45"/>
      <c r="H29" s="45"/>
      <c r="I29" s="45"/>
    </row>
    <row r="30" spans="1:10" ht="14.25" customHeight="1" x14ac:dyDescent="0.2"/>
    <row r="31" spans="1:10" ht="14.25" customHeight="1" x14ac:dyDescent="0.2"/>
    <row r="32" spans="1:10" ht="14.25" customHeight="1" x14ac:dyDescent="0.2"/>
    <row r="33" spans="3:3" ht="14.25" customHeight="1" x14ac:dyDescent="0.2"/>
    <row r="34" spans="3:3" ht="14.25" customHeight="1" x14ac:dyDescent="0.2"/>
    <row r="35" spans="3:3" ht="14.25" customHeight="1" x14ac:dyDescent="0.2"/>
    <row r="36" spans="3:3" ht="14.25" customHeight="1" x14ac:dyDescent="0.2"/>
    <row r="37" spans="3:3" ht="14.25" customHeight="1" x14ac:dyDescent="0.2"/>
    <row r="38" spans="3:3" ht="14.25" customHeight="1" x14ac:dyDescent="0.2"/>
    <row r="39" spans="3:3" ht="14.25" customHeight="1" x14ac:dyDescent="0.2">
      <c r="C39" s="46"/>
    </row>
    <row r="40" spans="3:3" ht="14.25" customHeight="1" x14ac:dyDescent="0.2"/>
    <row r="41" spans="3:3" ht="14.25" customHeight="1" x14ac:dyDescent="0.2"/>
    <row r="42" spans="3:3" ht="14.25" customHeight="1" x14ac:dyDescent="0.2"/>
    <row r="43" spans="3:3" ht="14.25" customHeight="1" x14ac:dyDescent="0.2"/>
    <row r="44" spans="3:3" ht="14.25" customHeight="1" x14ac:dyDescent="0.2"/>
    <row r="45" spans="3:3" ht="14.25" customHeight="1" x14ac:dyDescent="0.2"/>
    <row r="46" spans="3:3" ht="14.25" customHeight="1" x14ac:dyDescent="0.2"/>
    <row r="47" spans="3:3" ht="14.25" customHeight="1" x14ac:dyDescent="0.2"/>
    <row r="48" spans="3: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B1:I1"/>
  </mergeCells>
  <conditionalFormatting sqref="B29:I29">
    <cfRule type="colorScale" priority="1">
      <colorScale>
        <cfvo type="min"/>
        <cfvo type="percentile" val="50"/>
        <cfvo type="max"/>
        <color rgb="FF63BE7B"/>
        <color rgb="FFFFEB84"/>
        <color rgb="FFF8696B"/>
      </colorScale>
    </cfRule>
  </conditionalFormatting>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4" width="14" customWidth="1"/>
    <col min="15" max="15" width="16.5" customWidth="1"/>
    <col min="16" max="16" width="14" customWidth="1"/>
    <col min="17" max="18" width="16" customWidth="1"/>
    <col min="19" max="19" width="52.6640625" customWidth="1"/>
    <col min="20" max="20" width="255.5" customWidth="1"/>
    <col min="21" max="38" width="8.6640625" customWidth="1"/>
  </cols>
  <sheetData>
    <row r="1" spans="1:38"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132</v>
      </c>
      <c r="R1" s="28" t="s">
        <v>133</v>
      </c>
      <c r="S1" s="28" t="s">
        <v>134</v>
      </c>
      <c r="T1" s="31" t="s">
        <v>135</v>
      </c>
      <c r="U1" s="32"/>
      <c r="V1" s="33"/>
      <c r="W1" s="33"/>
      <c r="X1" s="33"/>
      <c r="Y1" s="33"/>
      <c r="Z1" s="33"/>
      <c r="AA1" s="33"/>
      <c r="AB1" s="33"/>
      <c r="AC1" s="33"/>
      <c r="AD1" s="33"/>
      <c r="AE1" s="33"/>
      <c r="AF1" s="33"/>
      <c r="AG1" s="33"/>
      <c r="AH1" s="33"/>
      <c r="AI1" s="33"/>
      <c r="AJ1" s="33"/>
      <c r="AK1" s="33"/>
      <c r="AL1" s="33"/>
    </row>
    <row r="2" spans="1:38" ht="16.5" customHeight="1" x14ac:dyDescent="0.2">
      <c r="A2" s="185" t="s">
        <v>137</v>
      </c>
      <c r="B2" s="183" t="s">
        <v>53</v>
      </c>
      <c r="C2" s="183" t="s">
        <v>139</v>
      </c>
      <c r="D2" s="179" t="s">
        <v>140</v>
      </c>
      <c r="E2" s="179" t="s">
        <v>140</v>
      </c>
      <c r="F2" s="179" t="s">
        <v>140</v>
      </c>
      <c r="G2" s="182">
        <v>1</v>
      </c>
      <c r="H2" s="182">
        <v>380</v>
      </c>
      <c r="I2" s="183" t="s">
        <v>142</v>
      </c>
      <c r="J2" s="178">
        <v>0.66666666666666663</v>
      </c>
      <c r="K2" s="178">
        <v>1.5</v>
      </c>
      <c r="L2" s="178">
        <v>150</v>
      </c>
      <c r="M2" s="179" t="s">
        <v>144</v>
      </c>
      <c r="N2" s="188">
        <f>L2*K2*J2*H2</f>
        <v>57000</v>
      </c>
      <c r="O2" s="186">
        <v>9443</v>
      </c>
      <c r="P2" s="187" t="s">
        <v>147</v>
      </c>
      <c r="Q2" s="175">
        <f>N2/O2</f>
        <v>6.0362173038229372</v>
      </c>
      <c r="R2" s="177">
        <v>4</v>
      </c>
      <c r="S2" s="14" t="s">
        <v>149</v>
      </c>
      <c r="T2" s="14" t="s">
        <v>150</v>
      </c>
    </row>
    <row r="3" spans="1:38" ht="14.25" customHeight="1" x14ac:dyDescent="0.2">
      <c r="A3" s="181"/>
      <c r="B3" s="181"/>
      <c r="C3" s="181"/>
      <c r="D3" s="176"/>
      <c r="E3" s="176"/>
      <c r="F3" s="176"/>
      <c r="G3" s="181"/>
      <c r="H3" s="181"/>
      <c r="I3" s="181"/>
      <c r="J3" s="181"/>
      <c r="K3" s="181"/>
      <c r="L3" s="176"/>
      <c r="M3" s="176"/>
      <c r="N3" s="176"/>
      <c r="O3" s="181"/>
      <c r="P3" s="181"/>
      <c r="Q3" s="176"/>
      <c r="R3" s="176"/>
      <c r="S3" s="14" t="s">
        <v>152</v>
      </c>
      <c r="T3" s="14" t="s">
        <v>153</v>
      </c>
    </row>
    <row r="4" spans="1:38" ht="14.25" customHeight="1" x14ac:dyDescent="0.2">
      <c r="A4" s="181"/>
      <c r="B4" s="176"/>
      <c r="C4" s="176"/>
      <c r="D4" s="14" t="s">
        <v>154</v>
      </c>
      <c r="E4" s="14" t="s">
        <v>155</v>
      </c>
      <c r="F4" s="14" t="s">
        <v>156</v>
      </c>
      <c r="G4" s="176"/>
      <c r="H4" s="176"/>
      <c r="I4" s="176"/>
      <c r="J4" s="176"/>
      <c r="K4" s="176"/>
      <c r="L4" s="14">
        <v>5.25</v>
      </c>
      <c r="M4" s="14" t="s">
        <v>157</v>
      </c>
      <c r="N4" s="38">
        <f>L4*K2*J2*H2</f>
        <v>1995</v>
      </c>
      <c r="O4" s="181"/>
      <c r="P4" s="181"/>
      <c r="Q4" s="19">
        <f t="shared" ref="Q4:Q7" si="0">N4/$O$2</f>
        <v>0.21126760563380281</v>
      </c>
      <c r="R4" s="39">
        <v>4</v>
      </c>
      <c r="S4" s="40" t="s">
        <v>160</v>
      </c>
      <c r="T4" s="14" t="s">
        <v>162</v>
      </c>
    </row>
    <row r="5" spans="1:38" ht="14.25" customHeight="1" x14ac:dyDescent="0.2">
      <c r="A5" s="181"/>
      <c r="B5" s="183" t="s">
        <v>164</v>
      </c>
      <c r="C5" s="183" t="s">
        <v>165</v>
      </c>
      <c r="D5" s="14" t="s">
        <v>140</v>
      </c>
      <c r="E5" s="41" t="s">
        <v>140</v>
      </c>
      <c r="F5" s="41" t="s">
        <v>140</v>
      </c>
      <c r="G5" s="182">
        <v>1</v>
      </c>
      <c r="H5" s="182">
        <v>8900</v>
      </c>
      <c r="I5" s="183" t="s">
        <v>166</v>
      </c>
      <c r="J5" s="175">
        <v>0.5</v>
      </c>
      <c r="K5" s="179" t="s">
        <v>27</v>
      </c>
      <c r="L5" s="14">
        <v>150</v>
      </c>
      <c r="M5" s="14" t="s">
        <v>168</v>
      </c>
      <c r="N5" s="38">
        <f>L5*J5*H5</f>
        <v>667500</v>
      </c>
      <c r="O5" s="181"/>
      <c r="P5" s="181"/>
      <c r="Q5" s="19">
        <f t="shared" si="0"/>
        <v>70.687281584242299</v>
      </c>
      <c r="R5" s="39">
        <v>5</v>
      </c>
      <c r="S5" s="14" t="s">
        <v>169</v>
      </c>
      <c r="T5" s="14"/>
    </row>
    <row r="6" spans="1:38" ht="14.25" customHeight="1" x14ac:dyDescent="0.2">
      <c r="A6" s="181"/>
      <c r="B6" s="176"/>
      <c r="C6" s="176"/>
      <c r="D6" s="14" t="s">
        <v>154</v>
      </c>
      <c r="E6" s="41" t="s">
        <v>155</v>
      </c>
      <c r="F6" s="41" t="s">
        <v>156</v>
      </c>
      <c r="G6" s="176"/>
      <c r="H6" s="176"/>
      <c r="I6" s="176"/>
      <c r="J6" s="176"/>
      <c r="K6" s="176"/>
      <c r="L6" s="14">
        <v>6</v>
      </c>
      <c r="M6" s="14" t="s">
        <v>172</v>
      </c>
      <c r="N6" s="38">
        <f>L6*J5*H5</f>
        <v>26700</v>
      </c>
      <c r="O6" s="181"/>
      <c r="P6" s="181"/>
      <c r="Q6" s="19">
        <f t="shared" si="0"/>
        <v>2.827491263369692</v>
      </c>
      <c r="R6" s="39">
        <v>5</v>
      </c>
      <c r="S6" s="14" t="s">
        <v>174</v>
      </c>
      <c r="T6" s="14" t="s">
        <v>175</v>
      </c>
    </row>
    <row r="7" spans="1:38" ht="14.25" customHeight="1" x14ac:dyDescent="0.2">
      <c r="A7" s="181"/>
      <c r="B7" s="183" t="s">
        <v>176</v>
      </c>
      <c r="C7" s="184" t="s">
        <v>177</v>
      </c>
      <c r="D7" s="179" t="s">
        <v>178</v>
      </c>
      <c r="E7" s="179" t="s">
        <v>92</v>
      </c>
      <c r="F7" s="179" t="s">
        <v>4</v>
      </c>
      <c r="G7" s="178">
        <v>30</v>
      </c>
      <c r="H7" s="182">
        <v>2000</v>
      </c>
      <c r="I7" s="183" t="s">
        <v>166</v>
      </c>
      <c r="J7" s="178" t="s">
        <v>179</v>
      </c>
      <c r="K7" s="179">
        <v>10</v>
      </c>
      <c r="L7" s="178">
        <v>4.84</v>
      </c>
      <c r="M7" s="179" t="s">
        <v>180</v>
      </c>
      <c r="N7" s="180">
        <f>L7*K7*G7</f>
        <v>1452</v>
      </c>
      <c r="O7" s="181"/>
      <c r="P7" s="181"/>
      <c r="Q7" s="175">
        <f t="shared" si="0"/>
        <v>0.15376469342370008</v>
      </c>
      <c r="R7" s="177">
        <v>1</v>
      </c>
      <c r="S7" s="14" t="s">
        <v>181</v>
      </c>
      <c r="T7" s="14" t="s">
        <v>182</v>
      </c>
    </row>
    <row r="8" spans="1:38" ht="14.25" customHeight="1" x14ac:dyDescent="0.2">
      <c r="A8" s="181"/>
      <c r="B8" s="181"/>
      <c r="C8" s="181"/>
      <c r="D8" s="176"/>
      <c r="E8" s="176"/>
      <c r="F8" s="176"/>
      <c r="G8" s="176"/>
      <c r="H8" s="181"/>
      <c r="I8" s="181"/>
      <c r="J8" s="176"/>
      <c r="K8" s="176"/>
      <c r="L8" s="176"/>
      <c r="M8" s="176"/>
      <c r="N8" s="176"/>
      <c r="O8" s="181"/>
      <c r="P8" s="181"/>
      <c r="Q8" s="176"/>
      <c r="R8" s="176"/>
      <c r="S8" s="40" t="s">
        <v>183</v>
      </c>
      <c r="T8" s="14" t="s">
        <v>184</v>
      </c>
    </row>
    <row r="9" spans="1:38" ht="14.25" customHeight="1" x14ac:dyDescent="0.2">
      <c r="A9" s="181"/>
      <c r="B9" s="181"/>
      <c r="C9" s="181"/>
      <c r="D9" s="179" t="s">
        <v>185</v>
      </c>
      <c r="E9" s="179" t="s">
        <v>92</v>
      </c>
      <c r="F9" s="179" t="s">
        <v>4</v>
      </c>
      <c r="G9" s="178">
        <v>51</v>
      </c>
      <c r="H9" s="181"/>
      <c r="I9" s="181"/>
      <c r="J9" s="175" t="s">
        <v>186</v>
      </c>
      <c r="K9" s="178">
        <v>10</v>
      </c>
      <c r="L9" s="178">
        <v>2.42</v>
      </c>
      <c r="M9" s="179" t="s">
        <v>188</v>
      </c>
      <c r="N9" s="180">
        <f>L9*G9*K9</f>
        <v>1234.2</v>
      </c>
      <c r="O9" s="181"/>
      <c r="P9" s="181"/>
      <c r="Q9" s="175">
        <f>N9/$O$2</f>
        <v>0.13069998941014507</v>
      </c>
      <c r="R9" s="177">
        <v>1</v>
      </c>
      <c r="S9" s="40" t="s">
        <v>189</v>
      </c>
      <c r="T9" s="14" t="s">
        <v>190</v>
      </c>
    </row>
    <row r="10" spans="1:38" ht="14.25" customHeight="1" x14ac:dyDescent="0.2">
      <c r="A10" s="181"/>
      <c r="B10" s="181"/>
      <c r="C10" s="181"/>
      <c r="D10" s="181"/>
      <c r="E10" s="181"/>
      <c r="F10" s="181"/>
      <c r="G10" s="181"/>
      <c r="H10" s="181"/>
      <c r="I10" s="181"/>
      <c r="J10" s="181"/>
      <c r="K10" s="181"/>
      <c r="L10" s="181"/>
      <c r="M10" s="181"/>
      <c r="N10" s="181"/>
      <c r="O10" s="181"/>
      <c r="P10" s="181"/>
      <c r="Q10" s="181"/>
      <c r="R10" s="181"/>
      <c r="S10" s="14" t="s">
        <v>191</v>
      </c>
      <c r="T10" s="14" t="s">
        <v>192</v>
      </c>
    </row>
    <row r="11" spans="1:38" ht="14.25" customHeight="1" x14ac:dyDescent="0.2">
      <c r="A11" s="181"/>
      <c r="B11" s="181"/>
      <c r="C11" s="181"/>
      <c r="D11" s="181"/>
      <c r="E11" s="181"/>
      <c r="F11" s="181"/>
      <c r="G11" s="181"/>
      <c r="H11" s="181"/>
      <c r="I11" s="181"/>
      <c r="J11" s="181"/>
      <c r="K11" s="181"/>
      <c r="L11" s="181"/>
      <c r="M11" s="181"/>
      <c r="N11" s="181"/>
      <c r="O11" s="181"/>
      <c r="P11" s="181"/>
      <c r="Q11" s="181"/>
      <c r="R11" s="181"/>
      <c r="S11" s="40" t="s">
        <v>193</v>
      </c>
      <c r="T11" s="14" t="s">
        <v>194</v>
      </c>
    </row>
    <row r="12" spans="1:38" ht="14.25" customHeight="1" x14ac:dyDescent="0.2">
      <c r="A12" s="181"/>
      <c r="B12" s="181"/>
      <c r="C12" s="181"/>
      <c r="D12" s="176"/>
      <c r="E12" s="176"/>
      <c r="F12" s="176"/>
      <c r="G12" s="176"/>
      <c r="H12" s="181"/>
      <c r="I12" s="181"/>
      <c r="J12" s="176"/>
      <c r="K12" s="176"/>
      <c r="L12" s="176"/>
      <c r="M12" s="176"/>
      <c r="N12" s="176"/>
      <c r="O12" s="181"/>
      <c r="P12" s="181"/>
      <c r="Q12" s="176"/>
      <c r="R12" s="176"/>
      <c r="S12" s="14" t="s">
        <v>195</v>
      </c>
      <c r="T12" s="14" t="s">
        <v>196</v>
      </c>
    </row>
    <row r="13" spans="1:38" ht="14.25" customHeight="1" x14ac:dyDescent="0.2">
      <c r="A13" s="181"/>
      <c r="B13" s="181"/>
      <c r="C13" s="181"/>
      <c r="D13" s="179" t="s">
        <v>197</v>
      </c>
      <c r="E13" s="179" t="s">
        <v>92</v>
      </c>
      <c r="F13" s="179" t="s">
        <v>4</v>
      </c>
      <c r="G13" s="178">
        <v>33</v>
      </c>
      <c r="H13" s="181"/>
      <c r="I13" s="181"/>
      <c r="J13" s="175" t="s">
        <v>198</v>
      </c>
      <c r="K13" s="178">
        <v>10</v>
      </c>
      <c r="L13" s="178">
        <v>9.68</v>
      </c>
      <c r="M13" s="179" t="s">
        <v>188</v>
      </c>
      <c r="N13" s="180">
        <f>L13*K13*G13</f>
        <v>3194.4</v>
      </c>
      <c r="O13" s="181"/>
      <c r="P13" s="181"/>
      <c r="Q13" s="175">
        <f>N13/O2</f>
        <v>0.33828232553214022</v>
      </c>
      <c r="R13" s="177">
        <v>1</v>
      </c>
      <c r="S13" s="14" t="s">
        <v>181</v>
      </c>
      <c r="T13" s="14" t="s">
        <v>199</v>
      </c>
    </row>
    <row r="14" spans="1:38" ht="14.25" customHeight="1" x14ac:dyDescent="0.2">
      <c r="A14" s="181"/>
      <c r="B14" s="181"/>
      <c r="C14" s="181"/>
      <c r="D14" s="176"/>
      <c r="E14" s="176"/>
      <c r="F14" s="176"/>
      <c r="G14" s="176"/>
      <c r="H14" s="181"/>
      <c r="I14" s="181"/>
      <c r="J14" s="176"/>
      <c r="K14" s="176"/>
      <c r="L14" s="176"/>
      <c r="M14" s="176"/>
      <c r="N14" s="176"/>
      <c r="O14" s="181"/>
      <c r="P14" s="181"/>
      <c r="Q14" s="176"/>
      <c r="R14" s="176"/>
      <c r="S14" s="14" t="s">
        <v>181</v>
      </c>
      <c r="T14" s="14" t="s">
        <v>200</v>
      </c>
    </row>
    <row r="15" spans="1:38" ht="14.25" customHeight="1" x14ac:dyDescent="0.2">
      <c r="A15" s="181"/>
      <c r="B15" s="181"/>
      <c r="C15" s="181"/>
      <c r="D15" s="179" t="s">
        <v>201</v>
      </c>
      <c r="E15" s="179" t="s">
        <v>92</v>
      </c>
      <c r="F15" s="179" t="s">
        <v>5</v>
      </c>
      <c r="G15" s="182">
        <v>1</v>
      </c>
      <c r="H15" s="181"/>
      <c r="I15" s="181"/>
      <c r="J15" s="178">
        <v>7.2916666666666671E-2</v>
      </c>
      <c r="K15" s="179" t="s">
        <v>27</v>
      </c>
      <c r="L15" s="178">
        <v>36.799999999999997</v>
      </c>
      <c r="M15" s="179" t="s">
        <v>202</v>
      </c>
      <c r="N15" s="180">
        <f>L15*H7*J15</f>
        <v>5366.666666666667</v>
      </c>
      <c r="O15" s="181"/>
      <c r="P15" s="181"/>
      <c r="Q15" s="175">
        <f>N15/$O$2</f>
        <v>0.5683222139856684</v>
      </c>
      <c r="R15" s="177">
        <v>4</v>
      </c>
      <c r="S15" s="14" t="s">
        <v>203</v>
      </c>
      <c r="T15" s="14" t="s">
        <v>204</v>
      </c>
    </row>
    <row r="16" spans="1:38" ht="14.25" customHeight="1" x14ac:dyDescent="0.2">
      <c r="A16" s="181"/>
      <c r="B16" s="181"/>
      <c r="C16" s="181"/>
      <c r="D16" s="181"/>
      <c r="E16" s="181"/>
      <c r="F16" s="181"/>
      <c r="G16" s="181"/>
      <c r="H16" s="181"/>
      <c r="I16" s="181"/>
      <c r="J16" s="181"/>
      <c r="K16" s="181"/>
      <c r="L16" s="181"/>
      <c r="M16" s="181"/>
      <c r="N16" s="181"/>
      <c r="O16" s="181"/>
      <c r="P16" s="181"/>
      <c r="Q16" s="181"/>
      <c r="R16" s="181"/>
      <c r="S16" s="14" t="s">
        <v>205</v>
      </c>
      <c r="T16" s="14" t="s">
        <v>206</v>
      </c>
    </row>
    <row r="17" spans="1:38" ht="14.25" customHeight="1" x14ac:dyDescent="0.2">
      <c r="A17" s="181"/>
      <c r="B17" s="176"/>
      <c r="C17" s="176"/>
      <c r="D17" s="176"/>
      <c r="E17" s="176"/>
      <c r="F17" s="176"/>
      <c r="G17" s="176"/>
      <c r="H17" s="176"/>
      <c r="I17" s="176"/>
      <c r="J17" s="176"/>
      <c r="K17" s="176"/>
      <c r="L17" s="176"/>
      <c r="M17" s="176"/>
      <c r="N17" s="176"/>
      <c r="O17" s="181"/>
      <c r="P17" s="181"/>
      <c r="Q17" s="176"/>
      <c r="R17" s="176"/>
      <c r="S17" s="40" t="s">
        <v>207</v>
      </c>
      <c r="T17" s="14" t="s">
        <v>208</v>
      </c>
    </row>
    <row r="18" spans="1:38" ht="14.25" customHeight="1" x14ac:dyDescent="0.2">
      <c r="A18" s="181"/>
      <c r="B18" s="183" t="s">
        <v>209</v>
      </c>
      <c r="C18" s="184" t="s">
        <v>210</v>
      </c>
      <c r="D18" s="179" t="s">
        <v>211</v>
      </c>
      <c r="E18" s="179" t="s">
        <v>155</v>
      </c>
      <c r="F18" s="179" t="s">
        <v>8</v>
      </c>
      <c r="G18" s="178">
        <v>9</v>
      </c>
      <c r="H18" s="182">
        <v>9500</v>
      </c>
      <c r="I18" s="183" t="s">
        <v>166</v>
      </c>
      <c r="J18" s="175" t="s">
        <v>212</v>
      </c>
      <c r="K18" s="178">
        <v>30</v>
      </c>
      <c r="L18" s="178">
        <v>44</v>
      </c>
      <c r="M18" s="179" t="s">
        <v>180</v>
      </c>
      <c r="N18" s="180">
        <f>L18*K18*G18</f>
        <v>11880</v>
      </c>
      <c r="O18" s="181"/>
      <c r="P18" s="181"/>
      <c r="Q18" s="175">
        <f>N18/$O$2</f>
        <v>1.258074764375728</v>
      </c>
      <c r="R18" s="177">
        <v>2</v>
      </c>
      <c r="S18" s="14" t="s">
        <v>213</v>
      </c>
      <c r="T18" s="14" t="s">
        <v>214</v>
      </c>
    </row>
    <row r="19" spans="1:38" ht="14.25" customHeight="1" x14ac:dyDescent="0.2">
      <c r="A19" s="181"/>
      <c r="B19" s="181"/>
      <c r="C19" s="181"/>
      <c r="D19" s="181"/>
      <c r="E19" s="181"/>
      <c r="F19" s="181"/>
      <c r="G19" s="181"/>
      <c r="H19" s="181"/>
      <c r="I19" s="181"/>
      <c r="J19" s="181"/>
      <c r="K19" s="181"/>
      <c r="L19" s="181"/>
      <c r="M19" s="181"/>
      <c r="N19" s="181"/>
      <c r="O19" s="181"/>
      <c r="P19" s="181"/>
      <c r="Q19" s="181"/>
      <c r="R19" s="181"/>
      <c r="S19" s="40" t="s">
        <v>216</v>
      </c>
      <c r="T19" s="14" t="s">
        <v>217</v>
      </c>
    </row>
    <row r="20" spans="1:38" ht="14.25" customHeight="1" x14ac:dyDescent="0.2">
      <c r="A20" s="181"/>
      <c r="B20" s="181"/>
      <c r="C20" s="181"/>
      <c r="D20" s="176"/>
      <c r="E20" s="176"/>
      <c r="F20" s="176"/>
      <c r="G20" s="176"/>
      <c r="H20" s="181"/>
      <c r="I20" s="181"/>
      <c r="J20" s="176"/>
      <c r="K20" s="176"/>
      <c r="L20" s="176"/>
      <c r="M20" s="176"/>
      <c r="N20" s="176"/>
      <c r="O20" s="181"/>
      <c r="P20" s="181"/>
      <c r="Q20" s="176"/>
      <c r="R20" s="176"/>
      <c r="S20" s="40" t="s">
        <v>219</v>
      </c>
      <c r="T20" s="14" t="s">
        <v>220</v>
      </c>
    </row>
    <row r="21" spans="1:38" ht="14.25" customHeight="1" x14ac:dyDescent="0.2">
      <c r="A21" s="181"/>
      <c r="B21" s="181"/>
      <c r="C21" s="181"/>
      <c r="D21" s="179" t="s">
        <v>185</v>
      </c>
      <c r="E21" s="179" t="s">
        <v>155</v>
      </c>
      <c r="F21" s="179" t="s">
        <v>9</v>
      </c>
      <c r="G21" s="178">
        <v>32</v>
      </c>
      <c r="H21" s="181"/>
      <c r="I21" s="181"/>
      <c r="J21" s="175" t="s">
        <v>27</v>
      </c>
      <c r="K21" s="178">
        <v>50.5</v>
      </c>
      <c r="L21" s="178">
        <v>8.4</v>
      </c>
      <c r="M21" s="179" t="s">
        <v>221</v>
      </c>
      <c r="N21" s="180">
        <f>L21*G21*K21</f>
        <v>13574.400000000001</v>
      </c>
      <c r="O21" s="181"/>
      <c r="P21" s="181"/>
      <c r="Q21" s="175">
        <f>N21/$O$2</f>
        <v>1.4375092661230542</v>
      </c>
      <c r="R21" s="177">
        <v>2</v>
      </c>
      <c r="S21" s="40" t="s">
        <v>216</v>
      </c>
      <c r="T21" s="14" t="s">
        <v>217</v>
      </c>
    </row>
    <row r="22" spans="1:38" ht="14.25" customHeight="1" x14ac:dyDescent="0.2">
      <c r="A22" s="181"/>
      <c r="B22" s="181"/>
      <c r="C22" s="181"/>
      <c r="D22" s="181"/>
      <c r="E22" s="181"/>
      <c r="F22" s="181"/>
      <c r="G22" s="181"/>
      <c r="H22" s="181"/>
      <c r="I22" s="181"/>
      <c r="J22" s="181"/>
      <c r="K22" s="181"/>
      <c r="L22" s="181"/>
      <c r="M22" s="181"/>
      <c r="N22" s="181"/>
      <c r="O22" s="181"/>
      <c r="P22" s="181"/>
      <c r="Q22" s="181"/>
      <c r="R22" s="181"/>
      <c r="S22" s="40" t="s">
        <v>224</v>
      </c>
      <c r="T22" s="14" t="s">
        <v>226</v>
      </c>
    </row>
    <row r="23" spans="1:38" ht="14.25" customHeight="1" x14ac:dyDescent="0.2">
      <c r="A23" s="181"/>
      <c r="B23" s="181"/>
      <c r="C23" s="181"/>
      <c r="D23" s="181"/>
      <c r="E23" s="181"/>
      <c r="F23" s="181"/>
      <c r="G23" s="181"/>
      <c r="H23" s="181"/>
      <c r="I23" s="181"/>
      <c r="J23" s="181"/>
      <c r="K23" s="181"/>
      <c r="L23" s="181"/>
      <c r="M23" s="181"/>
      <c r="N23" s="181"/>
      <c r="O23" s="181"/>
      <c r="P23" s="181"/>
      <c r="Q23" s="181"/>
      <c r="R23" s="181"/>
      <c r="S23" s="40" t="s">
        <v>227</v>
      </c>
      <c r="T23" s="14" t="s">
        <v>228</v>
      </c>
    </row>
    <row r="24" spans="1:38" ht="14.25" customHeight="1" x14ac:dyDescent="0.2">
      <c r="A24" s="181"/>
      <c r="B24" s="181"/>
      <c r="C24" s="181"/>
      <c r="D24" s="176"/>
      <c r="E24" s="176"/>
      <c r="F24" s="176"/>
      <c r="G24" s="176"/>
      <c r="H24" s="181"/>
      <c r="I24" s="181"/>
      <c r="J24" s="176"/>
      <c r="K24" s="176"/>
      <c r="L24" s="176"/>
      <c r="M24" s="176"/>
      <c r="N24" s="176"/>
      <c r="O24" s="181"/>
      <c r="P24" s="181"/>
      <c r="Q24" s="176"/>
      <c r="R24" s="176"/>
      <c r="S24" s="14" t="s">
        <v>229</v>
      </c>
      <c r="T24" s="14" t="s">
        <v>230</v>
      </c>
    </row>
    <row r="25" spans="1:38" ht="14.25" customHeight="1" x14ac:dyDescent="0.2">
      <c r="A25" s="181"/>
      <c r="B25" s="181"/>
      <c r="C25" s="181"/>
      <c r="D25" s="179" t="s">
        <v>197</v>
      </c>
      <c r="E25" s="179" t="s">
        <v>155</v>
      </c>
      <c r="F25" s="179" t="s">
        <v>8</v>
      </c>
      <c r="G25" s="178">
        <v>12</v>
      </c>
      <c r="H25" s="181"/>
      <c r="I25" s="181"/>
      <c r="J25" s="175" t="s">
        <v>231</v>
      </c>
      <c r="K25" s="178">
        <v>29</v>
      </c>
      <c r="L25" s="178">
        <v>97</v>
      </c>
      <c r="M25" s="179" t="s">
        <v>221</v>
      </c>
      <c r="N25" s="180">
        <f>L25*K25*G25</f>
        <v>33756</v>
      </c>
      <c r="O25" s="181"/>
      <c r="P25" s="181"/>
      <c r="Q25" s="175">
        <f>N25/O2</f>
        <v>3.5747114264534576</v>
      </c>
      <c r="R25" s="177">
        <v>2</v>
      </c>
      <c r="S25" s="14" t="s">
        <v>181</v>
      </c>
      <c r="T25" s="14" t="s">
        <v>235</v>
      </c>
    </row>
    <row r="26" spans="1:38" ht="14.25" customHeight="1" x14ac:dyDescent="0.2">
      <c r="A26" s="181"/>
      <c r="B26" s="181"/>
      <c r="C26" s="181"/>
      <c r="D26" s="176"/>
      <c r="E26" s="176"/>
      <c r="F26" s="176"/>
      <c r="G26" s="176"/>
      <c r="H26" s="181"/>
      <c r="I26" s="181"/>
      <c r="J26" s="176"/>
      <c r="K26" s="176"/>
      <c r="L26" s="176"/>
      <c r="M26" s="176"/>
      <c r="N26" s="176"/>
      <c r="O26" s="181"/>
      <c r="P26" s="181"/>
      <c r="Q26" s="176"/>
      <c r="R26" s="176"/>
      <c r="S26" s="14" t="s">
        <v>237</v>
      </c>
      <c r="T26" s="14" t="s">
        <v>238</v>
      </c>
    </row>
    <row r="27" spans="1:38" ht="14.25" customHeight="1" x14ac:dyDescent="0.2">
      <c r="A27" s="181"/>
      <c r="B27" s="181"/>
      <c r="C27" s="181"/>
      <c r="D27" s="179" t="s">
        <v>239</v>
      </c>
      <c r="E27" s="179" t="s">
        <v>155</v>
      </c>
      <c r="F27" s="179" t="s">
        <v>7</v>
      </c>
      <c r="G27" s="182">
        <v>1</v>
      </c>
      <c r="H27" s="181"/>
      <c r="I27" s="181"/>
      <c r="J27" s="175">
        <v>3.3333333333333335E-3</v>
      </c>
      <c r="K27" s="179" t="s">
        <v>27</v>
      </c>
      <c r="L27" s="178">
        <v>1.6559999999999999</v>
      </c>
      <c r="M27" s="179" t="s">
        <v>242</v>
      </c>
      <c r="N27" s="180">
        <f>L27*H18</f>
        <v>15732</v>
      </c>
      <c r="O27" s="181"/>
      <c r="P27" s="181"/>
      <c r="Q27" s="175">
        <f>N27/$O$2</f>
        <v>1.6659959758551308</v>
      </c>
      <c r="R27" s="177">
        <v>4</v>
      </c>
      <c r="S27" s="14" t="s">
        <v>243</v>
      </c>
      <c r="T27" s="14" t="s">
        <v>244</v>
      </c>
    </row>
    <row r="28" spans="1:38" ht="14.25" customHeight="1" x14ac:dyDescent="0.2">
      <c r="A28" s="181"/>
      <c r="B28" s="181"/>
      <c r="C28" s="181"/>
      <c r="D28" s="181"/>
      <c r="E28" s="181"/>
      <c r="F28" s="181"/>
      <c r="G28" s="181"/>
      <c r="H28" s="181"/>
      <c r="I28" s="181"/>
      <c r="J28" s="181"/>
      <c r="K28" s="181"/>
      <c r="L28" s="181"/>
      <c r="M28" s="181"/>
      <c r="N28" s="181"/>
      <c r="O28" s="181"/>
      <c r="P28" s="181"/>
      <c r="Q28" s="181"/>
      <c r="R28" s="181"/>
      <c r="S28" s="40" t="s">
        <v>246</v>
      </c>
      <c r="T28" s="14" t="s">
        <v>247</v>
      </c>
    </row>
    <row r="29" spans="1:38" ht="14.25" customHeight="1" x14ac:dyDescent="0.2">
      <c r="A29" s="181"/>
      <c r="B29" s="176"/>
      <c r="C29" s="176"/>
      <c r="D29" s="176"/>
      <c r="E29" s="176"/>
      <c r="F29" s="176"/>
      <c r="G29" s="176"/>
      <c r="H29" s="176"/>
      <c r="I29" s="176"/>
      <c r="J29" s="176"/>
      <c r="K29" s="176"/>
      <c r="L29" s="176"/>
      <c r="M29" s="176"/>
      <c r="N29" s="176"/>
      <c r="O29" s="181"/>
      <c r="P29" s="181"/>
      <c r="Q29" s="176"/>
      <c r="R29" s="176"/>
      <c r="S29" s="14" t="s">
        <v>249</v>
      </c>
      <c r="T29" s="14" t="s">
        <v>250</v>
      </c>
    </row>
    <row r="30" spans="1:38" ht="15" customHeight="1" x14ac:dyDescent="0.2">
      <c r="A30" s="181"/>
      <c r="B30" s="183" t="s">
        <v>251</v>
      </c>
      <c r="C30" s="184" t="s">
        <v>252</v>
      </c>
      <c r="D30" s="50" t="s">
        <v>253</v>
      </c>
      <c r="E30" s="50" t="s">
        <v>140</v>
      </c>
      <c r="F30" s="50" t="s">
        <v>20</v>
      </c>
      <c r="G30" s="182">
        <v>1</v>
      </c>
      <c r="H30" s="182">
        <v>1800</v>
      </c>
      <c r="I30" s="183" t="s">
        <v>166</v>
      </c>
      <c r="J30" s="51">
        <v>0.66666666666666663</v>
      </c>
      <c r="K30" s="50" t="s">
        <v>27</v>
      </c>
      <c r="L30" s="53">
        <v>150</v>
      </c>
      <c r="M30" s="14" t="s">
        <v>256</v>
      </c>
      <c r="N30" s="54">
        <f>L30*J30*H30</f>
        <v>180000</v>
      </c>
      <c r="O30" s="181"/>
      <c r="P30" s="181"/>
      <c r="Q30" s="57">
        <f t="shared" ref="Q30:Q35" si="1">N30/$O$2</f>
        <v>19.061738854177698</v>
      </c>
      <c r="R30" s="58">
        <v>3</v>
      </c>
      <c r="S30" s="40" t="s">
        <v>259</v>
      </c>
      <c r="T30" s="14" t="s">
        <v>260</v>
      </c>
      <c r="U30" s="60"/>
      <c r="V30" s="61"/>
      <c r="W30" s="61"/>
      <c r="X30" s="61"/>
      <c r="Y30" s="61"/>
      <c r="Z30" s="61"/>
      <c r="AA30" s="61"/>
      <c r="AB30" s="61"/>
      <c r="AC30" s="61"/>
      <c r="AD30" s="63"/>
      <c r="AE30" s="63"/>
      <c r="AF30" s="63"/>
      <c r="AG30" s="63"/>
      <c r="AH30" s="63"/>
      <c r="AI30" s="63"/>
      <c r="AJ30" s="63"/>
      <c r="AK30" s="63"/>
      <c r="AL30" s="63"/>
    </row>
    <row r="31" spans="1:38" ht="15" customHeight="1" x14ac:dyDescent="0.2">
      <c r="A31" s="181"/>
      <c r="B31" s="181"/>
      <c r="C31" s="176"/>
      <c r="D31" s="50" t="s">
        <v>154</v>
      </c>
      <c r="E31" s="50" t="s">
        <v>155</v>
      </c>
      <c r="F31" s="50" t="s">
        <v>156</v>
      </c>
      <c r="G31" s="176"/>
      <c r="H31" s="176"/>
      <c r="I31" s="176"/>
      <c r="J31" s="51" t="s">
        <v>27</v>
      </c>
      <c r="K31" s="50" t="s">
        <v>27</v>
      </c>
      <c r="L31" s="53">
        <v>1.9</v>
      </c>
      <c r="M31" s="14" t="s">
        <v>265</v>
      </c>
      <c r="N31" s="54">
        <f>L31*H30</f>
        <v>3420</v>
      </c>
      <c r="O31" s="181"/>
      <c r="P31" s="181"/>
      <c r="Q31" s="57">
        <f t="shared" si="1"/>
        <v>0.36217303822937624</v>
      </c>
      <c r="R31" s="58">
        <v>3</v>
      </c>
      <c r="S31" s="40" t="s">
        <v>262</v>
      </c>
      <c r="T31" s="14" t="s">
        <v>267</v>
      </c>
      <c r="U31" s="60"/>
      <c r="V31" s="61"/>
      <c r="W31" s="61"/>
      <c r="X31" s="61"/>
      <c r="Y31" s="61"/>
      <c r="Z31" s="61"/>
      <c r="AA31" s="61"/>
      <c r="AB31" s="61"/>
      <c r="AC31" s="61"/>
      <c r="AD31" s="63"/>
      <c r="AE31" s="63"/>
      <c r="AF31" s="63"/>
      <c r="AG31" s="63"/>
      <c r="AH31" s="63"/>
      <c r="AI31" s="63"/>
      <c r="AJ31" s="63"/>
      <c r="AK31" s="63"/>
      <c r="AL31" s="63"/>
    </row>
    <row r="32" spans="1:38" ht="15" customHeight="1" x14ac:dyDescent="0.2">
      <c r="A32" s="181"/>
      <c r="B32" s="181"/>
      <c r="C32" s="184" t="s">
        <v>268</v>
      </c>
      <c r="D32" s="50" t="s">
        <v>269</v>
      </c>
      <c r="E32" s="50" t="s">
        <v>155</v>
      </c>
      <c r="F32" s="50" t="s">
        <v>7</v>
      </c>
      <c r="G32" s="178">
        <v>1</v>
      </c>
      <c r="H32" s="178">
        <v>4000</v>
      </c>
      <c r="I32" s="179" t="s">
        <v>166</v>
      </c>
      <c r="J32" s="51">
        <v>5.0000000000000001E-3</v>
      </c>
      <c r="K32" s="50" t="s">
        <v>27</v>
      </c>
      <c r="L32" s="53">
        <v>480</v>
      </c>
      <c r="M32" s="14" t="s">
        <v>272</v>
      </c>
      <c r="N32" s="54">
        <f>L32*J32*H32</f>
        <v>9600</v>
      </c>
      <c r="O32" s="181"/>
      <c r="P32" s="181"/>
      <c r="Q32" s="57">
        <f t="shared" si="1"/>
        <v>1.0166260722228107</v>
      </c>
      <c r="R32" s="58">
        <v>4</v>
      </c>
      <c r="S32" s="40" t="s">
        <v>275</v>
      </c>
      <c r="T32" s="14" t="s">
        <v>276</v>
      </c>
      <c r="U32" s="63"/>
      <c r="V32" s="63"/>
      <c r="W32" s="63"/>
      <c r="X32" s="63"/>
      <c r="Y32" s="63"/>
      <c r="Z32" s="63"/>
      <c r="AA32" s="63"/>
      <c r="AB32" s="63"/>
      <c r="AC32" s="63"/>
      <c r="AD32" s="63"/>
      <c r="AE32" s="63"/>
      <c r="AF32" s="63"/>
      <c r="AG32" s="63"/>
      <c r="AH32" s="63"/>
      <c r="AI32" s="63"/>
      <c r="AJ32" s="63"/>
      <c r="AK32" s="63"/>
      <c r="AL32" s="63"/>
    </row>
    <row r="33" spans="1:38" ht="15" customHeight="1" x14ac:dyDescent="0.2">
      <c r="A33" s="181"/>
      <c r="B33" s="181"/>
      <c r="C33" s="181"/>
      <c r="D33" s="50" t="s">
        <v>278</v>
      </c>
      <c r="E33" s="50" t="s">
        <v>279</v>
      </c>
      <c r="F33" s="50" t="s">
        <v>14</v>
      </c>
      <c r="G33" s="181"/>
      <c r="H33" s="181"/>
      <c r="I33" s="181"/>
      <c r="J33" s="51" t="s">
        <v>27</v>
      </c>
      <c r="K33" s="50" t="s">
        <v>27</v>
      </c>
      <c r="L33" s="53">
        <v>0.15</v>
      </c>
      <c r="M33" s="14" t="s">
        <v>282</v>
      </c>
      <c r="N33" s="54">
        <f>L33*H32</f>
        <v>600</v>
      </c>
      <c r="O33" s="181"/>
      <c r="P33" s="181"/>
      <c r="Q33" s="57">
        <f t="shared" si="1"/>
        <v>6.3539129513925666E-2</v>
      </c>
      <c r="R33" s="58">
        <v>2</v>
      </c>
      <c r="S33" s="14" t="s">
        <v>283</v>
      </c>
      <c r="T33" s="14" t="s">
        <v>284</v>
      </c>
      <c r="U33" s="63"/>
      <c r="V33" s="63"/>
      <c r="W33" s="63"/>
      <c r="X33" s="63"/>
      <c r="Y33" s="63"/>
      <c r="Z33" s="63"/>
      <c r="AA33" s="63"/>
      <c r="AB33" s="63"/>
      <c r="AC33" s="63"/>
      <c r="AD33" s="63"/>
      <c r="AE33" s="63"/>
      <c r="AF33" s="63"/>
      <c r="AG33" s="63"/>
      <c r="AH33" s="63"/>
      <c r="AI33" s="63"/>
      <c r="AJ33" s="63"/>
      <c r="AK33" s="63"/>
      <c r="AL33" s="63"/>
    </row>
    <row r="34" spans="1:38" ht="15" customHeight="1" x14ac:dyDescent="0.2">
      <c r="A34" s="181"/>
      <c r="B34" s="181"/>
      <c r="C34" s="181"/>
      <c r="D34" s="50" t="s">
        <v>286</v>
      </c>
      <c r="E34" s="50" t="s">
        <v>287</v>
      </c>
      <c r="F34" s="50" t="s">
        <v>288</v>
      </c>
      <c r="G34" s="181"/>
      <c r="H34" s="181"/>
      <c r="I34" s="181"/>
      <c r="J34" s="51">
        <v>0.16666666666666666</v>
      </c>
      <c r="K34" s="50" t="s">
        <v>27</v>
      </c>
      <c r="L34" s="53">
        <v>2.5</v>
      </c>
      <c r="M34" s="14" t="s">
        <v>289</v>
      </c>
      <c r="N34" s="54">
        <f>L34*J34*H32</f>
        <v>1666.6666666666665</v>
      </c>
      <c r="O34" s="181"/>
      <c r="P34" s="181"/>
      <c r="Q34" s="57">
        <f t="shared" si="1"/>
        <v>0.17649758198312682</v>
      </c>
      <c r="R34" s="58">
        <v>2</v>
      </c>
      <c r="S34" s="14" t="s">
        <v>291</v>
      </c>
      <c r="T34" s="14" t="s">
        <v>292</v>
      </c>
      <c r="U34" s="63"/>
      <c r="V34" s="63"/>
      <c r="W34" s="63"/>
      <c r="X34" s="63"/>
      <c r="Y34" s="63"/>
      <c r="Z34" s="63"/>
      <c r="AA34" s="63"/>
      <c r="AB34" s="63"/>
      <c r="AC34" s="63"/>
      <c r="AD34" s="63"/>
      <c r="AE34" s="63"/>
      <c r="AF34" s="63"/>
      <c r="AG34" s="63"/>
      <c r="AH34" s="63"/>
      <c r="AI34" s="63"/>
      <c r="AJ34" s="63"/>
      <c r="AK34" s="63"/>
      <c r="AL34" s="63"/>
    </row>
    <row r="35" spans="1:38" ht="15" customHeight="1" x14ac:dyDescent="0.2">
      <c r="A35" s="181"/>
      <c r="B35" s="176"/>
      <c r="C35" s="176"/>
      <c r="D35" s="50" t="s">
        <v>293</v>
      </c>
      <c r="E35" s="50" t="s">
        <v>294</v>
      </c>
      <c r="F35" s="50" t="s">
        <v>12</v>
      </c>
      <c r="G35" s="176"/>
      <c r="H35" s="176"/>
      <c r="I35" s="176"/>
      <c r="J35" s="51">
        <v>4.1666666666666664E-2</v>
      </c>
      <c r="K35" s="50" t="s">
        <v>27</v>
      </c>
      <c r="L35" s="53">
        <v>50</v>
      </c>
      <c r="M35" s="14" t="s">
        <v>295</v>
      </c>
      <c r="N35" s="67">
        <f>L35*J35*H32</f>
        <v>8333.3333333333321</v>
      </c>
      <c r="O35" s="181"/>
      <c r="P35" s="181"/>
      <c r="Q35" s="57">
        <f t="shared" si="1"/>
        <v>0.88248790991563397</v>
      </c>
      <c r="R35" s="58">
        <v>3</v>
      </c>
      <c r="S35" s="40" t="s">
        <v>296</v>
      </c>
      <c r="T35" s="14" t="s">
        <v>297</v>
      </c>
      <c r="U35" s="63"/>
      <c r="V35" s="63"/>
      <c r="W35" s="63"/>
      <c r="X35" s="63"/>
      <c r="Y35" s="63"/>
      <c r="Z35" s="63"/>
      <c r="AA35" s="63"/>
      <c r="AB35" s="63"/>
      <c r="AC35" s="63"/>
      <c r="AD35" s="63"/>
      <c r="AE35" s="63"/>
      <c r="AF35" s="63"/>
      <c r="AG35" s="63"/>
      <c r="AH35" s="63"/>
      <c r="AI35" s="63"/>
      <c r="AJ35" s="63"/>
      <c r="AK35" s="63"/>
      <c r="AL35" s="63"/>
    </row>
    <row r="36" spans="1:38" ht="15" customHeight="1" x14ac:dyDescent="0.2">
      <c r="A36" s="181"/>
      <c r="B36" s="68" t="s">
        <v>299</v>
      </c>
      <c r="C36" s="69" t="s">
        <v>300</v>
      </c>
      <c r="D36" s="50" t="s">
        <v>301</v>
      </c>
      <c r="E36" s="50" t="s">
        <v>27</v>
      </c>
      <c r="F36" s="50" t="s">
        <v>27</v>
      </c>
      <c r="G36" s="70">
        <v>6</v>
      </c>
      <c r="H36" s="53">
        <v>21</v>
      </c>
      <c r="I36" s="50" t="s">
        <v>166</v>
      </c>
      <c r="J36" s="51" t="s">
        <v>27</v>
      </c>
      <c r="K36" s="50" t="s">
        <v>27</v>
      </c>
      <c r="L36" s="53" t="s">
        <v>27</v>
      </c>
      <c r="M36" s="50" t="s">
        <v>304</v>
      </c>
      <c r="N36" s="54">
        <f t="shared" ref="N36:N37" si="2">H36*G36</f>
        <v>126</v>
      </c>
      <c r="O36" s="181"/>
      <c r="P36" s="181"/>
      <c r="Q36" s="51">
        <f>N36/O2</f>
        <v>1.3343217197924388E-2</v>
      </c>
      <c r="R36" s="58">
        <v>4</v>
      </c>
      <c r="S36" s="14" t="s">
        <v>307</v>
      </c>
      <c r="T36" s="14" t="s">
        <v>308</v>
      </c>
    </row>
    <row r="37" spans="1:38" ht="15" customHeight="1" x14ac:dyDescent="0.2">
      <c r="A37" s="181"/>
      <c r="B37" s="183" t="s">
        <v>310</v>
      </c>
      <c r="C37" s="183" t="s">
        <v>312</v>
      </c>
      <c r="D37" s="179" t="s">
        <v>313</v>
      </c>
      <c r="E37" s="179" t="s">
        <v>27</v>
      </c>
      <c r="F37" s="179" t="s">
        <v>27</v>
      </c>
      <c r="G37" s="182">
        <v>3</v>
      </c>
      <c r="H37" s="178">
        <v>85</v>
      </c>
      <c r="I37" s="179" t="s">
        <v>166</v>
      </c>
      <c r="J37" s="175" t="s">
        <v>27</v>
      </c>
      <c r="K37" s="179" t="s">
        <v>27</v>
      </c>
      <c r="L37" s="178" t="s">
        <v>27</v>
      </c>
      <c r="M37" s="179" t="s">
        <v>314</v>
      </c>
      <c r="N37" s="180">
        <f t="shared" si="2"/>
        <v>255</v>
      </c>
      <c r="O37" s="181"/>
      <c r="P37" s="181"/>
      <c r="Q37" s="175">
        <f>N37/$O$2</f>
        <v>2.7004130043418405E-2</v>
      </c>
      <c r="R37" s="177">
        <v>4</v>
      </c>
      <c r="S37" s="40" t="s">
        <v>316</v>
      </c>
      <c r="T37" s="14" t="s">
        <v>318</v>
      </c>
    </row>
    <row r="38" spans="1:38" ht="16.5" customHeight="1" x14ac:dyDescent="0.2">
      <c r="A38" s="181"/>
      <c r="B38" s="176"/>
      <c r="C38" s="176"/>
      <c r="D38" s="176"/>
      <c r="E38" s="176"/>
      <c r="F38" s="176"/>
      <c r="G38" s="176"/>
      <c r="H38" s="176"/>
      <c r="I38" s="176"/>
      <c r="J38" s="176"/>
      <c r="K38" s="176"/>
      <c r="L38" s="176"/>
      <c r="M38" s="176"/>
      <c r="N38" s="176"/>
      <c r="O38" s="181"/>
      <c r="P38" s="181"/>
      <c r="Q38" s="176"/>
      <c r="R38" s="176"/>
      <c r="S38" s="40" t="s">
        <v>319</v>
      </c>
      <c r="T38" s="14" t="s">
        <v>320</v>
      </c>
    </row>
    <row r="39" spans="1:38" ht="14.25" customHeight="1" x14ac:dyDescent="0.2">
      <c r="A39" s="181"/>
      <c r="B39" s="183" t="s">
        <v>321</v>
      </c>
      <c r="C39" s="184" t="s">
        <v>322</v>
      </c>
      <c r="D39" s="179" t="s">
        <v>323</v>
      </c>
      <c r="E39" s="179" t="s">
        <v>13</v>
      </c>
      <c r="F39" s="179" t="s">
        <v>13</v>
      </c>
      <c r="G39" s="182">
        <v>1</v>
      </c>
      <c r="H39" s="187">
        <v>8900</v>
      </c>
      <c r="I39" s="187" t="s">
        <v>166</v>
      </c>
      <c r="J39" s="175">
        <v>4.1666666666666666E-3</v>
      </c>
      <c r="K39" s="179" t="s">
        <v>27</v>
      </c>
      <c r="L39" s="178">
        <v>0.56899999999999995</v>
      </c>
      <c r="M39" s="179" t="s">
        <v>324</v>
      </c>
      <c r="N39" s="189">
        <f>H39*L39</f>
        <v>5064.0999999999995</v>
      </c>
      <c r="O39" s="181"/>
      <c r="P39" s="181"/>
      <c r="Q39" s="175">
        <f>N39/$O$2</f>
        <v>0.53628084295245149</v>
      </c>
      <c r="R39" s="177">
        <v>3</v>
      </c>
      <c r="S39" s="14" t="s">
        <v>325</v>
      </c>
      <c r="T39" s="14" t="s">
        <v>326</v>
      </c>
      <c r="U39" s="78"/>
    </row>
    <row r="40" spans="1:38" ht="14.25" customHeight="1" x14ac:dyDescent="0.2">
      <c r="A40" s="181"/>
      <c r="B40" s="181"/>
      <c r="C40" s="181"/>
      <c r="D40" s="181"/>
      <c r="E40" s="181"/>
      <c r="F40" s="181"/>
      <c r="G40" s="181"/>
      <c r="H40" s="181"/>
      <c r="I40" s="181"/>
      <c r="J40" s="181"/>
      <c r="K40" s="181"/>
      <c r="L40" s="181"/>
      <c r="M40" s="181"/>
      <c r="N40" s="181"/>
      <c r="O40" s="181"/>
      <c r="P40" s="181"/>
      <c r="Q40" s="181"/>
      <c r="R40" s="181"/>
      <c r="S40" s="14" t="s">
        <v>327</v>
      </c>
      <c r="T40" s="14" t="s">
        <v>328</v>
      </c>
      <c r="U40" s="78"/>
    </row>
    <row r="41" spans="1:38" ht="14.25" customHeight="1" x14ac:dyDescent="0.2">
      <c r="A41" s="181"/>
      <c r="B41" s="181"/>
      <c r="C41" s="181"/>
      <c r="D41" s="176"/>
      <c r="E41" s="176"/>
      <c r="F41" s="176"/>
      <c r="G41" s="176"/>
      <c r="H41" s="181"/>
      <c r="I41" s="181"/>
      <c r="J41" s="176"/>
      <c r="K41" s="176"/>
      <c r="L41" s="176"/>
      <c r="M41" s="176"/>
      <c r="N41" s="176"/>
      <c r="O41" s="181"/>
      <c r="P41" s="181"/>
      <c r="Q41" s="176"/>
      <c r="R41" s="176"/>
      <c r="S41" s="40" t="s">
        <v>329</v>
      </c>
      <c r="T41" s="14" t="s">
        <v>330</v>
      </c>
    </row>
    <row r="42" spans="1:38" ht="14.25" customHeight="1" x14ac:dyDescent="0.2">
      <c r="A42" s="181"/>
      <c r="B42" s="181"/>
      <c r="C42" s="181"/>
      <c r="D42" s="179" t="s">
        <v>331</v>
      </c>
      <c r="E42" s="179" t="s">
        <v>279</v>
      </c>
      <c r="F42" s="179" t="s">
        <v>15</v>
      </c>
      <c r="G42" s="178">
        <v>1</v>
      </c>
      <c r="H42" s="181"/>
      <c r="I42" s="181"/>
      <c r="J42" s="175" t="s">
        <v>27</v>
      </c>
      <c r="K42" s="179" t="s">
        <v>27</v>
      </c>
      <c r="L42" s="178">
        <v>0.215</v>
      </c>
      <c r="M42" s="179" t="s">
        <v>332</v>
      </c>
      <c r="N42" s="189">
        <f>H39*L42</f>
        <v>1913.5</v>
      </c>
      <c r="O42" s="181"/>
      <c r="P42" s="181"/>
      <c r="Q42" s="175">
        <f>N42/$O$2</f>
        <v>0.20263687387482793</v>
      </c>
      <c r="R42" s="177">
        <v>3</v>
      </c>
      <c r="S42" s="14" t="s">
        <v>333</v>
      </c>
      <c r="T42" s="14" t="s">
        <v>334</v>
      </c>
    </row>
    <row r="43" spans="1:38" ht="14.25" customHeight="1" x14ac:dyDescent="0.2">
      <c r="A43" s="181"/>
      <c r="B43" s="181"/>
      <c r="C43" s="181"/>
      <c r="D43" s="176"/>
      <c r="E43" s="176"/>
      <c r="F43" s="176"/>
      <c r="G43" s="176"/>
      <c r="H43" s="181"/>
      <c r="I43" s="181"/>
      <c r="J43" s="176"/>
      <c r="K43" s="176"/>
      <c r="L43" s="176"/>
      <c r="M43" s="176"/>
      <c r="N43" s="176"/>
      <c r="O43" s="181"/>
      <c r="P43" s="181"/>
      <c r="Q43" s="176"/>
      <c r="R43" s="176"/>
      <c r="S43" s="40" t="s">
        <v>335</v>
      </c>
      <c r="T43" s="14" t="s">
        <v>336</v>
      </c>
    </row>
    <row r="44" spans="1:38" ht="15" customHeight="1" x14ac:dyDescent="0.2">
      <c r="A44" s="181"/>
      <c r="B44" s="181"/>
      <c r="C44" s="181"/>
      <c r="D44" s="179" t="s">
        <v>5</v>
      </c>
      <c r="E44" s="179" t="s">
        <v>92</v>
      </c>
      <c r="F44" s="179" t="s">
        <v>5</v>
      </c>
      <c r="G44" s="178">
        <v>1</v>
      </c>
      <c r="H44" s="181"/>
      <c r="I44" s="181"/>
      <c r="J44" s="175">
        <v>5.2083333333333336E-2</v>
      </c>
      <c r="K44" s="179" t="s">
        <v>27</v>
      </c>
      <c r="L44" s="178">
        <v>1.56</v>
      </c>
      <c r="M44" s="179" t="s">
        <v>337</v>
      </c>
      <c r="N44" s="180">
        <f>L44*H39</f>
        <v>13884</v>
      </c>
      <c r="O44" s="181"/>
      <c r="P44" s="181"/>
      <c r="Q44" s="175">
        <f>N44/$O$2</f>
        <v>1.4702954569522397</v>
      </c>
      <c r="R44" s="177">
        <v>3</v>
      </c>
      <c r="S44" s="40" t="s">
        <v>338</v>
      </c>
      <c r="T44" s="14" t="s">
        <v>339</v>
      </c>
    </row>
    <row r="45" spans="1:38" ht="14.25" customHeight="1" x14ac:dyDescent="0.2">
      <c r="A45" s="181"/>
      <c r="B45" s="181"/>
      <c r="C45" s="181"/>
      <c r="D45" s="176"/>
      <c r="E45" s="176"/>
      <c r="F45" s="176"/>
      <c r="G45" s="176"/>
      <c r="H45" s="181"/>
      <c r="I45" s="181"/>
      <c r="J45" s="176"/>
      <c r="K45" s="176"/>
      <c r="L45" s="176"/>
      <c r="M45" s="176"/>
      <c r="N45" s="176"/>
      <c r="O45" s="181"/>
      <c r="P45" s="181"/>
      <c r="Q45" s="176"/>
      <c r="R45" s="176"/>
      <c r="S45" s="40" t="s">
        <v>340</v>
      </c>
      <c r="T45" s="14" t="s">
        <v>341</v>
      </c>
    </row>
    <row r="46" spans="1:38" ht="17.25" customHeight="1" x14ac:dyDescent="0.2">
      <c r="A46" s="181"/>
      <c r="B46" s="181"/>
      <c r="C46" s="181"/>
      <c r="D46" s="179" t="s">
        <v>286</v>
      </c>
      <c r="E46" s="179" t="s">
        <v>287</v>
      </c>
      <c r="F46" s="179" t="s">
        <v>288</v>
      </c>
      <c r="G46" s="182">
        <v>2</v>
      </c>
      <c r="H46" s="181"/>
      <c r="I46" s="181"/>
      <c r="J46" s="175">
        <v>0.125</v>
      </c>
      <c r="K46" s="179" t="s">
        <v>27</v>
      </c>
      <c r="L46" s="178">
        <v>2.5</v>
      </c>
      <c r="M46" s="179" t="s">
        <v>342</v>
      </c>
      <c r="N46" s="180">
        <f>L46*H39*J46*G46</f>
        <v>5562.5</v>
      </c>
      <c r="O46" s="181"/>
      <c r="P46" s="181"/>
      <c r="Q46" s="175">
        <f>N46/$O$2</f>
        <v>0.58906067986868582</v>
      </c>
      <c r="R46" s="177">
        <v>1</v>
      </c>
      <c r="S46" s="14" t="s">
        <v>343</v>
      </c>
      <c r="T46" s="14" t="s">
        <v>344</v>
      </c>
    </row>
    <row r="47" spans="1:38" ht="14.25" customHeight="1" x14ac:dyDescent="0.2">
      <c r="A47" s="181"/>
      <c r="B47" s="181"/>
      <c r="C47" s="181"/>
      <c r="D47" s="181"/>
      <c r="E47" s="181"/>
      <c r="F47" s="181"/>
      <c r="G47" s="181"/>
      <c r="H47" s="181"/>
      <c r="I47" s="181"/>
      <c r="J47" s="181"/>
      <c r="K47" s="181"/>
      <c r="L47" s="181"/>
      <c r="M47" s="181"/>
      <c r="N47" s="181"/>
      <c r="O47" s="181"/>
      <c r="P47" s="181"/>
      <c r="Q47" s="181"/>
      <c r="R47" s="181"/>
      <c r="S47" s="14" t="s">
        <v>345</v>
      </c>
      <c r="T47" s="14" t="s">
        <v>346</v>
      </c>
    </row>
    <row r="48" spans="1:38" ht="14.25" customHeight="1" x14ac:dyDescent="0.2">
      <c r="A48" s="181"/>
      <c r="B48" s="181"/>
      <c r="C48" s="181"/>
      <c r="D48" s="181"/>
      <c r="E48" s="181"/>
      <c r="F48" s="181"/>
      <c r="G48" s="181"/>
      <c r="H48" s="181"/>
      <c r="I48" s="181"/>
      <c r="J48" s="181"/>
      <c r="K48" s="181"/>
      <c r="L48" s="181"/>
      <c r="M48" s="181"/>
      <c r="N48" s="181"/>
      <c r="O48" s="181"/>
      <c r="P48" s="181"/>
      <c r="Q48" s="181"/>
      <c r="R48" s="181"/>
      <c r="S48" s="14" t="s">
        <v>347</v>
      </c>
      <c r="T48" s="14" t="s">
        <v>348</v>
      </c>
    </row>
    <row r="49" spans="1:20" ht="14.25" customHeight="1" x14ac:dyDescent="0.2">
      <c r="A49" s="176"/>
      <c r="B49" s="176"/>
      <c r="C49" s="176"/>
      <c r="D49" s="176"/>
      <c r="E49" s="176"/>
      <c r="F49" s="176"/>
      <c r="G49" s="176"/>
      <c r="H49" s="176"/>
      <c r="I49" s="176"/>
      <c r="J49" s="176"/>
      <c r="K49" s="176"/>
      <c r="L49" s="176"/>
      <c r="M49" s="176"/>
      <c r="N49" s="176"/>
      <c r="O49" s="176"/>
      <c r="P49" s="176"/>
      <c r="Q49" s="176"/>
      <c r="R49" s="176"/>
      <c r="S49" s="14" t="s">
        <v>349</v>
      </c>
      <c r="T49" s="14" t="s">
        <v>350</v>
      </c>
    </row>
    <row r="50" spans="1:20" ht="14.25" customHeight="1" x14ac:dyDescent="0.2"/>
    <row r="51" spans="1:20" ht="14.25" customHeight="1" x14ac:dyDescent="0.2"/>
    <row r="52" spans="1:20" ht="14.25" customHeight="1" x14ac:dyDescent="0.2">
      <c r="F52" s="28" t="s">
        <v>309</v>
      </c>
      <c r="G52" s="28" t="s">
        <v>128</v>
      </c>
      <c r="H52" s="28" t="s">
        <v>351</v>
      </c>
    </row>
    <row r="53" spans="1:20" ht="14.25" customHeight="1" x14ac:dyDescent="0.2">
      <c r="F53" s="50" t="s">
        <v>140</v>
      </c>
      <c r="G53" s="72">
        <f t="shared" ref="G53:G65" si="3">SUMIF($F$2:$F$49,$F53,N$2:N$49)</f>
        <v>724500</v>
      </c>
      <c r="H53" s="73">
        <f t="shared" ref="H53:H65" si="4">SUMIF($F$2:$F$49,$F53,Q$2:Q$49)</f>
        <v>76.723498888065237</v>
      </c>
    </row>
    <row r="54" spans="1:20" ht="14.25" customHeight="1" x14ac:dyDescent="0.2">
      <c r="F54" s="14" t="s">
        <v>156</v>
      </c>
      <c r="G54" s="72">
        <f t="shared" si="3"/>
        <v>32115</v>
      </c>
      <c r="H54" s="73">
        <f t="shared" si="4"/>
        <v>3.4009319072328714</v>
      </c>
    </row>
    <row r="55" spans="1:20" ht="14.25" customHeight="1" x14ac:dyDescent="0.2">
      <c r="F55" s="50" t="s">
        <v>4</v>
      </c>
      <c r="G55" s="72">
        <f t="shared" si="3"/>
        <v>5880.6</v>
      </c>
      <c r="H55" s="73">
        <f t="shared" si="4"/>
        <v>0.6227470083659854</v>
      </c>
    </row>
    <row r="56" spans="1:20" ht="14.25" customHeight="1" x14ac:dyDescent="0.2">
      <c r="F56" s="50" t="s">
        <v>5</v>
      </c>
      <c r="G56" s="72">
        <f t="shared" si="3"/>
        <v>19250.666666666668</v>
      </c>
      <c r="H56" s="73">
        <f t="shared" si="4"/>
        <v>2.0386176709379082</v>
      </c>
    </row>
    <row r="57" spans="1:20" ht="14.25" customHeight="1" x14ac:dyDescent="0.2">
      <c r="F57" s="50" t="s">
        <v>20</v>
      </c>
      <c r="G57" s="72">
        <f t="shared" si="3"/>
        <v>180000</v>
      </c>
      <c r="H57" s="73">
        <f t="shared" si="4"/>
        <v>19.061738854177698</v>
      </c>
    </row>
    <row r="58" spans="1:20" ht="14.25" customHeight="1" x14ac:dyDescent="0.2">
      <c r="F58" s="50" t="s">
        <v>7</v>
      </c>
      <c r="G58" s="72">
        <f t="shared" si="3"/>
        <v>25332</v>
      </c>
      <c r="H58" s="73">
        <f t="shared" si="4"/>
        <v>2.6826220480779415</v>
      </c>
    </row>
    <row r="59" spans="1:20" ht="14.25" customHeight="1" x14ac:dyDescent="0.2">
      <c r="F59" s="50" t="s">
        <v>8</v>
      </c>
      <c r="G59" s="72">
        <f t="shared" si="3"/>
        <v>45636</v>
      </c>
      <c r="H59" s="73">
        <f t="shared" si="4"/>
        <v>4.8327861908291858</v>
      </c>
    </row>
    <row r="60" spans="1:20" ht="14.25" customHeight="1" x14ac:dyDescent="0.2">
      <c r="F60" s="50" t="s">
        <v>9</v>
      </c>
      <c r="G60" s="72">
        <f t="shared" si="3"/>
        <v>13574.400000000001</v>
      </c>
      <c r="H60" s="73">
        <f t="shared" si="4"/>
        <v>1.4375092661230542</v>
      </c>
    </row>
    <row r="61" spans="1:20" ht="14.25" customHeight="1" x14ac:dyDescent="0.2">
      <c r="F61" s="50" t="s">
        <v>288</v>
      </c>
      <c r="G61" s="72">
        <f t="shared" si="3"/>
        <v>7229.1666666666661</v>
      </c>
      <c r="H61" s="73">
        <f t="shared" si="4"/>
        <v>0.76555826185181264</v>
      </c>
    </row>
    <row r="62" spans="1:20" ht="14.25" customHeight="1" x14ac:dyDescent="0.2">
      <c r="F62" s="50" t="s">
        <v>12</v>
      </c>
      <c r="G62" s="72">
        <f t="shared" si="3"/>
        <v>8333.3333333333321</v>
      </c>
      <c r="H62" s="73">
        <f t="shared" si="4"/>
        <v>0.88248790991563397</v>
      </c>
    </row>
    <row r="63" spans="1:20" ht="14.25" customHeight="1" x14ac:dyDescent="0.2">
      <c r="F63" s="50" t="s">
        <v>13</v>
      </c>
      <c r="G63" s="72">
        <f t="shared" si="3"/>
        <v>5064.0999999999995</v>
      </c>
      <c r="H63" s="73">
        <f t="shared" si="4"/>
        <v>0.53628084295245149</v>
      </c>
    </row>
    <row r="64" spans="1:20" ht="14.25" customHeight="1" x14ac:dyDescent="0.2">
      <c r="F64" s="50" t="s">
        <v>14</v>
      </c>
      <c r="G64" s="72">
        <f t="shared" si="3"/>
        <v>600</v>
      </c>
      <c r="H64" s="73">
        <f t="shared" si="4"/>
        <v>6.3539129513925666E-2</v>
      </c>
    </row>
    <row r="65" spans="6:8" ht="14.25" customHeight="1" x14ac:dyDescent="0.2">
      <c r="F65" s="50" t="s">
        <v>15</v>
      </c>
      <c r="G65" s="72">
        <f t="shared" si="3"/>
        <v>1913.5</v>
      </c>
      <c r="H65" s="73">
        <f t="shared" si="4"/>
        <v>0.20263687387482793</v>
      </c>
    </row>
    <row r="66" spans="6:8" ht="14.25" customHeight="1" x14ac:dyDescent="0.2">
      <c r="F66" s="79"/>
      <c r="G66" s="75"/>
    </row>
    <row r="67" spans="6:8" ht="14.25" customHeight="1" x14ac:dyDescent="0.2">
      <c r="F67" s="76"/>
      <c r="G67" s="75"/>
    </row>
    <row r="68" spans="6:8" ht="14.25" customHeight="1" x14ac:dyDescent="0.2">
      <c r="F68" s="77" t="s">
        <v>119</v>
      </c>
      <c r="G68" s="28" t="s">
        <v>128</v>
      </c>
      <c r="H68" s="28" t="s">
        <v>352</v>
      </c>
    </row>
    <row r="69" spans="6:8" ht="14.25" customHeight="1" x14ac:dyDescent="0.2">
      <c r="F69" s="50" t="s">
        <v>140</v>
      </c>
      <c r="G69" s="72">
        <f t="shared" ref="G69:G75" si="5">SUMIF($E$2:$E$49,$F69,N$2:N$49)</f>
        <v>904500</v>
      </c>
      <c r="H69" s="73">
        <f t="shared" ref="H69:H75" si="6">SUMIF($E$2:$E$49,$F69,Q$2:Q$49)</f>
        <v>95.785237742242941</v>
      </c>
    </row>
    <row r="70" spans="6:8" ht="14.25" customHeight="1" x14ac:dyDescent="0.2">
      <c r="F70" s="14" t="s">
        <v>155</v>
      </c>
      <c r="G70" s="72">
        <f t="shared" si="5"/>
        <v>116657.4</v>
      </c>
      <c r="H70" s="73">
        <f t="shared" si="6"/>
        <v>12.353849412263052</v>
      </c>
    </row>
    <row r="71" spans="6:8" ht="14.25" customHeight="1" x14ac:dyDescent="0.2">
      <c r="F71" s="34" t="s">
        <v>92</v>
      </c>
      <c r="G71" s="72">
        <f t="shared" si="5"/>
        <v>25131.266666666666</v>
      </c>
      <c r="H71" s="73">
        <f t="shared" si="6"/>
        <v>2.6613646793038934</v>
      </c>
    </row>
    <row r="72" spans="6:8" ht="14.25" customHeight="1" x14ac:dyDescent="0.2">
      <c r="F72" s="50" t="s">
        <v>287</v>
      </c>
      <c r="G72" s="72">
        <f t="shared" si="5"/>
        <v>7229.1666666666661</v>
      </c>
      <c r="H72" s="73">
        <f t="shared" si="6"/>
        <v>0.76555826185181264</v>
      </c>
    </row>
    <row r="73" spans="6:8" ht="14.25" customHeight="1" x14ac:dyDescent="0.2">
      <c r="F73" s="50" t="s">
        <v>294</v>
      </c>
      <c r="G73" s="72">
        <f t="shared" si="5"/>
        <v>8333.3333333333321</v>
      </c>
      <c r="H73" s="73">
        <f t="shared" si="6"/>
        <v>0.88248790991563397</v>
      </c>
    </row>
    <row r="74" spans="6:8" ht="14.25" customHeight="1" x14ac:dyDescent="0.2">
      <c r="F74" s="50" t="s">
        <v>13</v>
      </c>
      <c r="G74" s="72">
        <f t="shared" si="5"/>
        <v>5064.0999999999995</v>
      </c>
      <c r="H74" s="73">
        <f t="shared" si="6"/>
        <v>0.53628084295245149</v>
      </c>
    </row>
    <row r="75" spans="6:8" ht="14.25" customHeight="1" x14ac:dyDescent="0.2">
      <c r="F75" s="50" t="s">
        <v>279</v>
      </c>
      <c r="G75" s="72">
        <f t="shared" si="5"/>
        <v>2513.5</v>
      </c>
      <c r="H75" s="73">
        <f t="shared" si="6"/>
        <v>0.26617600338875358</v>
      </c>
    </row>
    <row r="76" spans="6:8" ht="14.25" customHeight="1" x14ac:dyDescent="0.2"/>
    <row r="77" spans="6:8" ht="14.25" customHeight="1" x14ac:dyDescent="0.2"/>
    <row r="78" spans="6:8" ht="14.25" customHeight="1" x14ac:dyDescent="0.2"/>
    <row r="79" spans="6:8" ht="14.25" customHeight="1" x14ac:dyDescent="0.2"/>
    <row r="80" spans="6:8"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93">
    <mergeCell ref="G21:G24"/>
    <mergeCell ref="D25:D26"/>
    <mergeCell ref="E25:E26"/>
    <mergeCell ref="F25:F26"/>
    <mergeCell ref="G25:G26"/>
    <mergeCell ref="D27:D29"/>
    <mergeCell ref="E27:E29"/>
    <mergeCell ref="F27:F29"/>
    <mergeCell ref="G27:G29"/>
    <mergeCell ref="B2:B4"/>
    <mergeCell ref="B7:B17"/>
    <mergeCell ref="C18:C29"/>
    <mergeCell ref="D18:D20"/>
    <mergeCell ref="E18:E20"/>
    <mergeCell ref="F18:F20"/>
    <mergeCell ref="G18:G20"/>
    <mergeCell ref="G39:G41"/>
    <mergeCell ref="J39:J41"/>
    <mergeCell ref="H2:H4"/>
    <mergeCell ref="I2:I4"/>
    <mergeCell ref="J2:J4"/>
    <mergeCell ref="I32:I35"/>
    <mergeCell ref="J13:J14"/>
    <mergeCell ref="I7:I17"/>
    <mergeCell ref="J21:J24"/>
    <mergeCell ref="J25:J26"/>
    <mergeCell ref="J27:J29"/>
    <mergeCell ref="G30:G31"/>
    <mergeCell ref="H30:H31"/>
    <mergeCell ref="I30:I31"/>
    <mergeCell ref="D21:D24"/>
    <mergeCell ref="E21:E24"/>
    <mergeCell ref="F21:F24"/>
    <mergeCell ref="J42:J43"/>
    <mergeCell ref="D44:D45"/>
    <mergeCell ref="E44:E45"/>
    <mergeCell ref="F44:F45"/>
    <mergeCell ref="G44:G45"/>
    <mergeCell ref="J44:J45"/>
    <mergeCell ref="H39:H49"/>
    <mergeCell ref="I39:I49"/>
    <mergeCell ref="J46:J49"/>
    <mergeCell ref="D46:D49"/>
    <mergeCell ref="E46:E49"/>
    <mergeCell ref="F46:F49"/>
    <mergeCell ref="G46:G49"/>
    <mergeCell ref="B39:B49"/>
    <mergeCell ref="C39:C49"/>
    <mergeCell ref="D39:D41"/>
    <mergeCell ref="E39:E41"/>
    <mergeCell ref="F39:F41"/>
    <mergeCell ref="D42:D43"/>
    <mergeCell ref="E42:E43"/>
    <mergeCell ref="F42:F43"/>
    <mergeCell ref="G42:G43"/>
    <mergeCell ref="L42:L43"/>
    <mergeCell ref="M42:M43"/>
    <mergeCell ref="Q39:Q41"/>
    <mergeCell ref="Q42:Q43"/>
    <mergeCell ref="K39:K41"/>
    <mergeCell ref="L39:L41"/>
    <mergeCell ref="M39:M41"/>
    <mergeCell ref="N39:N41"/>
    <mergeCell ref="R39:R41"/>
    <mergeCell ref="K42:K43"/>
    <mergeCell ref="N42:N43"/>
    <mergeCell ref="R42:R43"/>
    <mergeCell ref="L46:L49"/>
    <mergeCell ref="M46:M49"/>
    <mergeCell ref="Q44:Q45"/>
    <mergeCell ref="Q46:Q49"/>
    <mergeCell ref="K44:K45"/>
    <mergeCell ref="L44:L45"/>
    <mergeCell ref="M44:M45"/>
    <mergeCell ref="N44:N45"/>
    <mergeCell ref="R44:R45"/>
    <mergeCell ref="K46:K49"/>
    <mergeCell ref="N46:N49"/>
    <mergeCell ref="R46:R49"/>
    <mergeCell ref="O2:O49"/>
    <mergeCell ref="P2:P49"/>
    <mergeCell ref="K2:K4"/>
    <mergeCell ref="L2:L3"/>
    <mergeCell ref="M2:M3"/>
    <mergeCell ref="N2:N3"/>
    <mergeCell ref="M15:M17"/>
    <mergeCell ref="N15:N17"/>
    <mergeCell ref="M18:M20"/>
    <mergeCell ref="N18:N20"/>
    <mergeCell ref="M21:M24"/>
    <mergeCell ref="N21:N24"/>
    <mergeCell ref="M27:M29"/>
    <mergeCell ref="N27:N29"/>
    <mergeCell ref="Q2:Q3"/>
    <mergeCell ref="R2:R3"/>
    <mergeCell ref="Q7:Q8"/>
    <mergeCell ref="R7:R8"/>
    <mergeCell ref="Q9:Q12"/>
    <mergeCell ref="R9:R12"/>
    <mergeCell ref="R13:R14"/>
    <mergeCell ref="Q13:Q14"/>
    <mergeCell ref="Q15:Q17"/>
    <mergeCell ref="R15:R17"/>
    <mergeCell ref="Q18:Q20"/>
    <mergeCell ref="R18:R20"/>
    <mergeCell ref="Q21:Q24"/>
    <mergeCell ref="R21:R24"/>
    <mergeCell ref="Q25:Q26"/>
    <mergeCell ref="R25:R26"/>
    <mergeCell ref="Q27:Q29"/>
    <mergeCell ref="R27:R29"/>
    <mergeCell ref="M25:M26"/>
    <mergeCell ref="N25:N26"/>
    <mergeCell ref="A2:A49"/>
    <mergeCell ref="B18:B29"/>
    <mergeCell ref="B30:B35"/>
    <mergeCell ref="C30:C31"/>
    <mergeCell ref="C32:C35"/>
    <mergeCell ref="B37:B38"/>
    <mergeCell ref="C37:C38"/>
    <mergeCell ref="G32:G35"/>
    <mergeCell ref="H32:H35"/>
    <mergeCell ref="D37:D38"/>
    <mergeCell ref="E37:E38"/>
    <mergeCell ref="F37:F38"/>
    <mergeCell ref="G37:G38"/>
    <mergeCell ref="G13:G14"/>
    <mergeCell ref="E7:E8"/>
    <mergeCell ref="F7:F8"/>
    <mergeCell ref="H7:H17"/>
    <mergeCell ref="E13:E14"/>
    <mergeCell ref="F13:F14"/>
    <mergeCell ref="D2:D3"/>
    <mergeCell ref="C2:C4"/>
    <mergeCell ref="E2:E3"/>
    <mergeCell ref="F2:F3"/>
    <mergeCell ref="G2:G4"/>
    <mergeCell ref="L7:L8"/>
    <mergeCell ref="G9:G12"/>
    <mergeCell ref="M7:M8"/>
    <mergeCell ref="N7:N8"/>
    <mergeCell ref="E9:E12"/>
    <mergeCell ref="F9:F12"/>
    <mergeCell ref="J7:J8"/>
    <mergeCell ref="J9:J12"/>
    <mergeCell ref="K9:K12"/>
    <mergeCell ref="L9:L12"/>
    <mergeCell ref="M9:M12"/>
    <mergeCell ref="N9:N12"/>
    <mergeCell ref="K13:K14"/>
    <mergeCell ref="L13:L14"/>
    <mergeCell ref="M13:M14"/>
    <mergeCell ref="N13:N14"/>
    <mergeCell ref="E15:E17"/>
    <mergeCell ref="F15:F17"/>
    <mergeCell ref="B5:B6"/>
    <mergeCell ref="C5:C6"/>
    <mergeCell ref="H5:H6"/>
    <mergeCell ref="I5:I6"/>
    <mergeCell ref="J5:J6"/>
    <mergeCell ref="K5:K6"/>
    <mergeCell ref="C7:C17"/>
    <mergeCell ref="D9:D12"/>
    <mergeCell ref="D13:D14"/>
    <mergeCell ref="D15:D17"/>
    <mergeCell ref="J15:J17"/>
    <mergeCell ref="K15:K17"/>
    <mergeCell ref="L15:L17"/>
    <mergeCell ref="D7:D8"/>
    <mergeCell ref="G5:G6"/>
    <mergeCell ref="G7:G8"/>
    <mergeCell ref="G15:G17"/>
    <mergeCell ref="K7:K8"/>
    <mergeCell ref="K27:K29"/>
    <mergeCell ref="H18:H29"/>
    <mergeCell ref="I18:I29"/>
    <mergeCell ref="J18:J20"/>
    <mergeCell ref="K18:K20"/>
    <mergeCell ref="L18:L20"/>
    <mergeCell ref="K21:K24"/>
    <mergeCell ref="L21:L24"/>
    <mergeCell ref="L27:L29"/>
    <mergeCell ref="K25:K26"/>
    <mergeCell ref="L25:L26"/>
    <mergeCell ref="Q37:Q38"/>
    <mergeCell ref="R37:R38"/>
    <mergeCell ref="H37:H38"/>
    <mergeCell ref="I37:I38"/>
    <mergeCell ref="J37:J38"/>
    <mergeCell ref="K37:K38"/>
    <mergeCell ref="L37:L38"/>
    <mergeCell ref="M37:M38"/>
    <mergeCell ref="N37:N38"/>
  </mergeCells>
  <conditionalFormatting sqref="R2:R49">
    <cfRule type="colorScale" priority="1">
      <colorScale>
        <cfvo type="min"/>
        <cfvo type="percentile" val="50"/>
        <cfvo type="max"/>
        <color rgb="FFF8696B"/>
        <color rgb="FFFFEB84"/>
        <color rgb="FF63BE7B"/>
      </colorScale>
    </cfRule>
  </conditionalFormatting>
  <hyperlinks>
    <hyperlink ref="S4" r:id="rId1" xr:uid="{00000000-0004-0000-0500-000000000000}"/>
    <hyperlink ref="S8" r:id="rId2" xr:uid="{00000000-0004-0000-0500-000001000000}"/>
    <hyperlink ref="S9" r:id="rId3" xr:uid="{00000000-0004-0000-0500-000002000000}"/>
    <hyperlink ref="S11" r:id="rId4" xr:uid="{00000000-0004-0000-0500-000003000000}"/>
    <hyperlink ref="S17" r:id="rId5" xr:uid="{00000000-0004-0000-0500-000004000000}"/>
    <hyperlink ref="S19" r:id="rId6" xr:uid="{00000000-0004-0000-0500-000005000000}"/>
    <hyperlink ref="S21" r:id="rId7" xr:uid="{00000000-0004-0000-0500-000006000000}"/>
    <hyperlink ref="S22" r:id="rId8" xr:uid="{00000000-0004-0000-0500-000007000000}"/>
    <hyperlink ref="S28" r:id="rId9" xr:uid="{00000000-0004-0000-0500-000008000000}"/>
    <hyperlink ref="S30" r:id="rId10" xr:uid="{00000000-0004-0000-0500-000009000000}"/>
    <hyperlink ref="S31" r:id="rId11" location=":~:text=The%20minimum%20thickness%20for%20commercial,to%202.5%20psf%20of%20reinforcing). " xr:uid="{00000000-0004-0000-0500-00000A000000}"/>
    <hyperlink ref="S32" r:id="rId12" xr:uid="{00000000-0004-0000-0500-00000B000000}"/>
    <hyperlink ref="S35" r:id="rId13" location=":~:text=The%20most%20common%20type%20of,in%20exposed%20metal%20building%20applications. " xr:uid="{00000000-0004-0000-0500-00000C000000}"/>
    <hyperlink ref="S37" r:id="rId14" xr:uid="{00000000-0004-0000-0500-00000D000000}"/>
    <hyperlink ref="S38" r:id="rId15" xr:uid="{00000000-0004-0000-0500-00000E000000}"/>
    <hyperlink ref="S41" r:id="rId16" xr:uid="{00000000-0004-0000-0500-00000F000000}"/>
    <hyperlink ref="S43" r:id="rId17" xr:uid="{00000000-0004-0000-0500-000010000000}"/>
    <hyperlink ref="S44" r:id="rId18" location=":~:text=Planning%20on%20using%20a%20standing,over%205%2F8%E2%80%9D%20plywood. " xr:uid="{00000000-0004-0000-0500-000011000000}"/>
    <hyperlink ref="S45" r:id="rId19" xr:uid="{00000000-0004-0000-0500-000012000000}"/>
  </hyperlinks>
  <pageMargins left="0.7" right="0.7" top="0.75" bottom="0.75" header="0" footer="0"/>
  <pageSetup orientation="portrait"/>
  <drawing r:id="rId20"/>
  <legacyDrawing r:id="rId2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38" width="8.6640625" customWidth="1"/>
  </cols>
  <sheetData>
    <row r="1" spans="1:38"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215</v>
      </c>
      <c r="R1" s="28" t="s">
        <v>133</v>
      </c>
      <c r="S1" s="28" t="s">
        <v>134</v>
      </c>
      <c r="T1" s="28" t="s">
        <v>135</v>
      </c>
      <c r="U1" s="33"/>
      <c r="V1" s="33"/>
      <c r="W1" s="33"/>
      <c r="X1" s="33"/>
      <c r="Y1" s="33"/>
      <c r="Z1" s="33"/>
      <c r="AA1" s="33"/>
      <c r="AB1" s="33"/>
      <c r="AC1" s="33"/>
      <c r="AD1" s="33"/>
      <c r="AE1" s="33"/>
      <c r="AF1" s="33"/>
      <c r="AG1" s="33"/>
      <c r="AH1" s="33"/>
      <c r="AI1" s="33"/>
      <c r="AJ1" s="33"/>
      <c r="AK1" s="33"/>
      <c r="AL1" s="33"/>
    </row>
    <row r="2" spans="1:38" ht="16.5" customHeight="1" x14ac:dyDescent="0.2">
      <c r="A2" s="185" t="s">
        <v>218</v>
      </c>
      <c r="B2" s="183" t="s">
        <v>53</v>
      </c>
      <c r="C2" s="183" t="s">
        <v>139</v>
      </c>
      <c r="D2" s="179" t="s">
        <v>140</v>
      </c>
      <c r="E2" s="179" t="s">
        <v>140</v>
      </c>
      <c r="F2" s="179" t="s">
        <v>140</v>
      </c>
      <c r="G2" s="182">
        <v>1</v>
      </c>
      <c r="H2" s="182">
        <v>220</v>
      </c>
      <c r="I2" s="183" t="s">
        <v>142</v>
      </c>
      <c r="J2" s="178">
        <v>0.66666666666666663</v>
      </c>
      <c r="K2" s="178">
        <v>1.5</v>
      </c>
      <c r="L2" s="178">
        <v>150</v>
      </c>
      <c r="M2" s="179" t="s">
        <v>222</v>
      </c>
      <c r="N2" s="188">
        <f>L2*K2*J2*H2</f>
        <v>33000</v>
      </c>
      <c r="O2" s="186">
        <v>2378</v>
      </c>
      <c r="P2" s="183" t="s">
        <v>225</v>
      </c>
      <c r="Q2" s="175">
        <f>N2/O2</f>
        <v>13.877207737594617</v>
      </c>
      <c r="R2" s="191">
        <v>4</v>
      </c>
      <c r="S2" s="14" t="s">
        <v>152</v>
      </c>
      <c r="T2" s="14" t="s">
        <v>153</v>
      </c>
    </row>
    <row r="3" spans="1:38" ht="16.5" customHeight="1" x14ac:dyDescent="0.2">
      <c r="A3" s="181"/>
      <c r="B3" s="181"/>
      <c r="C3" s="181"/>
      <c r="D3" s="181"/>
      <c r="E3" s="181"/>
      <c r="F3" s="181"/>
      <c r="G3" s="181"/>
      <c r="H3" s="181"/>
      <c r="I3" s="181"/>
      <c r="J3" s="181"/>
      <c r="K3" s="181"/>
      <c r="L3" s="181"/>
      <c r="M3" s="181"/>
      <c r="N3" s="181"/>
      <c r="O3" s="181"/>
      <c r="P3" s="181"/>
      <c r="Q3" s="181"/>
      <c r="R3" s="181"/>
      <c r="S3" s="14" t="s">
        <v>149</v>
      </c>
      <c r="T3" s="14" t="s">
        <v>150</v>
      </c>
    </row>
    <row r="4" spans="1:38" ht="14.25" customHeight="1" x14ac:dyDescent="0.2">
      <c r="A4" s="181"/>
      <c r="B4" s="181"/>
      <c r="C4" s="181"/>
      <c r="D4" s="176"/>
      <c r="E4" s="176"/>
      <c r="F4" s="176"/>
      <c r="G4" s="181"/>
      <c r="H4" s="181"/>
      <c r="I4" s="181"/>
      <c r="J4" s="181"/>
      <c r="K4" s="181"/>
      <c r="L4" s="176"/>
      <c r="M4" s="176"/>
      <c r="N4" s="176"/>
      <c r="O4" s="181"/>
      <c r="P4" s="181"/>
      <c r="Q4" s="176"/>
      <c r="R4" s="176"/>
      <c r="S4" s="14" t="s">
        <v>232</v>
      </c>
      <c r="T4" s="14" t="s">
        <v>233</v>
      </c>
    </row>
    <row r="5" spans="1:38" ht="14.25" customHeight="1" x14ac:dyDescent="0.2">
      <c r="A5" s="181"/>
      <c r="B5" s="176"/>
      <c r="C5" s="176"/>
      <c r="D5" s="14" t="s">
        <v>154</v>
      </c>
      <c r="E5" s="14" t="s">
        <v>155</v>
      </c>
      <c r="F5" s="14" t="s">
        <v>156</v>
      </c>
      <c r="G5" s="176"/>
      <c r="H5" s="176"/>
      <c r="I5" s="176"/>
      <c r="J5" s="176"/>
      <c r="K5" s="176"/>
      <c r="L5" s="14">
        <v>5.25</v>
      </c>
      <c r="M5" s="14" t="s">
        <v>234</v>
      </c>
      <c r="N5" s="38">
        <f>L5*K2*J2*H2</f>
        <v>1155</v>
      </c>
      <c r="O5" s="181"/>
      <c r="P5" s="181"/>
      <c r="Q5" s="19">
        <f t="shared" ref="Q5:Q10" si="0">N5/$O$2</f>
        <v>0.48570227081581163</v>
      </c>
      <c r="R5" s="48">
        <v>4</v>
      </c>
      <c r="S5" s="40" t="s">
        <v>240</v>
      </c>
      <c r="T5" s="14" t="s">
        <v>241</v>
      </c>
    </row>
    <row r="6" spans="1:38" ht="14.25" customHeight="1" x14ac:dyDescent="0.2">
      <c r="A6" s="181"/>
      <c r="B6" s="183" t="s">
        <v>164</v>
      </c>
      <c r="C6" s="183" t="s">
        <v>165</v>
      </c>
      <c r="D6" s="14" t="s">
        <v>140</v>
      </c>
      <c r="E6" s="41" t="s">
        <v>140</v>
      </c>
      <c r="F6" s="41" t="s">
        <v>140</v>
      </c>
      <c r="G6" s="182">
        <v>1</v>
      </c>
      <c r="H6" s="182">
        <v>2300</v>
      </c>
      <c r="I6" s="183" t="s">
        <v>166</v>
      </c>
      <c r="J6" s="175">
        <v>0.5</v>
      </c>
      <c r="K6" s="179" t="s">
        <v>27</v>
      </c>
      <c r="L6" s="14">
        <v>150</v>
      </c>
      <c r="M6" s="14" t="s">
        <v>245</v>
      </c>
      <c r="N6" s="38">
        <f>L6*J6*H6</f>
        <v>172500</v>
      </c>
      <c r="O6" s="181"/>
      <c r="P6" s="181"/>
      <c r="Q6" s="19">
        <f t="shared" si="0"/>
        <v>72.539949537426409</v>
      </c>
      <c r="R6" s="49">
        <v>4</v>
      </c>
      <c r="S6" s="14" t="s">
        <v>169</v>
      </c>
      <c r="T6" s="14"/>
    </row>
    <row r="7" spans="1:38" ht="14.25" customHeight="1" x14ac:dyDescent="0.2">
      <c r="A7" s="181"/>
      <c r="B7" s="176"/>
      <c r="C7" s="176"/>
      <c r="D7" s="14" t="s">
        <v>154</v>
      </c>
      <c r="E7" s="41" t="s">
        <v>155</v>
      </c>
      <c r="F7" s="41" t="s">
        <v>156</v>
      </c>
      <c r="G7" s="176"/>
      <c r="H7" s="176"/>
      <c r="I7" s="176"/>
      <c r="J7" s="176"/>
      <c r="K7" s="176"/>
      <c r="L7" s="14">
        <v>6</v>
      </c>
      <c r="M7" s="14" t="s">
        <v>248</v>
      </c>
      <c r="N7" s="38">
        <f>L7*J6*H6</f>
        <v>6900</v>
      </c>
      <c r="O7" s="181"/>
      <c r="P7" s="181"/>
      <c r="Q7" s="19">
        <f t="shared" si="0"/>
        <v>2.9015979814970563</v>
      </c>
      <c r="R7" s="49">
        <v>4</v>
      </c>
      <c r="S7" s="14" t="s">
        <v>174</v>
      </c>
      <c r="T7" s="14" t="s">
        <v>175</v>
      </c>
    </row>
    <row r="8" spans="1:38" ht="15" customHeight="1" x14ac:dyDescent="0.2">
      <c r="A8" s="181"/>
      <c r="B8" s="183" t="s">
        <v>209</v>
      </c>
      <c r="C8" s="184" t="s">
        <v>254</v>
      </c>
      <c r="D8" s="34" t="s">
        <v>255</v>
      </c>
      <c r="E8" s="34" t="s">
        <v>140</v>
      </c>
      <c r="F8" s="34" t="s">
        <v>140</v>
      </c>
      <c r="G8" s="182">
        <v>1</v>
      </c>
      <c r="H8" s="182">
        <v>5000</v>
      </c>
      <c r="I8" s="187" t="s">
        <v>166</v>
      </c>
      <c r="J8" s="52">
        <v>1</v>
      </c>
      <c r="K8" s="34" t="s">
        <v>27</v>
      </c>
      <c r="L8" s="35">
        <v>150</v>
      </c>
      <c r="M8" s="50" t="s">
        <v>257</v>
      </c>
      <c r="N8" s="55">
        <f>L8*J8*H8</f>
        <v>750000</v>
      </c>
      <c r="O8" s="181"/>
      <c r="P8" s="181"/>
      <c r="Q8" s="36">
        <f t="shared" si="0"/>
        <v>315.39108494533224</v>
      </c>
      <c r="R8" s="56">
        <v>5</v>
      </c>
      <c r="S8" s="14" t="s">
        <v>191</v>
      </c>
      <c r="T8" s="14" t="s">
        <v>258</v>
      </c>
    </row>
    <row r="9" spans="1:38" ht="14.25" customHeight="1" x14ac:dyDescent="0.2">
      <c r="A9" s="181"/>
      <c r="B9" s="176"/>
      <c r="C9" s="176"/>
      <c r="D9" s="41" t="s">
        <v>154</v>
      </c>
      <c r="E9" s="34" t="s">
        <v>155</v>
      </c>
      <c r="F9" s="50" t="s">
        <v>156</v>
      </c>
      <c r="G9" s="176"/>
      <c r="H9" s="176"/>
      <c r="I9" s="176"/>
      <c r="J9" s="59" t="s">
        <v>27</v>
      </c>
      <c r="K9" s="50" t="s">
        <v>27</v>
      </c>
      <c r="L9" s="53">
        <v>6</v>
      </c>
      <c r="M9" s="14" t="s">
        <v>261</v>
      </c>
      <c r="N9" s="54">
        <f>L9*H8</f>
        <v>30000</v>
      </c>
      <c r="O9" s="181"/>
      <c r="P9" s="181"/>
      <c r="Q9" s="51">
        <f t="shared" si="0"/>
        <v>12.615643397813288</v>
      </c>
      <c r="R9" s="62">
        <v>3</v>
      </c>
      <c r="S9" s="40" t="s">
        <v>262</v>
      </c>
      <c r="T9" s="14" t="s">
        <v>263</v>
      </c>
    </row>
    <row r="10" spans="1:38" ht="16.5" customHeight="1" x14ac:dyDescent="0.2">
      <c r="A10" s="181"/>
      <c r="B10" s="187" t="s">
        <v>251</v>
      </c>
      <c r="C10" s="184" t="s">
        <v>264</v>
      </c>
      <c r="D10" s="179" t="s">
        <v>140</v>
      </c>
      <c r="E10" s="179" t="s">
        <v>140</v>
      </c>
      <c r="F10" s="179" t="s">
        <v>140</v>
      </c>
      <c r="G10" s="182">
        <v>1</v>
      </c>
      <c r="H10" s="182">
        <v>360</v>
      </c>
      <c r="I10" s="183" t="s">
        <v>166</v>
      </c>
      <c r="J10" s="175">
        <v>1</v>
      </c>
      <c r="K10" s="179" t="s">
        <v>27</v>
      </c>
      <c r="L10" s="178">
        <v>150</v>
      </c>
      <c r="M10" s="179" t="s">
        <v>266</v>
      </c>
      <c r="N10" s="180">
        <f>H10*L10*J10</f>
        <v>54000</v>
      </c>
      <c r="O10" s="181"/>
      <c r="P10" s="181"/>
      <c r="Q10" s="175">
        <f t="shared" si="0"/>
        <v>22.70815811606392</v>
      </c>
      <c r="R10" s="190">
        <v>5</v>
      </c>
      <c r="S10" s="14" t="s">
        <v>191</v>
      </c>
      <c r="T10" s="14" t="s">
        <v>258</v>
      </c>
    </row>
    <row r="11" spans="1:38" ht="16.5" customHeight="1" x14ac:dyDescent="0.2">
      <c r="A11" s="181"/>
      <c r="B11" s="181"/>
      <c r="C11" s="181"/>
      <c r="D11" s="181"/>
      <c r="E11" s="181"/>
      <c r="F11" s="181"/>
      <c r="G11" s="181"/>
      <c r="H11" s="181"/>
      <c r="I11" s="181"/>
      <c r="J11" s="181"/>
      <c r="K11" s="181"/>
      <c r="L11" s="181"/>
      <c r="M11" s="181"/>
      <c r="N11" s="181"/>
      <c r="O11" s="181"/>
      <c r="P11" s="181"/>
      <c r="Q11" s="181"/>
      <c r="R11" s="181"/>
      <c r="S11" s="14" t="s">
        <v>270</v>
      </c>
      <c r="T11" s="14" t="s">
        <v>271</v>
      </c>
    </row>
    <row r="12" spans="1:38" ht="16.5" customHeight="1" x14ac:dyDescent="0.2">
      <c r="A12" s="181"/>
      <c r="B12" s="181"/>
      <c r="C12" s="181"/>
      <c r="D12" s="181"/>
      <c r="E12" s="181"/>
      <c r="F12" s="181"/>
      <c r="G12" s="181"/>
      <c r="H12" s="181"/>
      <c r="I12" s="181"/>
      <c r="J12" s="181"/>
      <c r="K12" s="181"/>
      <c r="L12" s="181"/>
      <c r="M12" s="181"/>
      <c r="N12" s="181"/>
      <c r="O12" s="181"/>
      <c r="P12" s="181"/>
      <c r="Q12" s="181"/>
      <c r="R12" s="181"/>
      <c r="S12" s="14" t="s">
        <v>273</v>
      </c>
      <c r="T12" s="14" t="s">
        <v>274</v>
      </c>
    </row>
    <row r="13" spans="1:38" ht="16.5" customHeight="1" x14ac:dyDescent="0.2">
      <c r="A13" s="181"/>
      <c r="B13" s="181"/>
      <c r="C13" s="181"/>
      <c r="D13" s="176"/>
      <c r="E13" s="176"/>
      <c r="F13" s="176"/>
      <c r="G13" s="181"/>
      <c r="H13" s="181"/>
      <c r="I13" s="181"/>
      <c r="J13" s="176"/>
      <c r="K13" s="176"/>
      <c r="L13" s="176"/>
      <c r="M13" s="176"/>
      <c r="N13" s="176"/>
      <c r="O13" s="181"/>
      <c r="P13" s="181"/>
      <c r="Q13" s="176"/>
      <c r="R13" s="176"/>
      <c r="S13" s="40" t="s">
        <v>262</v>
      </c>
      <c r="T13" s="14" t="s">
        <v>263</v>
      </c>
    </row>
    <row r="14" spans="1:38" ht="15" customHeight="1" x14ac:dyDescent="0.2">
      <c r="A14" s="181"/>
      <c r="B14" s="181"/>
      <c r="C14" s="176"/>
      <c r="D14" s="41" t="s">
        <v>154</v>
      </c>
      <c r="E14" s="41" t="s">
        <v>155</v>
      </c>
      <c r="F14" s="41" t="s">
        <v>156</v>
      </c>
      <c r="G14" s="176"/>
      <c r="H14" s="176"/>
      <c r="I14" s="176"/>
      <c r="J14" s="51" t="s">
        <v>27</v>
      </c>
      <c r="K14" s="41" t="s">
        <v>27</v>
      </c>
      <c r="L14" s="53">
        <v>1.9</v>
      </c>
      <c r="M14" s="14" t="s">
        <v>277</v>
      </c>
      <c r="N14" s="54">
        <f>L14*H10</f>
        <v>684</v>
      </c>
      <c r="O14" s="181"/>
      <c r="P14" s="181"/>
      <c r="Q14" s="57">
        <f t="shared" ref="Q14:Q15" si="1">N14/$O$2</f>
        <v>0.28763666947014299</v>
      </c>
      <c r="R14" s="62">
        <v>3</v>
      </c>
      <c r="S14" s="14" t="s">
        <v>280</v>
      </c>
      <c r="T14" s="14" t="s">
        <v>281</v>
      </c>
      <c r="U14" s="63"/>
      <c r="V14" s="63"/>
      <c r="W14" s="63"/>
      <c r="X14" s="63"/>
      <c r="Y14" s="63"/>
      <c r="Z14" s="63"/>
      <c r="AA14" s="63"/>
      <c r="AB14" s="63"/>
      <c r="AC14" s="63"/>
      <c r="AD14" s="63"/>
      <c r="AE14" s="63"/>
      <c r="AF14" s="63"/>
      <c r="AG14" s="63"/>
      <c r="AH14" s="63"/>
      <c r="AI14" s="63"/>
      <c r="AJ14" s="63"/>
      <c r="AK14" s="63"/>
      <c r="AL14" s="63"/>
    </row>
    <row r="15" spans="1:38" ht="16.5" customHeight="1" x14ac:dyDescent="0.2">
      <c r="A15" s="181"/>
      <c r="B15" s="181"/>
      <c r="C15" s="184" t="s">
        <v>285</v>
      </c>
      <c r="D15" s="179" t="s">
        <v>140</v>
      </c>
      <c r="E15" s="179" t="s">
        <v>140</v>
      </c>
      <c r="F15" s="179" t="s">
        <v>140</v>
      </c>
      <c r="G15" s="182">
        <v>1</v>
      </c>
      <c r="H15" s="182">
        <v>3400</v>
      </c>
      <c r="I15" s="183" t="s">
        <v>166</v>
      </c>
      <c r="J15" s="175">
        <v>1</v>
      </c>
      <c r="K15" s="179" t="s">
        <v>27</v>
      </c>
      <c r="L15" s="178">
        <v>150</v>
      </c>
      <c r="M15" s="179" t="s">
        <v>290</v>
      </c>
      <c r="N15" s="180">
        <f>H15*L15*J15</f>
        <v>510000</v>
      </c>
      <c r="O15" s="181"/>
      <c r="P15" s="181"/>
      <c r="Q15" s="175">
        <f t="shared" si="1"/>
        <v>214.46593776282592</v>
      </c>
      <c r="R15" s="190">
        <v>5</v>
      </c>
      <c r="S15" s="14" t="s">
        <v>191</v>
      </c>
      <c r="T15" s="14" t="s">
        <v>258</v>
      </c>
    </row>
    <row r="16" spans="1:38" ht="16.5" customHeight="1" x14ac:dyDescent="0.2">
      <c r="A16" s="181"/>
      <c r="B16" s="181"/>
      <c r="C16" s="181"/>
      <c r="D16" s="181"/>
      <c r="E16" s="181"/>
      <c r="F16" s="181"/>
      <c r="G16" s="181"/>
      <c r="H16" s="181"/>
      <c r="I16" s="181"/>
      <c r="J16" s="181"/>
      <c r="K16" s="181"/>
      <c r="L16" s="181"/>
      <c r="M16" s="181"/>
      <c r="N16" s="181"/>
      <c r="O16" s="181"/>
      <c r="P16" s="181"/>
      <c r="Q16" s="181"/>
      <c r="R16" s="181"/>
      <c r="S16" s="14" t="s">
        <v>270</v>
      </c>
      <c r="T16" s="14" t="s">
        <v>271</v>
      </c>
    </row>
    <row r="17" spans="1:38" ht="16.5" customHeight="1" x14ac:dyDescent="0.2">
      <c r="A17" s="181"/>
      <c r="B17" s="181"/>
      <c r="C17" s="181"/>
      <c r="D17" s="181"/>
      <c r="E17" s="181"/>
      <c r="F17" s="181"/>
      <c r="G17" s="181"/>
      <c r="H17" s="181"/>
      <c r="I17" s="181"/>
      <c r="J17" s="181"/>
      <c r="K17" s="181"/>
      <c r="L17" s="181"/>
      <c r="M17" s="181"/>
      <c r="N17" s="181"/>
      <c r="O17" s="181"/>
      <c r="P17" s="181"/>
      <c r="Q17" s="181"/>
      <c r="R17" s="181"/>
      <c r="S17" s="14" t="s">
        <v>273</v>
      </c>
      <c r="T17" s="14" t="s">
        <v>274</v>
      </c>
    </row>
    <row r="18" spans="1:38" ht="16.5" customHeight="1" x14ac:dyDescent="0.2">
      <c r="A18" s="181"/>
      <c r="B18" s="181"/>
      <c r="C18" s="181"/>
      <c r="D18" s="176"/>
      <c r="E18" s="176"/>
      <c r="F18" s="176"/>
      <c r="G18" s="181"/>
      <c r="H18" s="181"/>
      <c r="I18" s="181"/>
      <c r="J18" s="176"/>
      <c r="K18" s="176"/>
      <c r="L18" s="176"/>
      <c r="M18" s="176"/>
      <c r="N18" s="176"/>
      <c r="O18" s="181"/>
      <c r="P18" s="181"/>
      <c r="Q18" s="176"/>
      <c r="R18" s="176"/>
      <c r="S18" s="40" t="s">
        <v>262</v>
      </c>
      <c r="T18" s="14" t="s">
        <v>263</v>
      </c>
    </row>
    <row r="19" spans="1:38" ht="15" customHeight="1" x14ac:dyDescent="0.2">
      <c r="A19" s="181"/>
      <c r="B19" s="176"/>
      <c r="C19" s="176"/>
      <c r="D19" s="41" t="s">
        <v>154</v>
      </c>
      <c r="E19" s="41" t="s">
        <v>155</v>
      </c>
      <c r="F19" s="41" t="s">
        <v>156</v>
      </c>
      <c r="G19" s="176"/>
      <c r="H19" s="176"/>
      <c r="I19" s="176"/>
      <c r="J19" s="51" t="s">
        <v>27</v>
      </c>
      <c r="K19" s="41" t="s">
        <v>27</v>
      </c>
      <c r="L19" s="53">
        <v>1.9</v>
      </c>
      <c r="M19" s="14" t="s">
        <v>298</v>
      </c>
      <c r="N19" s="54">
        <f>L19*H15</f>
        <v>6460</v>
      </c>
      <c r="O19" s="181"/>
      <c r="P19" s="181"/>
      <c r="Q19" s="57">
        <f>N19/$O$2</f>
        <v>2.7165685449957948</v>
      </c>
      <c r="R19" s="62">
        <v>3</v>
      </c>
      <c r="S19" s="14" t="s">
        <v>280</v>
      </c>
      <c r="T19" s="14" t="s">
        <v>281</v>
      </c>
      <c r="U19" s="63"/>
      <c r="V19" s="63"/>
      <c r="W19" s="63"/>
      <c r="X19" s="63"/>
      <c r="Y19" s="63"/>
      <c r="Z19" s="63"/>
      <c r="AA19" s="63"/>
      <c r="AB19" s="63"/>
      <c r="AC19" s="63"/>
      <c r="AD19" s="63"/>
      <c r="AE19" s="63"/>
      <c r="AF19" s="63"/>
      <c r="AG19" s="63"/>
      <c r="AH19" s="63"/>
      <c r="AI19" s="63"/>
      <c r="AJ19" s="63"/>
      <c r="AK19" s="63"/>
      <c r="AL19" s="63"/>
    </row>
    <row r="20" spans="1:38" ht="15" customHeight="1" x14ac:dyDescent="0.2">
      <c r="A20" s="176"/>
      <c r="B20" s="68" t="s">
        <v>299</v>
      </c>
      <c r="C20" s="69" t="s">
        <v>302</v>
      </c>
      <c r="D20" s="50" t="s">
        <v>303</v>
      </c>
      <c r="E20" s="50" t="s">
        <v>27</v>
      </c>
      <c r="F20" s="50" t="s">
        <v>27</v>
      </c>
      <c r="G20" s="70">
        <v>2</v>
      </c>
      <c r="H20" s="53">
        <v>48</v>
      </c>
      <c r="I20" s="50" t="s">
        <v>166</v>
      </c>
      <c r="J20" s="51" t="s">
        <v>27</v>
      </c>
      <c r="K20" s="50" t="s">
        <v>27</v>
      </c>
      <c r="L20" s="53" t="s">
        <v>27</v>
      </c>
      <c r="M20" s="50" t="s">
        <v>304</v>
      </c>
      <c r="N20" s="54">
        <f>H20*G20</f>
        <v>96</v>
      </c>
      <c r="O20" s="176"/>
      <c r="P20" s="176"/>
      <c r="Q20" s="51">
        <f>N20/O2</f>
        <v>4.0370058873002525E-2</v>
      </c>
      <c r="R20" s="71">
        <v>4</v>
      </c>
      <c r="S20" s="14" t="s">
        <v>305</v>
      </c>
      <c r="T20" s="14" t="s">
        <v>306</v>
      </c>
    </row>
    <row r="21" spans="1:38" ht="14.25" customHeight="1" x14ac:dyDescent="0.2"/>
    <row r="22" spans="1:38" ht="14.25" customHeight="1" x14ac:dyDescent="0.2"/>
    <row r="23" spans="1:38" ht="14.25" customHeight="1" x14ac:dyDescent="0.2">
      <c r="F23" s="28" t="s">
        <v>309</v>
      </c>
      <c r="G23" s="28" t="s">
        <v>128</v>
      </c>
      <c r="H23" s="28" t="s">
        <v>311</v>
      </c>
    </row>
    <row r="24" spans="1:38" ht="14.25" customHeight="1" x14ac:dyDescent="0.2">
      <c r="F24" s="50" t="s">
        <v>140</v>
      </c>
      <c r="G24" s="72">
        <f t="shared" ref="G24:G25" si="2">SUMIF($F$2:$F$20,$F24,N$2:N$20)</f>
        <v>1519500</v>
      </c>
      <c r="H24" s="73">
        <f t="shared" ref="H24:H25" si="3">SUMIF($F$2:$F$20,$F24,Q$2:Q$20)</f>
        <v>638.98233809924307</v>
      </c>
    </row>
    <row r="25" spans="1:38" ht="14.25" customHeight="1" x14ac:dyDescent="0.2">
      <c r="F25" s="14" t="s">
        <v>156</v>
      </c>
      <c r="G25" s="72">
        <f t="shared" si="2"/>
        <v>45199</v>
      </c>
      <c r="H25" s="73">
        <f t="shared" si="3"/>
        <v>19.007148864592093</v>
      </c>
    </row>
    <row r="26" spans="1:38" ht="14.25" customHeight="1" x14ac:dyDescent="0.2">
      <c r="F26" s="74"/>
      <c r="G26" s="75"/>
    </row>
    <row r="27" spans="1:38" ht="14.25" customHeight="1" x14ac:dyDescent="0.2">
      <c r="F27" s="76"/>
      <c r="G27" s="75"/>
    </row>
    <row r="28" spans="1:38" ht="14.25" customHeight="1" x14ac:dyDescent="0.2">
      <c r="F28" s="77" t="s">
        <v>315</v>
      </c>
      <c r="G28" s="28" t="s">
        <v>128</v>
      </c>
      <c r="H28" s="28" t="s">
        <v>317</v>
      </c>
    </row>
    <row r="29" spans="1:38" ht="14.25" customHeight="1" x14ac:dyDescent="0.2">
      <c r="F29" s="50" t="s">
        <v>140</v>
      </c>
      <c r="G29" s="72">
        <f t="shared" ref="G29:G30" si="4">SUMIF($E$2:$E$20,$F29,N$2:N$20)</f>
        <v>1519500</v>
      </c>
      <c r="H29" s="73">
        <f t="shared" ref="H29:H30" si="5">SUMIF($E$2:$E$20,$F29,Q$2:Q$20)</f>
        <v>638.98233809924307</v>
      </c>
    </row>
    <row r="30" spans="1:38" ht="14.25" customHeight="1" x14ac:dyDescent="0.2">
      <c r="F30" s="14" t="s">
        <v>155</v>
      </c>
      <c r="G30" s="72">
        <f t="shared" si="4"/>
        <v>45199</v>
      </c>
      <c r="H30" s="73">
        <f t="shared" si="5"/>
        <v>19.007148864592093</v>
      </c>
    </row>
    <row r="31" spans="1:38" ht="14.25" customHeight="1" x14ac:dyDescent="0.2"/>
    <row r="32" spans="1:38"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59">
    <mergeCell ref="A2:A20"/>
    <mergeCell ref="C2:C5"/>
    <mergeCell ref="D2:D4"/>
    <mergeCell ref="E2:E4"/>
    <mergeCell ref="F2:F4"/>
    <mergeCell ref="D10:D13"/>
    <mergeCell ref="E10:E13"/>
    <mergeCell ref="F10:F13"/>
    <mergeCell ref="C15:C19"/>
    <mergeCell ref="D15:D18"/>
    <mergeCell ref="E15:E18"/>
    <mergeCell ref="F15:F18"/>
    <mergeCell ref="G2:G5"/>
    <mergeCell ref="B10:B19"/>
    <mergeCell ref="G15:G19"/>
    <mergeCell ref="H15:H19"/>
    <mergeCell ref="I15:I19"/>
    <mergeCell ref="H2:H5"/>
    <mergeCell ref="I2:I5"/>
    <mergeCell ref="B6:B7"/>
    <mergeCell ref="C6:C7"/>
    <mergeCell ref="B2:B5"/>
    <mergeCell ref="B8:B9"/>
    <mergeCell ref="C8:C9"/>
    <mergeCell ref="C10:C14"/>
    <mergeCell ref="G10:G14"/>
    <mergeCell ref="N10:N13"/>
    <mergeCell ref="J15:J18"/>
    <mergeCell ref="G6:G7"/>
    <mergeCell ref="G8:G9"/>
    <mergeCell ref="H8:H9"/>
    <mergeCell ref="I8:I9"/>
    <mergeCell ref="H10:H14"/>
    <mergeCell ref="I10:I14"/>
    <mergeCell ref="J10:J13"/>
    <mergeCell ref="H6:H7"/>
    <mergeCell ref="I6:I7"/>
    <mergeCell ref="J6:J7"/>
    <mergeCell ref="R10:R13"/>
    <mergeCell ref="K15:K18"/>
    <mergeCell ref="N15:N18"/>
    <mergeCell ref="R15:R18"/>
    <mergeCell ref="O2:O20"/>
    <mergeCell ref="P2:P20"/>
    <mergeCell ref="Q2:Q4"/>
    <mergeCell ref="R2:R4"/>
    <mergeCell ref="K6:K7"/>
    <mergeCell ref="L15:L18"/>
    <mergeCell ref="M15:M18"/>
    <mergeCell ref="Q10:Q13"/>
    <mergeCell ref="Q15:Q18"/>
    <mergeCell ref="K10:K13"/>
    <mergeCell ref="L10:L13"/>
    <mergeCell ref="M10:M13"/>
    <mergeCell ref="J2:J5"/>
    <mergeCell ref="K2:K5"/>
    <mergeCell ref="L2:L4"/>
    <mergeCell ref="M2:M4"/>
    <mergeCell ref="N2:N4"/>
  </mergeCells>
  <conditionalFormatting sqref="R2:R7 R10:R14 R20">
    <cfRule type="colorScale" priority="1">
      <colorScale>
        <cfvo type="min"/>
        <cfvo type="percentile" val="50"/>
        <cfvo type="max"/>
        <color rgb="FFF8696B"/>
        <color rgb="FFFFEB84"/>
        <color rgb="FF63BE7B"/>
      </colorScale>
    </cfRule>
  </conditionalFormatting>
  <conditionalFormatting sqref="R8:R9">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conditionalFormatting sqref="R15:R19">
    <cfRule type="colorScale" priority="4">
      <colorScale>
        <cfvo type="min"/>
        <cfvo type="percentile" val="50"/>
        <cfvo type="max"/>
        <color rgb="FFF8696B"/>
        <color rgb="FFFFEB84"/>
        <color rgb="FF63BE7B"/>
      </colorScale>
    </cfRule>
  </conditionalFormatting>
  <hyperlinks>
    <hyperlink ref="S5" r:id="rId1" xr:uid="{00000000-0004-0000-0600-000000000000}"/>
    <hyperlink ref="S9" r:id="rId2" location=":~:text=The%20minimum%20thickness%20for%20commercial,to%202.5%20psf%20of%20reinforcing). " xr:uid="{00000000-0004-0000-0600-000001000000}"/>
    <hyperlink ref="S13" r:id="rId3" location=":~:text=The%20minimum%20thickness%20for%20commercial,to%202.5%20psf%20of%20reinforcing). " xr:uid="{00000000-0004-0000-0600-000002000000}"/>
    <hyperlink ref="S18" r:id="rId4" location=":~:text=The%20minimum%20thickness%20for%20commercial,to%202.5%20psf%20of%20reinforcing). " xr:uid="{00000000-0004-0000-0600-000003000000}"/>
  </hyperlinks>
  <pageMargins left="0.7" right="0.7" top="0.75" bottom="0.75" header="0" footer="0"/>
  <pageSetup orientation="portrait"/>
  <drawing r:id="rId5"/>
  <legacyDrawing r:id="rId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353</v>
      </c>
      <c r="R1" s="28" t="s">
        <v>133</v>
      </c>
      <c r="S1" s="28" t="s">
        <v>134</v>
      </c>
      <c r="T1" s="31"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101</v>
      </c>
      <c r="B2" s="183" t="s">
        <v>53</v>
      </c>
      <c r="C2" s="183" t="s">
        <v>139</v>
      </c>
      <c r="D2" s="179" t="s">
        <v>140</v>
      </c>
      <c r="E2" s="179" t="s">
        <v>140</v>
      </c>
      <c r="F2" s="179" t="s">
        <v>140</v>
      </c>
      <c r="G2" s="182">
        <v>1</v>
      </c>
      <c r="H2" s="182">
        <v>2100</v>
      </c>
      <c r="I2" s="183" t="s">
        <v>142</v>
      </c>
      <c r="J2" s="178">
        <v>0.66666666666666663</v>
      </c>
      <c r="K2" s="178">
        <v>1.5</v>
      </c>
      <c r="L2" s="178">
        <v>150</v>
      </c>
      <c r="M2" s="179" t="s">
        <v>535</v>
      </c>
      <c r="N2" s="188">
        <f>L2*K2*J2*H2</f>
        <v>315000</v>
      </c>
      <c r="O2" s="186">
        <v>114651</v>
      </c>
      <c r="P2" s="187" t="s">
        <v>539</v>
      </c>
      <c r="Q2" s="175">
        <f>N2/O2</f>
        <v>2.7474684041133526</v>
      </c>
      <c r="R2" s="191">
        <v>4</v>
      </c>
      <c r="S2" s="14" t="s">
        <v>149</v>
      </c>
      <c r="T2" s="14" t="s">
        <v>150</v>
      </c>
    </row>
    <row r="3" spans="1:40" ht="14.25" customHeight="1" x14ac:dyDescent="0.2">
      <c r="A3" s="181"/>
      <c r="B3" s="181"/>
      <c r="C3" s="181"/>
      <c r="D3" s="176"/>
      <c r="E3" s="176"/>
      <c r="F3" s="176"/>
      <c r="G3" s="181"/>
      <c r="H3" s="181"/>
      <c r="I3" s="181"/>
      <c r="J3" s="181"/>
      <c r="K3" s="181"/>
      <c r="L3" s="176"/>
      <c r="M3" s="176"/>
      <c r="N3" s="176"/>
      <c r="O3" s="181"/>
      <c r="P3" s="181"/>
      <c r="Q3" s="176"/>
      <c r="R3" s="176"/>
      <c r="S3" s="14" t="s">
        <v>401</v>
      </c>
      <c r="T3" s="14" t="s">
        <v>402</v>
      </c>
    </row>
    <row r="4" spans="1:40" ht="14.25" customHeight="1" x14ac:dyDescent="0.2">
      <c r="A4" s="181"/>
      <c r="B4" s="176"/>
      <c r="C4" s="176"/>
      <c r="D4" s="14" t="s">
        <v>154</v>
      </c>
      <c r="E4" s="14" t="s">
        <v>155</v>
      </c>
      <c r="F4" s="14" t="s">
        <v>156</v>
      </c>
      <c r="G4" s="176"/>
      <c r="H4" s="176"/>
      <c r="I4" s="176"/>
      <c r="J4" s="176"/>
      <c r="K4" s="176"/>
      <c r="L4" s="14">
        <v>5.25</v>
      </c>
      <c r="M4" s="14" t="s">
        <v>543</v>
      </c>
      <c r="N4" s="38">
        <f>L4*K2*J2*H2</f>
        <v>11025</v>
      </c>
      <c r="O4" s="181"/>
      <c r="P4" s="181"/>
      <c r="Q4" s="19">
        <f t="shared" ref="Q4:Q7" si="0">N4/$O$2</f>
        <v>9.6161394143967349E-2</v>
      </c>
      <c r="R4" s="48">
        <v>4</v>
      </c>
      <c r="S4" s="14" t="s">
        <v>174</v>
      </c>
      <c r="T4" s="14" t="s">
        <v>175</v>
      </c>
    </row>
    <row r="5" spans="1:40" ht="14.25" customHeight="1" x14ac:dyDescent="0.2">
      <c r="A5" s="181"/>
      <c r="B5" s="183" t="s">
        <v>164</v>
      </c>
      <c r="C5" s="183" t="s">
        <v>165</v>
      </c>
      <c r="D5" s="14" t="s">
        <v>140</v>
      </c>
      <c r="E5" s="41" t="s">
        <v>140</v>
      </c>
      <c r="F5" s="41" t="s">
        <v>140</v>
      </c>
      <c r="G5" s="182">
        <v>1</v>
      </c>
      <c r="H5" s="182">
        <v>106100</v>
      </c>
      <c r="I5" s="183" t="s">
        <v>166</v>
      </c>
      <c r="J5" s="175">
        <v>0.66666666666666663</v>
      </c>
      <c r="K5" s="179" t="s">
        <v>27</v>
      </c>
      <c r="L5" s="14">
        <v>150</v>
      </c>
      <c r="M5" s="14" t="s">
        <v>546</v>
      </c>
      <c r="N5" s="38">
        <f>L5*J5*H5</f>
        <v>10610000</v>
      </c>
      <c r="O5" s="181"/>
      <c r="P5" s="181"/>
      <c r="Q5" s="19">
        <f t="shared" si="0"/>
        <v>92.541713548071968</v>
      </c>
      <c r="R5" s="49">
        <v>5</v>
      </c>
      <c r="S5" s="14" t="s">
        <v>169</v>
      </c>
      <c r="T5" s="14"/>
    </row>
    <row r="6" spans="1:40" ht="14.25" customHeight="1" x14ac:dyDescent="0.2">
      <c r="A6" s="181"/>
      <c r="B6" s="176"/>
      <c r="C6" s="176"/>
      <c r="D6" s="14" t="s">
        <v>154</v>
      </c>
      <c r="E6" s="41" t="s">
        <v>155</v>
      </c>
      <c r="F6" s="41" t="s">
        <v>156</v>
      </c>
      <c r="G6" s="176"/>
      <c r="H6" s="176"/>
      <c r="I6" s="176"/>
      <c r="J6" s="176"/>
      <c r="K6" s="176"/>
      <c r="L6" s="14">
        <v>6</v>
      </c>
      <c r="M6" s="14" t="s">
        <v>551</v>
      </c>
      <c r="N6" s="38">
        <f>L6*J5*H5</f>
        <v>424400</v>
      </c>
      <c r="O6" s="181"/>
      <c r="P6" s="181"/>
      <c r="Q6" s="19">
        <f t="shared" si="0"/>
        <v>3.7016685419228792</v>
      </c>
      <c r="R6" s="49">
        <v>5</v>
      </c>
      <c r="S6" s="14" t="s">
        <v>174</v>
      </c>
      <c r="T6" s="14" t="s">
        <v>175</v>
      </c>
    </row>
    <row r="7" spans="1:40" ht="14.25" customHeight="1" x14ac:dyDescent="0.2">
      <c r="A7" s="181"/>
      <c r="B7" s="183" t="s">
        <v>176</v>
      </c>
      <c r="C7" s="184" t="s">
        <v>554</v>
      </c>
      <c r="D7" s="179" t="s">
        <v>211</v>
      </c>
      <c r="E7" s="179" t="s">
        <v>155</v>
      </c>
      <c r="F7" s="179" t="s">
        <v>441</v>
      </c>
      <c r="G7" s="178">
        <v>93</v>
      </c>
      <c r="H7" s="182">
        <v>21200</v>
      </c>
      <c r="I7" s="187" t="s">
        <v>166</v>
      </c>
      <c r="J7" s="175" t="s">
        <v>556</v>
      </c>
      <c r="K7" s="179">
        <v>25</v>
      </c>
      <c r="L7" s="178">
        <v>40</v>
      </c>
      <c r="M7" s="179" t="s">
        <v>180</v>
      </c>
      <c r="N7" s="180">
        <f>L7*K7*G7</f>
        <v>93000</v>
      </c>
      <c r="O7" s="181"/>
      <c r="P7" s="181"/>
      <c r="Q7" s="175">
        <f t="shared" si="0"/>
        <v>0.81115733835727555</v>
      </c>
      <c r="R7" s="190">
        <v>2</v>
      </c>
      <c r="S7" s="14" t="s">
        <v>213</v>
      </c>
      <c r="T7" s="14" t="s">
        <v>558</v>
      </c>
    </row>
    <row r="8" spans="1:40" ht="14.25" customHeight="1" x14ac:dyDescent="0.2">
      <c r="A8" s="181"/>
      <c r="B8" s="181"/>
      <c r="C8" s="181"/>
      <c r="D8" s="181"/>
      <c r="E8" s="181"/>
      <c r="F8" s="181"/>
      <c r="G8" s="181"/>
      <c r="H8" s="181"/>
      <c r="I8" s="181"/>
      <c r="J8" s="181"/>
      <c r="K8" s="181"/>
      <c r="L8" s="181"/>
      <c r="M8" s="181"/>
      <c r="N8" s="181"/>
      <c r="O8" s="181"/>
      <c r="P8" s="181"/>
      <c r="Q8" s="181"/>
      <c r="R8" s="181"/>
      <c r="S8" s="40" t="s">
        <v>216</v>
      </c>
      <c r="T8" s="14" t="s">
        <v>217</v>
      </c>
    </row>
    <row r="9" spans="1:40" ht="14.25" customHeight="1" x14ac:dyDescent="0.2">
      <c r="A9" s="181"/>
      <c r="B9" s="181"/>
      <c r="C9" s="181"/>
      <c r="D9" s="181"/>
      <c r="E9" s="181"/>
      <c r="F9" s="181"/>
      <c r="G9" s="181"/>
      <c r="H9" s="181"/>
      <c r="I9" s="181"/>
      <c r="J9" s="181"/>
      <c r="K9" s="181"/>
      <c r="L9" s="181"/>
      <c r="M9" s="181"/>
      <c r="N9" s="181"/>
      <c r="O9" s="181"/>
      <c r="P9" s="181"/>
      <c r="Q9" s="181"/>
      <c r="R9" s="181"/>
      <c r="S9" s="40" t="s">
        <v>560</v>
      </c>
      <c r="T9" s="14" t="s">
        <v>561</v>
      </c>
    </row>
    <row r="10" spans="1:40" ht="14.25" customHeight="1" x14ac:dyDescent="0.2">
      <c r="A10" s="181"/>
      <c r="B10" s="181"/>
      <c r="C10" s="181"/>
      <c r="D10" s="176"/>
      <c r="E10" s="176"/>
      <c r="F10" s="176"/>
      <c r="G10" s="176"/>
      <c r="H10" s="181"/>
      <c r="I10" s="181"/>
      <c r="J10" s="176"/>
      <c r="K10" s="176"/>
      <c r="L10" s="176"/>
      <c r="M10" s="176"/>
      <c r="N10" s="176"/>
      <c r="O10" s="181"/>
      <c r="P10" s="181"/>
      <c r="Q10" s="176"/>
      <c r="R10" s="176"/>
      <c r="S10" s="40" t="s">
        <v>219</v>
      </c>
      <c r="T10" s="14" t="s">
        <v>563</v>
      </c>
    </row>
    <row r="11" spans="1:40" ht="14.25" customHeight="1" x14ac:dyDescent="0.2">
      <c r="A11" s="181"/>
      <c r="B11" s="181"/>
      <c r="C11" s="181"/>
      <c r="D11" s="179" t="s">
        <v>564</v>
      </c>
      <c r="E11" s="179" t="s">
        <v>155</v>
      </c>
      <c r="F11" s="179" t="s">
        <v>412</v>
      </c>
      <c r="G11" s="178">
        <v>1020</v>
      </c>
      <c r="H11" s="181"/>
      <c r="I11" s="181"/>
      <c r="J11" s="175" t="s">
        <v>565</v>
      </c>
      <c r="K11" s="179">
        <v>10</v>
      </c>
      <c r="L11" s="178">
        <v>3.09</v>
      </c>
      <c r="M11" s="179" t="s">
        <v>221</v>
      </c>
      <c r="N11" s="180">
        <f>L11*G11*K11</f>
        <v>31517.999999999996</v>
      </c>
      <c r="O11" s="181"/>
      <c r="P11" s="181"/>
      <c r="Q11" s="175">
        <f>N11/$O$2</f>
        <v>0.27490383860585599</v>
      </c>
      <c r="R11" s="190">
        <v>2</v>
      </c>
      <c r="S11" s="14" t="s">
        <v>568</v>
      </c>
      <c r="T11" s="14" t="s">
        <v>569</v>
      </c>
    </row>
    <row r="12" spans="1:40" ht="14.25" customHeight="1" x14ac:dyDescent="0.2">
      <c r="A12" s="181"/>
      <c r="B12" s="181"/>
      <c r="C12" s="181"/>
      <c r="D12" s="181"/>
      <c r="E12" s="181"/>
      <c r="F12" s="181"/>
      <c r="G12" s="181"/>
      <c r="H12" s="181"/>
      <c r="I12" s="181"/>
      <c r="J12" s="181"/>
      <c r="K12" s="181"/>
      <c r="L12" s="181"/>
      <c r="M12" s="181"/>
      <c r="N12" s="181"/>
      <c r="O12" s="181"/>
      <c r="P12" s="181"/>
      <c r="Q12" s="181"/>
      <c r="R12" s="181"/>
      <c r="S12" s="40" t="s">
        <v>224</v>
      </c>
      <c r="T12" s="14" t="s">
        <v>572</v>
      </c>
    </row>
    <row r="13" spans="1:40" ht="14.25" customHeight="1" x14ac:dyDescent="0.2">
      <c r="A13" s="181"/>
      <c r="B13" s="181"/>
      <c r="C13" s="181"/>
      <c r="D13" s="181"/>
      <c r="E13" s="181"/>
      <c r="F13" s="181"/>
      <c r="G13" s="181"/>
      <c r="H13" s="181"/>
      <c r="I13" s="181"/>
      <c r="J13" s="181"/>
      <c r="K13" s="181"/>
      <c r="L13" s="181"/>
      <c r="M13" s="181"/>
      <c r="N13" s="181"/>
      <c r="O13" s="181"/>
      <c r="P13" s="181"/>
      <c r="Q13" s="181"/>
      <c r="R13" s="181"/>
      <c r="S13" s="40" t="s">
        <v>227</v>
      </c>
      <c r="T13" s="14" t="s">
        <v>576</v>
      </c>
    </row>
    <row r="14" spans="1:40" ht="14.25" customHeight="1" x14ac:dyDescent="0.2">
      <c r="A14" s="181"/>
      <c r="B14" s="181"/>
      <c r="C14" s="181"/>
      <c r="D14" s="176"/>
      <c r="E14" s="176"/>
      <c r="F14" s="176"/>
      <c r="G14" s="176"/>
      <c r="H14" s="181"/>
      <c r="I14" s="181"/>
      <c r="J14" s="176"/>
      <c r="K14" s="176"/>
      <c r="L14" s="176"/>
      <c r="M14" s="176"/>
      <c r="N14" s="176"/>
      <c r="O14" s="181"/>
      <c r="P14" s="181"/>
      <c r="Q14" s="176"/>
      <c r="R14" s="176"/>
      <c r="S14" s="14" t="s">
        <v>229</v>
      </c>
      <c r="T14" s="14" t="s">
        <v>577</v>
      </c>
    </row>
    <row r="15" spans="1:40" ht="14.25" customHeight="1" x14ac:dyDescent="0.2">
      <c r="A15" s="181"/>
      <c r="B15" s="181"/>
      <c r="C15" s="181"/>
      <c r="D15" s="179" t="s">
        <v>197</v>
      </c>
      <c r="E15" s="179" t="s">
        <v>155</v>
      </c>
      <c r="F15" s="179" t="s">
        <v>441</v>
      </c>
      <c r="G15" s="178">
        <v>120</v>
      </c>
      <c r="H15" s="181"/>
      <c r="I15" s="181"/>
      <c r="J15" s="175" t="s">
        <v>578</v>
      </c>
      <c r="K15" s="179">
        <v>14.666666666666666</v>
      </c>
      <c r="L15" s="178">
        <v>31</v>
      </c>
      <c r="M15" s="179" t="s">
        <v>180</v>
      </c>
      <c r="N15" s="180">
        <f>L15*K15*G15</f>
        <v>54559.999999999993</v>
      </c>
      <c r="O15" s="181"/>
      <c r="P15" s="181"/>
      <c r="Q15" s="175">
        <f>N15/O2</f>
        <v>0.47587897183626826</v>
      </c>
      <c r="R15" s="190">
        <v>1</v>
      </c>
      <c r="S15" s="14" t="s">
        <v>237</v>
      </c>
      <c r="T15" s="14" t="s">
        <v>578</v>
      </c>
    </row>
    <row r="16" spans="1:40" ht="14.25" customHeight="1" x14ac:dyDescent="0.2">
      <c r="A16" s="181"/>
      <c r="B16" s="181"/>
      <c r="C16" s="181"/>
      <c r="D16" s="176"/>
      <c r="E16" s="176"/>
      <c r="F16" s="176"/>
      <c r="G16" s="176"/>
      <c r="H16" s="181"/>
      <c r="I16" s="181"/>
      <c r="J16" s="176"/>
      <c r="K16" s="176"/>
      <c r="L16" s="176"/>
      <c r="M16" s="176"/>
      <c r="N16" s="176"/>
      <c r="O16" s="181"/>
      <c r="P16" s="181"/>
      <c r="Q16" s="176"/>
      <c r="R16" s="176"/>
      <c r="S16" s="14" t="s">
        <v>579</v>
      </c>
      <c r="T16" s="14" t="s">
        <v>580</v>
      </c>
    </row>
    <row r="17" spans="1:20" ht="14.25" customHeight="1" x14ac:dyDescent="0.2">
      <c r="A17" s="181"/>
      <c r="B17" s="181"/>
      <c r="C17" s="181"/>
      <c r="D17" s="179" t="s">
        <v>581</v>
      </c>
      <c r="E17" s="179" t="s">
        <v>155</v>
      </c>
      <c r="F17" s="179" t="s">
        <v>412</v>
      </c>
      <c r="G17" s="182">
        <v>1</v>
      </c>
      <c r="H17" s="181"/>
      <c r="I17" s="181"/>
      <c r="J17" s="175">
        <v>3.3333333333333335E-3</v>
      </c>
      <c r="K17" s="179" t="s">
        <v>27</v>
      </c>
      <c r="L17" s="178">
        <v>1.6559999999999999</v>
      </c>
      <c r="M17" s="179" t="s">
        <v>582</v>
      </c>
      <c r="N17" s="180">
        <f>L17*H7</f>
        <v>35107.199999999997</v>
      </c>
      <c r="O17" s="181"/>
      <c r="P17" s="181"/>
      <c r="Q17" s="175">
        <f>N17/$O$2</f>
        <v>0.30620927859329616</v>
      </c>
      <c r="R17" s="191">
        <v>2</v>
      </c>
      <c r="S17" s="14" t="s">
        <v>243</v>
      </c>
      <c r="T17" s="14" t="s">
        <v>244</v>
      </c>
    </row>
    <row r="18" spans="1:20" ht="14.25" customHeight="1" x14ac:dyDescent="0.2">
      <c r="A18" s="181"/>
      <c r="B18" s="181"/>
      <c r="C18" s="181"/>
      <c r="D18" s="181"/>
      <c r="E18" s="181"/>
      <c r="F18" s="181"/>
      <c r="G18" s="181"/>
      <c r="H18" s="181"/>
      <c r="I18" s="181"/>
      <c r="J18" s="181"/>
      <c r="K18" s="181"/>
      <c r="L18" s="181"/>
      <c r="M18" s="181"/>
      <c r="N18" s="181"/>
      <c r="O18" s="181"/>
      <c r="P18" s="181"/>
      <c r="Q18" s="181"/>
      <c r="R18" s="181"/>
      <c r="S18" s="40" t="s">
        <v>246</v>
      </c>
      <c r="T18" s="14" t="s">
        <v>247</v>
      </c>
    </row>
    <row r="19" spans="1:20" ht="14.25" customHeight="1" x14ac:dyDescent="0.2">
      <c r="A19" s="181"/>
      <c r="B19" s="181"/>
      <c r="C19" s="181"/>
      <c r="D19" s="176"/>
      <c r="E19" s="176"/>
      <c r="F19" s="176"/>
      <c r="G19" s="181"/>
      <c r="H19" s="181"/>
      <c r="I19" s="181"/>
      <c r="J19" s="176"/>
      <c r="K19" s="176"/>
      <c r="L19" s="176"/>
      <c r="M19" s="176"/>
      <c r="N19" s="176"/>
      <c r="O19" s="181"/>
      <c r="P19" s="181"/>
      <c r="Q19" s="176"/>
      <c r="R19" s="181"/>
      <c r="S19" s="14" t="s">
        <v>249</v>
      </c>
      <c r="T19" s="14" t="s">
        <v>250</v>
      </c>
    </row>
    <row r="20" spans="1:20" ht="14.25" customHeight="1" x14ac:dyDescent="0.2">
      <c r="A20" s="181"/>
      <c r="B20" s="181"/>
      <c r="C20" s="181"/>
      <c r="D20" s="41" t="s">
        <v>583</v>
      </c>
      <c r="E20" s="41" t="s">
        <v>140</v>
      </c>
      <c r="F20" s="41" t="s">
        <v>140</v>
      </c>
      <c r="G20" s="181"/>
      <c r="H20" s="181"/>
      <c r="I20" s="181"/>
      <c r="J20" s="91">
        <v>0.27083333333333331</v>
      </c>
      <c r="K20" s="41" t="s">
        <v>27</v>
      </c>
      <c r="L20" s="41">
        <v>150</v>
      </c>
      <c r="M20" s="14" t="s">
        <v>584</v>
      </c>
      <c r="N20" s="96">
        <f>L20*J20*H7</f>
        <v>861250</v>
      </c>
      <c r="O20" s="181"/>
      <c r="P20" s="181"/>
      <c r="Q20" s="91">
        <f>N20/O2</f>
        <v>7.511927501722619</v>
      </c>
      <c r="R20" s="181"/>
      <c r="S20" s="40" t="s">
        <v>586</v>
      </c>
      <c r="T20" s="14" t="s">
        <v>587</v>
      </c>
    </row>
    <row r="21" spans="1:20" ht="14.25" customHeight="1" x14ac:dyDescent="0.2">
      <c r="A21" s="181"/>
      <c r="B21" s="176"/>
      <c r="C21" s="176"/>
      <c r="D21" s="41" t="s">
        <v>154</v>
      </c>
      <c r="E21" s="41" t="s">
        <v>155</v>
      </c>
      <c r="F21" s="41" t="s">
        <v>156</v>
      </c>
      <c r="G21" s="176"/>
      <c r="H21" s="176"/>
      <c r="I21" s="176"/>
      <c r="J21" s="91">
        <v>0.27083333333333331</v>
      </c>
      <c r="K21" s="41" t="s">
        <v>27</v>
      </c>
      <c r="L21" s="41">
        <v>6</v>
      </c>
      <c r="M21" s="14" t="s">
        <v>589</v>
      </c>
      <c r="N21" s="96">
        <f>L21*J21*H7</f>
        <v>34450</v>
      </c>
      <c r="O21" s="181"/>
      <c r="P21" s="181"/>
      <c r="Q21" s="91">
        <f>N21/O2</f>
        <v>0.30047710006890477</v>
      </c>
      <c r="R21" s="176"/>
      <c r="S21" s="14" t="s">
        <v>174</v>
      </c>
      <c r="T21" s="14" t="s">
        <v>175</v>
      </c>
    </row>
    <row r="22" spans="1:20" ht="14.25" customHeight="1" x14ac:dyDescent="0.2">
      <c r="A22" s="181"/>
      <c r="B22" s="183" t="s">
        <v>209</v>
      </c>
      <c r="C22" s="184" t="s">
        <v>210</v>
      </c>
      <c r="D22" s="179" t="s">
        <v>591</v>
      </c>
      <c r="E22" s="179" t="s">
        <v>155</v>
      </c>
      <c r="F22" s="179" t="s">
        <v>412</v>
      </c>
      <c r="G22" s="178">
        <v>17</v>
      </c>
      <c r="H22" s="182">
        <v>106100</v>
      </c>
      <c r="I22" s="183" t="s">
        <v>166</v>
      </c>
      <c r="J22" s="175" t="s">
        <v>27</v>
      </c>
      <c r="K22" s="179">
        <v>120</v>
      </c>
      <c r="L22" s="178">
        <v>66</v>
      </c>
      <c r="M22" s="179" t="s">
        <v>180</v>
      </c>
      <c r="N22" s="180">
        <f>L22*K22*G22</f>
        <v>134640</v>
      </c>
      <c r="O22" s="181"/>
      <c r="P22" s="181"/>
      <c r="Q22" s="175">
        <f>N22/$O$2</f>
        <v>1.1743464950153073</v>
      </c>
      <c r="R22" s="190">
        <v>2</v>
      </c>
      <c r="S22" s="14" t="s">
        <v>213</v>
      </c>
      <c r="T22" s="14" t="s">
        <v>558</v>
      </c>
    </row>
    <row r="23" spans="1:20" ht="14.25" customHeight="1" x14ac:dyDescent="0.2">
      <c r="A23" s="181"/>
      <c r="B23" s="181"/>
      <c r="C23" s="181"/>
      <c r="D23" s="181"/>
      <c r="E23" s="181"/>
      <c r="F23" s="181"/>
      <c r="G23" s="181"/>
      <c r="H23" s="181"/>
      <c r="I23" s="181"/>
      <c r="J23" s="181"/>
      <c r="K23" s="181"/>
      <c r="L23" s="181"/>
      <c r="M23" s="181"/>
      <c r="N23" s="181"/>
      <c r="O23" s="181"/>
      <c r="P23" s="181"/>
      <c r="Q23" s="181"/>
      <c r="R23" s="181"/>
      <c r="S23" s="40" t="s">
        <v>216</v>
      </c>
      <c r="T23" s="14" t="s">
        <v>217</v>
      </c>
    </row>
    <row r="24" spans="1:20" ht="14.25" customHeight="1" x14ac:dyDescent="0.2">
      <c r="A24" s="181"/>
      <c r="B24" s="181"/>
      <c r="C24" s="181"/>
      <c r="D24" s="181"/>
      <c r="E24" s="181"/>
      <c r="F24" s="181"/>
      <c r="G24" s="181"/>
      <c r="H24" s="181"/>
      <c r="I24" s="181"/>
      <c r="J24" s="181"/>
      <c r="K24" s="181"/>
      <c r="L24" s="181"/>
      <c r="M24" s="181"/>
      <c r="N24" s="181"/>
      <c r="O24" s="181"/>
      <c r="P24" s="181"/>
      <c r="Q24" s="181"/>
      <c r="R24" s="181"/>
      <c r="S24" s="40" t="s">
        <v>560</v>
      </c>
      <c r="T24" s="14" t="s">
        <v>561</v>
      </c>
    </row>
    <row r="25" spans="1:20" ht="14.25" customHeight="1" x14ac:dyDescent="0.2">
      <c r="A25" s="181"/>
      <c r="B25" s="181"/>
      <c r="C25" s="181"/>
      <c r="D25" s="176"/>
      <c r="E25" s="176"/>
      <c r="F25" s="176"/>
      <c r="G25" s="176"/>
      <c r="H25" s="181"/>
      <c r="I25" s="181"/>
      <c r="J25" s="176"/>
      <c r="K25" s="176"/>
      <c r="L25" s="176"/>
      <c r="M25" s="176"/>
      <c r="N25" s="176"/>
      <c r="O25" s="181"/>
      <c r="P25" s="181"/>
      <c r="Q25" s="176"/>
      <c r="R25" s="176"/>
      <c r="S25" s="40" t="s">
        <v>219</v>
      </c>
      <c r="T25" s="14" t="s">
        <v>563</v>
      </c>
    </row>
    <row r="26" spans="1:20" ht="14.25" customHeight="1" x14ac:dyDescent="0.2">
      <c r="A26" s="181"/>
      <c r="B26" s="181"/>
      <c r="C26" s="181"/>
      <c r="D26" s="179" t="s">
        <v>185</v>
      </c>
      <c r="E26" s="179" t="s">
        <v>155</v>
      </c>
      <c r="F26" s="179" t="s">
        <v>412</v>
      </c>
      <c r="G26" s="178">
        <v>336</v>
      </c>
      <c r="H26" s="181"/>
      <c r="I26" s="181"/>
      <c r="J26" s="175" t="s">
        <v>595</v>
      </c>
      <c r="K26" s="179">
        <v>40</v>
      </c>
      <c r="L26" s="178">
        <v>9</v>
      </c>
      <c r="M26" s="179" t="s">
        <v>221</v>
      </c>
      <c r="N26" s="180">
        <f>L26*G26/2*K26+G26/2*50*L26</f>
        <v>136080</v>
      </c>
      <c r="O26" s="181"/>
      <c r="P26" s="181"/>
      <c r="Q26" s="175">
        <f>N26/$O$2</f>
        <v>1.1869063505769684</v>
      </c>
      <c r="R26" s="190">
        <v>2</v>
      </c>
      <c r="S26" s="14" t="s">
        <v>568</v>
      </c>
      <c r="T26" s="14" t="s">
        <v>569</v>
      </c>
    </row>
    <row r="27" spans="1:20" ht="14.25" customHeight="1" x14ac:dyDescent="0.2">
      <c r="A27" s="181"/>
      <c r="B27" s="181"/>
      <c r="C27" s="181"/>
      <c r="D27" s="181"/>
      <c r="E27" s="181"/>
      <c r="F27" s="181"/>
      <c r="G27" s="181"/>
      <c r="H27" s="181"/>
      <c r="I27" s="181"/>
      <c r="J27" s="181"/>
      <c r="K27" s="181"/>
      <c r="L27" s="181"/>
      <c r="M27" s="181"/>
      <c r="N27" s="181"/>
      <c r="O27" s="181"/>
      <c r="P27" s="181"/>
      <c r="Q27" s="181"/>
      <c r="R27" s="181"/>
      <c r="S27" s="40" t="s">
        <v>224</v>
      </c>
      <c r="T27" s="14" t="s">
        <v>572</v>
      </c>
    </row>
    <row r="28" spans="1:20" ht="14.25" customHeight="1" x14ac:dyDescent="0.2">
      <c r="A28" s="181"/>
      <c r="B28" s="181"/>
      <c r="C28" s="181"/>
      <c r="D28" s="181"/>
      <c r="E28" s="181"/>
      <c r="F28" s="181"/>
      <c r="G28" s="181"/>
      <c r="H28" s="181"/>
      <c r="I28" s="181"/>
      <c r="J28" s="181"/>
      <c r="K28" s="181"/>
      <c r="L28" s="181"/>
      <c r="M28" s="181"/>
      <c r="N28" s="181"/>
      <c r="O28" s="181"/>
      <c r="P28" s="181"/>
      <c r="Q28" s="181"/>
      <c r="R28" s="181"/>
      <c r="S28" s="40" t="s">
        <v>227</v>
      </c>
      <c r="T28" s="14" t="s">
        <v>576</v>
      </c>
    </row>
    <row r="29" spans="1:20" ht="14.25" customHeight="1" x14ac:dyDescent="0.2">
      <c r="A29" s="181"/>
      <c r="B29" s="181"/>
      <c r="C29" s="181"/>
      <c r="D29" s="176"/>
      <c r="E29" s="176"/>
      <c r="F29" s="176"/>
      <c r="G29" s="176"/>
      <c r="H29" s="181"/>
      <c r="I29" s="181"/>
      <c r="J29" s="176"/>
      <c r="K29" s="176"/>
      <c r="L29" s="176"/>
      <c r="M29" s="176"/>
      <c r="N29" s="176"/>
      <c r="O29" s="181"/>
      <c r="P29" s="181"/>
      <c r="Q29" s="176"/>
      <c r="R29" s="176"/>
      <c r="S29" s="14" t="s">
        <v>229</v>
      </c>
      <c r="T29" s="14" t="s">
        <v>577</v>
      </c>
    </row>
    <row r="30" spans="1:20" ht="14.25" customHeight="1" x14ac:dyDescent="0.2">
      <c r="A30" s="181"/>
      <c r="B30" s="181"/>
      <c r="C30" s="181"/>
      <c r="D30" s="179" t="s">
        <v>599</v>
      </c>
      <c r="E30" s="179" t="s">
        <v>155</v>
      </c>
      <c r="F30" s="179" t="s">
        <v>441</v>
      </c>
      <c r="G30" s="178">
        <v>19</v>
      </c>
      <c r="H30" s="181"/>
      <c r="I30" s="181"/>
      <c r="J30" s="175" t="s">
        <v>600</v>
      </c>
      <c r="K30" s="179">
        <v>44</v>
      </c>
      <c r="L30" s="178">
        <v>370</v>
      </c>
      <c r="M30" s="179" t="s">
        <v>221</v>
      </c>
      <c r="N30" s="180">
        <f>L30*K30*G30</f>
        <v>309320</v>
      </c>
      <c r="O30" s="181"/>
      <c r="P30" s="181"/>
      <c r="Q30" s="175">
        <f>N30/O2</f>
        <v>2.697926751620134</v>
      </c>
      <c r="R30" s="62"/>
      <c r="S30" s="14"/>
      <c r="T30" s="14"/>
    </row>
    <row r="31" spans="1:20" ht="14.25" customHeight="1" x14ac:dyDescent="0.2">
      <c r="A31" s="181"/>
      <c r="B31" s="181"/>
      <c r="C31" s="181"/>
      <c r="D31" s="176"/>
      <c r="E31" s="176"/>
      <c r="F31" s="176"/>
      <c r="G31" s="176"/>
      <c r="H31" s="181"/>
      <c r="I31" s="181"/>
      <c r="J31" s="176"/>
      <c r="K31" s="176"/>
      <c r="L31" s="176"/>
      <c r="M31" s="176"/>
      <c r="N31" s="176"/>
      <c r="O31" s="181"/>
      <c r="P31" s="181"/>
      <c r="Q31" s="176"/>
      <c r="R31" s="62"/>
      <c r="S31" s="14"/>
      <c r="T31" s="14"/>
    </row>
    <row r="32" spans="1:20" ht="14.25" customHeight="1" x14ac:dyDescent="0.2">
      <c r="A32" s="181"/>
      <c r="B32" s="181"/>
      <c r="C32" s="181"/>
      <c r="D32" s="179" t="s">
        <v>239</v>
      </c>
      <c r="E32" s="179" t="s">
        <v>155</v>
      </c>
      <c r="F32" s="179" t="s">
        <v>397</v>
      </c>
      <c r="G32" s="182">
        <v>1</v>
      </c>
      <c r="H32" s="181"/>
      <c r="I32" s="181"/>
      <c r="J32" s="175">
        <v>3.3333333333333335E-3</v>
      </c>
      <c r="K32" s="179" t="s">
        <v>27</v>
      </c>
      <c r="L32" s="178">
        <v>1.6559999999999999</v>
      </c>
      <c r="M32" s="179" t="s">
        <v>608</v>
      </c>
      <c r="N32" s="180">
        <f>L32*H22</f>
        <v>175701.59999999998</v>
      </c>
      <c r="O32" s="181"/>
      <c r="P32" s="181"/>
      <c r="Q32" s="175">
        <f>N32/$O$2</f>
        <v>1.5324907763560718</v>
      </c>
      <c r="R32" s="191">
        <v>4</v>
      </c>
      <c r="S32" s="14" t="s">
        <v>243</v>
      </c>
      <c r="T32" s="14" t="s">
        <v>244</v>
      </c>
    </row>
    <row r="33" spans="1:38" ht="14.25" customHeight="1" x14ac:dyDescent="0.2">
      <c r="A33" s="181"/>
      <c r="B33" s="181"/>
      <c r="C33" s="181"/>
      <c r="D33" s="181"/>
      <c r="E33" s="181"/>
      <c r="F33" s="181"/>
      <c r="G33" s="181"/>
      <c r="H33" s="181"/>
      <c r="I33" s="181"/>
      <c r="J33" s="181"/>
      <c r="K33" s="181"/>
      <c r="L33" s="181"/>
      <c r="M33" s="181"/>
      <c r="N33" s="181"/>
      <c r="O33" s="181"/>
      <c r="P33" s="181"/>
      <c r="Q33" s="181"/>
      <c r="R33" s="181"/>
      <c r="S33" s="40" t="s">
        <v>610</v>
      </c>
      <c r="T33" s="14" t="s">
        <v>611</v>
      </c>
    </row>
    <row r="34" spans="1:38" ht="14.25" customHeight="1" x14ac:dyDescent="0.2">
      <c r="A34" s="181"/>
      <c r="B34" s="181"/>
      <c r="C34" s="181"/>
      <c r="D34" s="181"/>
      <c r="E34" s="181"/>
      <c r="F34" s="181"/>
      <c r="G34" s="181"/>
      <c r="H34" s="181"/>
      <c r="I34" s="181"/>
      <c r="J34" s="181"/>
      <c r="K34" s="181"/>
      <c r="L34" s="181"/>
      <c r="M34" s="181"/>
      <c r="N34" s="181"/>
      <c r="O34" s="181"/>
      <c r="P34" s="181"/>
      <c r="Q34" s="181"/>
      <c r="R34" s="181"/>
      <c r="S34" s="40" t="s">
        <v>612</v>
      </c>
      <c r="T34" s="14" t="s">
        <v>613</v>
      </c>
    </row>
    <row r="35" spans="1:38" ht="14.25" customHeight="1" x14ac:dyDescent="0.2">
      <c r="A35" s="181"/>
      <c r="B35" s="176"/>
      <c r="C35" s="176"/>
      <c r="D35" s="176"/>
      <c r="E35" s="176"/>
      <c r="F35" s="176"/>
      <c r="G35" s="176"/>
      <c r="H35" s="176"/>
      <c r="I35" s="176"/>
      <c r="J35" s="176"/>
      <c r="K35" s="176"/>
      <c r="L35" s="176"/>
      <c r="M35" s="176"/>
      <c r="N35" s="176"/>
      <c r="O35" s="181"/>
      <c r="P35" s="181"/>
      <c r="Q35" s="176"/>
      <c r="R35" s="176"/>
      <c r="S35" s="40" t="s">
        <v>246</v>
      </c>
      <c r="T35" s="14" t="s">
        <v>247</v>
      </c>
    </row>
    <row r="36" spans="1:38" ht="14.25" customHeight="1" x14ac:dyDescent="0.2">
      <c r="A36" s="181"/>
      <c r="B36" s="183" t="s">
        <v>209</v>
      </c>
      <c r="C36" s="184" t="s">
        <v>616</v>
      </c>
      <c r="D36" s="179" t="s">
        <v>617</v>
      </c>
      <c r="E36" s="179" t="s">
        <v>155</v>
      </c>
      <c r="F36" s="179" t="s">
        <v>412</v>
      </c>
      <c r="G36" s="178">
        <v>14</v>
      </c>
      <c r="H36" s="183">
        <v>1330</v>
      </c>
      <c r="I36" s="183" t="s">
        <v>142</v>
      </c>
      <c r="J36" s="175" t="s">
        <v>619</v>
      </c>
      <c r="K36" s="179" t="s">
        <v>27</v>
      </c>
      <c r="L36" s="178">
        <v>156.28</v>
      </c>
      <c r="M36" s="179" t="s">
        <v>221</v>
      </c>
      <c r="N36" s="180">
        <f>L36*H36</f>
        <v>207852.4</v>
      </c>
      <c r="O36" s="181"/>
      <c r="P36" s="181"/>
      <c r="Q36" s="175">
        <f>N36/$O$2</f>
        <v>1.8129139737115245</v>
      </c>
      <c r="R36" s="191">
        <v>3</v>
      </c>
      <c r="S36" s="40" t="s">
        <v>620</v>
      </c>
      <c r="T36" s="14" t="s">
        <v>621</v>
      </c>
    </row>
    <row r="37" spans="1:38" ht="14.25" customHeight="1" x14ac:dyDescent="0.2">
      <c r="A37" s="181"/>
      <c r="B37" s="181"/>
      <c r="C37" s="181"/>
      <c r="D37" s="181"/>
      <c r="E37" s="181"/>
      <c r="F37" s="181"/>
      <c r="G37" s="181"/>
      <c r="H37" s="181"/>
      <c r="I37" s="181"/>
      <c r="J37" s="181"/>
      <c r="K37" s="181"/>
      <c r="L37" s="181"/>
      <c r="M37" s="181"/>
      <c r="N37" s="181"/>
      <c r="O37" s="181"/>
      <c r="P37" s="181"/>
      <c r="Q37" s="181"/>
      <c r="R37" s="181"/>
      <c r="S37" s="14" t="s">
        <v>623</v>
      </c>
      <c r="T37" s="14" t="s">
        <v>624</v>
      </c>
    </row>
    <row r="38" spans="1:38" ht="14.25" customHeight="1" x14ac:dyDescent="0.2">
      <c r="A38" s="181"/>
      <c r="B38" s="181"/>
      <c r="C38" s="181"/>
      <c r="D38" s="181"/>
      <c r="E38" s="181"/>
      <c r="F38" s="181"/>
      <c r="G38" s="181"/>
      <c r="H38" s="181"/>
      <c r="I38" s="181"/>
      <c r="J38" s="181"/>
      <c r="K38" s="181"/>
      <c r="L38" s="181"/>
      <c r="M38" s="181"/>
      <c r="N38" s="181"/>
      <c r="O38" s="181"/>
      <c r="P38" s="181"/>
      <c r="Q38" s="181"/>
      <c r="R38" s="181"/>
      <c r="S38" s="14" t="s">
        <v>625</v>
      </c>
      <c r="T38" s="14" t="s">
        <v>626</v>
      </c>
    </row>
    <row r="39" spans="1:38" ht="14.25" customHeight="1" x14ac:dyDescent="0.2">
      <c r="A39" s="181"/>
      <c r="B39" s="176"/>
      <c r="C39" s="176"/>
      <c r="D39" s="176"/>
      <c r="E39" s="176"/>
      <c r="F39" s="176"/>
      <c r="G39" s="176"/>
      <c r="H39" s="176"/>
      <c r="I39" s="176"/>
      <c r="J39" s="176"/>
      <c r="K39" s="176"/>
      <c r="L39" s="176"/>
      <c r="M39" s="176"/>
      <c r="N39" s="176"/>
      <c r="O39" s="181"/>
      <c r="P39" s="181"/>
      <c r="Q39" s="176"/>
      <c r="R39" s="176"/>
      <c r="S39" s="40" t="s">
        <v>627</v>
      </c>
      <c r="T39" s="14" t="s">
        <v>628</v>
      </c>
    </row>
    <row r="40" spans="1:38" ht="16.5" customHeight="1" x14ac:dyDescent="0.2">
      <c r="A40" s="181"/>
      <c r="B40" s="183" t="s">
        <v>251</v>
      </c>
      <c r="C40" s="184" t="s">
        <v>285</v>
      </c>
      <c r="D40" s="179" t="s">
        <v>140</v>
      </c>
      <c r="E40" s="179" t="s">
        <v>140</v>
      </c>
      <c r="F40" s="179" t="s">
        <v>140</v>
      </c>
      <c r="G40" s="182">
        <v>1</v>
      </c>
      <c r="H40" s="182">
        <v>4600</v>
      </c>
      <c r="I40" s="183" t="s">
        <v>166</v>
      </c>
      <c r="J40" s="175">
        <v>0.60416666666666663</v>
      </c>
      <c r="K40" s="179" t="s">
        <v>27</v>
      </c>
      <c r="L40" s="178">
        <v>150</v>
      </c>
      <c r="M40" s="179" t="s">
        <v>630</v>
      </c>
      <c r="N40" s="180">
        <f>H40*L40*J40</f>
        <v>416875</v>
      </c>
      <c r="O40" s="181"/>
      <c r="P40" s="181"/>
      <c r="Q40" s="175">
        <f>N40/$O$2</f>
        <v>3.6360345744912821</v>
      </c>
      <c r="R40" s="190">
        <v>3</v>
      </c>
      <c r="S40" s="14" t="s">
        <v>549</v>
      </c>
      <c r="T40" s="14" t="s">
        <v>550</v>
      </c>
    </row>
    <row r="41" spans="1:38" ht="16.5" customHeight="1" x14ac:dyDescent="0.2">
      <c r="A41" s="181"/>
      <c r="B41" s="181"/>
      <c r="C41" s="181"/>
      <c r="D41" s="181"/>
      <c r="E41" s="181"/>
      <c r="F41" s="181"/>
      <c r="G41" s="181"/>
      <c r="H41" s="181"/>
      <c r="I41" s="181"/>
      <c r="J41" s="181"/>
      <c r="K41" s="181"/>
      <c r="L41" s="181"/>
      <c r="M41" s="181"/>
      <c r="N41" s="181"/>
      <c r="O41" s="181"/>
      <c r="P41" s="181"/>
      <c r="Q41" s="181"/>
      <c r="R41" s="181"/>
      <c r="S41" s="14" t="s">
        <v>270</v>
      </c>
      <c r="T41" s="14" t="s">
        <v>271</v>
      </c>
    </row>
    <row r="42" spans="1:38" ht="16.5" customHeight="1" x14ac:dyDescent="0.2">
      <c r="A42" s="181"/>
      <c r="B42" s="181"/>
      <c r="C42" s="181"/>
      <c r="D42" s="181"/>
      <c r="E42" s="181"/>
      <c r="F42" s="181"/>
      <c r="G42" s="181"/>
      <c r="H42" s="181"/>
      <c r="I42" s="181"/>
      <c r="J42" s="181"/>
      <c r="K42" s="181"/>
      <c r="L42" s="181"/>
      <c r="M42" s="181"/>
      <c r="N42" s="181"/>
      <c r="O42" s="181"/>
      <c r="P42" s="181"/>
      <c r="Q42" s="181"/>
      <c r="R42" s="181"/>
      <c r="S42" s="14" t="s">
        <v>552</v>
      </c>
      <c r="T42" s="14" t="s">
        <v>553</v>
      </c>
    </row>
    <row r="43" spans="1:38" ht="16.5" customHeight="1" x14ac:dyDescent="0.2">
      <c r="A43" s="181"/>
      <c r="B43" s="181"/>
      <c r="C43" s="181"/>
      <c r="D43" s="176"/>
      <c r="E43" s="176"/>
      <c r="F43" s="176"/>
      <c r="G43" s="181"/>
      <c r="H43" s="181"/>
      <c r="I43" s="181"/>
      <c r="J43" s="176"/>
      <c r="K43" s="176"/>
      <c r="L43" s="176"/>
      <c r="M43" s="176"/>
      <c r="N43" s="176"/>
      <c r="O43" s="181"/>
      <c r="P43" s="181"/>
      <c r="Q43" s="176"/>
      <c r="R43" s="176"/>
      <c r="S43" s="40" t="s">
        <v>262</v>
      </c>
      <c r="T43" s="14" t="s">
        <v>471</v>
      </c>
    </row>
    <row r="44" spans="1:38" ht="15" customHeight="1" x14ac:dyDescent="0.2">
      <c r="A44" s="181"/>
      <c r="B44" s="181"/>
      <c r="C44" s="176"/>
      <c r="D44" s="41" t="s">
        <v>154</v>
      </c>
      <c r="E44" s="41" t="s">
        <v>155</v>
      </c>
      <c r="F44" s="41" t="s">
        <v>156</v>
      </c>
      <c r="G44" s="176"/>
      <c r="H44" s="176"/>
      <c r="I44" s="176"/>
      <c r="J44" s="51" t="s">
        <v>27</v>
      </c>
      <c r="K44" s="41" t="s">
        <v>27</v>
      </c>
      <c r="L44" s="53">
        <v>1.9</v>
      </c>
      <c r="M44" s="14" t="s">
        <v>634</v>
      </c>
      <c r="N44" s="54">
        <f>L44*H40</f>
        <v>8740</v>
      </c>
      <c r="O44" s="181"/>
      <c r="P44" s="181"/>
      <c r="Q44" s="57">
        <f t="shared" ref="Q44:Q53" si="1">N44/$O$2</f>
        <v>7.6231345561748265E-2</v>
      </c>
      <c r="R44" s="62">
        <v>3</v>
      </c>
      <c r="S44" s="14" t="s">
        <v>280</v>
      </c>
      <c r="T44" s="14" t="s">
        <v>281</v>
      </c>
      <c r="U44" s="63"/>
      <c r="V44" s="63"/>
      <c r="W44" s="63"/>
      <c r="X44" s="63"/>
      <c r="Y44" s="63"/>
      <c r="Z44" s="63"/>
      <c r="AA44" s="63"/>
      <c r="AB44" s="63"/>
      <c r="AC44" s="63"/>
      <c r="AD44" s="63"/>
      <c r="AE44" s="63"/>
      <c r="AF44" s="63"/>
      <c r="AG44" s="63"/>
      <c r="AH44" s="63"/>
      <c r="AI44" s="63"/>
      <c r="AJ44" s="63"/>
      <c r="AK44" s="63"/>
      <c r="AL44" s="63"/>
    </row>
    <row r="45" spans="1:38" ht="15" customHeight="1" x14ac:dyDescent="0.2">
      <c r="A45" s="181"/>
      <c r="B45" s="181"/>
      <c r="C45" s="184" t="s">
        <v>252</v>
      </c>
      <c r="D45" s="50" t="s">
        <v>253</v>
      </c>
      <c r="E45" s="50" t="s">
        <v>140</v>
      </c>
      <c r="F45" s="50" t="s">
        <v>398</v>
      </c>
      <c r="G45" s="182">
        <v>1</v>
      </c>
      <c r="H45" s="182">
        <v>15000</v>
      </c>
      <c r="I45" s="183" t="s">
        <v>166</v>
      </c>
      <c r="J45" s="51">
        <v>0.66666666666666663</v>
      </c>
      <c r="K45" s="50" t="s">
        <v>27</v>
      </c>
      <c r="L45" s="53">
        <v>150</v>
      </c>
      <c r="M45" s="14" t="s">
        <v>635</v>
      </c>
      <c r="N45" s="54">
        <f>L45*J45*H45</f>
        <v>1500000</v>
      </c>
      <c r="O45" s="181"/>
      <c r="P45" s="181"/>
      <c r="Q45" s="57">
        <f t="shared" si="1"/>
        <v>13.083182876730252</v>
      </c>
      <c r="R45" s="71">
        <v>3</v>
      </c>
      <c r="S45" s="40" t="s">
        <v>259</v>
      </c>
      <c r="T45" s="14" t="s">
        <v>260</v>
      </c>
      <c r="U45" s="63"/>
      <c r="V45" s="63"/>
      <c r="W45" s="63"/>
      <c r="X45" s="63"/>
      <c r="Y45" s="63"/>
      <c r="Z45" s="63"/>
      <c r="AA45" s="63"/>
      <c r="AB45" s="63"/>
      <c r="AC45" s="63"/>
      <c r="AD45" s="63"/>
      <c r="AE45" s="63"/>
      <c r="AF45" s="63"/>
      <c r="AG45" s="63"/>
      <c r="AH45" s="63"/>
      <c r="AI45" s="63"/>
      <c r="AJ45" s="63"/>
      <c r="AK45" s="63"/>
      <c r="AL45" s="63"/>
    </row>
    <row r="46" spans="1:38" ht="15" customHeight="1" x14ac:dyDescent="0.2">
      <c r="A46" s="181"/>
      <c r="B46" s="181"/>
      <c r="C46" s="176"/>
      <c r="D46" s="50" t="s">
        <v>154</v>
      </c>
      <c r="E46" s="50" t="s">
        <v>155</v>
      </c>
      <c r="F46" s="50" t="s">
        <v>156</v>
      </c>
      <c r="G46" s="176"/>
      <c r="H46" s="176"/>
      <c r="I46" s="176"/>
      <c r="J46" s="51" t="s">
        <v>27</v>
      </c>
      <c r="K46" s="50" t="s">
        <v>27</v>
      </c>
      <c r="L46" s="53">
        <v>1.9</v>
      </c>
      <c r="M46" s="14" t="s">
        <v>636</v>
      </c>
      <c r="N46" s="54">
        <f>L46*H45</f>
        <v>28500</v>
      </c>
      <c r="O46" s="181"/>
      <c r="P46" s="181"/>
      <c r="Q46" s="57">
        <f t="shared" si="1"/>
        <v>0.24858047465787478</v>
      </c>
      <c r="R46" s="71">
        <v>3</v>
      </c>
      <c r="S46" s="40" t="s">
        <v>262</v>
      </c>
      <c r="T46" s="14" t="s">
        <v>267</v>
      </c>
      <c r="U46" s="63"/>
      <c r="V46" s="63"/>
      <c r="W46" s="63"/>
      <c r="X46" s="63"/>
      <c r="Y46" s="63"/>
      <c r="Z46" s="63"/>
      <c r="AA46" s="63"/>
      <c r="AB46" s="63"/>
      <c r="AC46" s="63"/>
      <c r="AD46" s="63"/>
      <c r="AE46" s="63"/>
      <c r="AF46" s="63"/>
      <c r="AG46" s="63"/>
      <c r="AH46" s="63"/>
      <c r="AI46" s="63"/>
      <c r="AJ46" s="63"/>
      <c r="AK46" s="63"/>
      <c r="AL46" s="63"/>
    </row>
    <row r="47" spans="1:38" ht="14.25" customHeight="1" x14ac:dyDescent="0.2">
      <c r="A47" s="181"/>
      <c r="B47" s="181"/>
      <c r="C47" s="184" t="s">
        <v>637</v>
      </c>
      <c r="D47" s="14" t="s">
        <v>638</v>
      </c>
      <c r="E47" s="14" t="s">
        <v>16</v>
      </c>
      <c r="F47" s="14" t="s">
        <v>16</v>
      </c>
      <c r="G47" s="182">
        <v>1</v>
      </c>
      <c r="H47" s="182">
        <v>40000</v>
      </c>
      <c r="I47" s="183" t="s">
        <v>166</v>
      </c>
      <c r="J47" s="100">
        <v>3.6458333333333336E-2</v>
      </c>
      <c r="K47" s="101" t="s">
        <v>27</v>
      </c>
      <c r="L47" s="14">
        <v>4.0999999999999996</v>
      </c>
      <c r="M47" s="14" t="s">
        <v>639</v>
      </c>
      <c r="N47" s="38">
        <f>L47*H47</f>
        <v>164000</v>
      </c>
      <c r="O47" s="181"/>
      <c r="P47" s="181"/>
      <c r="Q47" s="19">
        <f t="shared" si="1"/>
        <v>1.4304279945225074</v>
      </c>
      <c r="R47" s="48">
        <v>3</v>
      </c>
      <c r="S47" s="40" t="s">
        <v>640</v>
      </c>
      <c r="T47" s="14" t="s">
        <v>641</v>
      </c>
    </row>
    <row r="48" spans="1:38" ht="14.25" customHeight="1" x14ac:dyDescent="0.2">
      <c r="A48" s="181"/>
      <c r="B48" s="181"/>
      <c r="C48" s="181"/>
      <c r="D48" s="41" t="s">
        <v>286</v>
      </c>
      <c r="E48" s="41" t="s">
        <v>287</v>
      </c>
      <c r="F48" s="50" t="s">
        <v>10</v>
      </c>
      <c r="G48" s="181"/>
      <c r="H48" s="181"/>
      <c r="I48" s="181"/>
      <c r="J48" s="91">
        <v>0.16666666666666666</v>
      </c>
      <c r="K48" s="41" t="s">
        <v>27</v>
      </c>
      <c r="L48" s="41">
        <v>2.5</v>
      </c>
      <c r="M48" s="41" t="s">
        <v>642</v>
      </c>
      <c r="N48" s="96">
        <f>H47*J48*L48</f>
        <v>16666.666666666664</v>
      </c>
      <c r="O48" s="181"/>
      <c r="P48" s="181"/>
      <c r="Q48" s="91">
        <f t="shared" si="1"/>
        <v>0.14536869863033611</v>
      </c>
      <c r="R48" s="102">
        <v>2</v>
      </c>
      <c r="S48" s="14" t="s">
        <v>291</v>
      </c>
      <c r="T48" s="14" t="s">
        <v>292</v>
      </c>
    </row>
    <row r="49" spans="1:40" ht="14.25" customHeight="1" x14ac:dyDescent="0.2">
      <c r="A49" s="181"/>
      <c r="B49" s="181"/>
      <c r="C49" s="181"/>
      <c r="D49" s="14" t="s">
        <v>643</v>
      </c>
      <c r="E49" s="14" t="s">
        <v>279</v>
      </c>
      <c r="F49" s="14" t="s">
        <v>644</v>
      </c>
      <c r="G49" s="181"/>
      <c r="H49" s="181"/>
      <c r="I49" s="181"/>
      <c r="J49" s="91" t="s">
        <v>27</v>
      </c>
      <c r="K49" s="41" t="s">
        <v>27</v>
      </c>
      <c r="L49" s="41">
        <v>0.15</v>
      </c>
      <c r="M49" s="50" t="s">
        <v>645</v>
      </c>
      <c r="N49" s="96">
        <f>L49*H47</f>
        <v>6000</v>
      </c>
      <c r="O49" s="181"/>
      <c r="P49" s="181"/>
      <c r="Q49" s="91">
        <f t="shared" si="1"/>
        <v>5.2332731506921006E-2</v>
      </c>
      <c r="R49" s="102">
        <v>2</v>
      </c>
      <c r="S49" s="44" t="s">
        <v>646</v>
      </c>
      <c r="T49" s="44" t="s">
        <v>284</v>
      </c>
    </row>
    <row r="50" spans="1:40" ht="14.25" customHeight="1" x14ac:dyDescent="0.2">
      <c r="A50" s="181"/>
      <c r="B50" s="176"/>
      <c r="C50" s="176"/>
      <c r="D50" s="41" t="s">
        <v>293</v>
      </c>
      <c r="E50" s="41" t="s">
        <v>294</v>
      </c>
      <c r="F50" s="50" t="s">
        <v>12</v>
      </c>
      <c r="G50" s="176"/>
      <c r="H50" s="176"/>
      <c r="I50" s="176"/>
      <c r="J50" s="91">
        <v>4.1666666666666664E-2</v>
      </c>
      <c r="K50" s="41" t="s">
        <v>27</v>
      </c>
      <c r="L50" s="41">
        <v>50</v>
      </c>
      <c r="M50" s="41" t="s">
        <v>647</v>
      </c>
      <c r="N50" s="96">
        <f>L50*J50*H47</f>
        <v>83333.333333333328</v>
      </c>
      <c r="O50" s="181"/>
      <c r="P50" s="181"/>
      <c r="Q50" s="91">
        <f t="shared" si="1"/>
        <v>0.72684349315168062</v>
      </c>
      <c r="R50" s="102">
        <v>3</v>
      </c>
      <c r="S50" s="40" t="s">
        <v>296</v>
      </c>
      <c r="T50" s="14" t="s">
        <v>297</v>
      </c>
    </row>
    <row r="51" spans="1:40" ht="14.25" customHeight="1" x14ac:dyDescent="0.2">
      <c r="A51" s="181"/>
      <c r="B51" s="68" t="s">
        <v>299</v>
      </c>
      <c r="C51" s="69" t="s">
        <v>300</v>
      </c>
      <c r="D51" s="50" t="s">
        <v>301</v>
      </c>
      <c r="E51" s="50" t="s">
        <v>27</v>
      </c>
      <c r="F51" s="50" t="s">
        <v>27</v>
      </c>
      <c r="G51" s="70">
        <v>32</v>
      </c>
      <c r="H51" s="53">
        <v>21</v>
      </c>
      <c r="I51" s="50" t="s">
        <v>166</v>
      </c>
      <c r="J51" s="51" t="s">
        <v>27</v>
      </c>
      <c r="K51" s="50" t="s">
        <v>27</v>
      </c>
      <c r="L51" s="53" t="s">
        <v>27</v>
      </c>
      <c r="M51" s="50" t="s">
        <v>304</v>
      </c>
      <c r="N51" s="54">
        <f t="shared" ref="N51:N53" si="2">H51*G51</f>
        <v>672</v>
      </c>
      <c r="O51" s="181"/>
      <c r="P51" s="181"/>
      <c r="Q51" s="51">
        <f t="shared" si="1"/>
        <v>5.8612659287751523E-3</v>
      </c>
      <c r="R51" s="71">
        <v>4</v>
      </c>
      <c r="S51" s="14" t="s">
        <v>307</v>
      </c>
      <c r="T51" s="14" t="s">
        <v>308</v>
      </c>
    </row>
    <row r="52" spans="1:40" ht="16.5" customHeight="1" x14ac:dyDescent="0.2">
      <c r="A52" s="181"/>
      <c r="B52" s="69" t="s">
        <v>310</v>
      </c>
      <c r="C52" s="69" t="s">
        <v>648</v>
      </c>
      <c r="D52" s="50" t="s">
        <v>649</v>
      </c>
      <c r="E52" s="50" t="s">
        <v>27</v>
      </c>
      <c r="F52" s="50" t="s">
        <v>27</v>
      </c>
      <c r="G52" s="70">
        <v>5</v>
      </c>
      <c r="H52" s="53">
        <v>100</v>
      </c>
      <c r="I52" s="50" t="s">
        <v>166</v>
      </c>
      <c r="J52" s="51" t="s">
        <v>27</v>
      </c>
      <c r="K52" s="50" t="s">
        <v>27</v>
      </c>
      <c r="L52" s="53" t="s">
        <v>27</v>
      </c>
      <c r="M52" s="50" t="s">
        <v>650</v>
      </c>
      <c r="N52" s="54">
        <f t="shared" si="2"/>
        <v>500</v>
      </c>
      <c r="O52" s="181"/>
      <c r="P52" s="181"/>
      <c r="Q52" s="51">
        <f t="shared" si="1"/>
        <v>4.3610609589100832E-3</v>
      </c>
      <c r="R52" s="62">
        <v>2</v>
      </c>
      <c r="S52" s="14" t="s">
        <v>651</v>
      </c>
      <c r="T52" s="14" t="s">
        <v>652</v>
      </c>
    </row>
    <row r="53" spans="1:40" ht="16.5" customHeight="1" x14ac:dyDescent="0.2">
      <c r="A53" s="181"/>
      <c r="B53" s="69" t="s">
        <v>310</v>
      </c>
      <c r="C53" s="69" t="s">
        <v>566</v>
      </c>
      <c r="D53" s="50" t="s">
        <v>653</v>
      </c>
      <c r="E53" s="50" t="s">
        <v>27</v>
      </c>
      <c r="F53" s="50" t="s">
        <v>27</v>
      </c>
      <c r="G53" s="70">
        <v>5</v>
      </c>
      <c r="H53" s="53">
        <v>21</v>
      </c>
      <c r="I53" s="50" t="s">
        <v>166</v>
      </c>
      <c r="J53" s="51" t="s">
        <v>27</v>
      </c>
      <c r="K53" s="50" t="s">
        <v>27</v>
      </c>
      <c r="L53" s="53" t="s">
        <v>27</v>
      </c>
      <c r="M53" s="50" t="s">
        <v>654</v>
      </c>
      <c r="N53" s="54">
        <f t="shared" si="2"/>
        <v>105</v>
      </c>
      <c r="O53" s="181"/>
      <c r="P53" s="181"/>
      <c r="Q53" s="51">
        <f t="shared" si="1"/>
        <v>9.1582280137111752E-4</v>
      </c>
      <c r="R53" s="56">
        <v>3</v>
      </c>
      <c r="S53" s="40" t="s">
        <v>571</v>
      </c>
      <c r="T53" s="14" t="s">
        <v>308</v>
      </c>
    </row>
    <row r="54" spans="1:40" ht="16.5" customHeight="1" x14ac:dyDescent="0.2">
      <c r="A54" s="181"/>
      <c r="B54" s="69" t="s">
        <v>573</v>
      </c>
      <c r="C54" s="69" t="s">
        <v>655</v>
      </c>
      <c r="D54" s="50" t="s">
        <v>656</v>
      </c>
      <c r="E54" s="50" t="s">
        <v>27</v>
      </c>
      <c r="F54" s="50" t="s">
        <v>27</v>
      </c>
      <c r="G54" s="53" t="s">
        <v>27</v>
      </c>
      <c r="H54" s="70">
        <v>17361</v>
      </c>
      <c r="I54" s="70" t="s">
        <v>166</v>
      </c>
      <c r="J54" s="51" t="s">
        <v>27</v>
      </c>
      <c r="K54" s="50" t="s">
        <v>27</v>
      </c>
      <c r="L54" s="53" t="s">
        <v>27</v>
      </c>
      <c r="M54" s="50" t="s">
        <v>27</v>
      </c>
      <c r="N54" s="54">
        <f>H54</f>
        <v>17361</v>
      </c>
      <c r="O54" s="181"/>
      <c r="P54" s="181"/>
      <c r="Q54" s="51">
        <f>N54/O2</f>
        <v>0.15142475861527593</v>
      </c>
      <c r="R54" s="56">
        <v>5</v>
      </c>
      <c r="S54" s="14" t="s">
        <v>657</v>
      </c>
      <c r="T54" s="14" t="s">
        <v>658</v>
      </c>
    </row>
    <row r="55" spans="1:40" ht="14.25" customHeight="1" x14ac:dyDescent="0.2">
      <c r="A55" s="181"/>
      <c r="B55" s="183" t="s">
        <v>417</v>
      </c>
      <c r="C55" s="183" t="s">
        <v>418</v>
      </c>
      <c r="D55" s="179" t="s">
        <v>419</v>
      </c>
      <c r="E55" s="179" t="s">
        <v>155</v>
      </c>
      <c r="F55" s="179" t="s">
        <v>397</v>
      </c>
      <c r="G55" s="182">
        <v>12</v>
      </c>
      <c r="H55" s="178">
        <v>14</v>
      </c>
      <c r="I55" s="179" t="s">
        <v>142</v>
      </c>
      <c r="J55" s="175" t="s">
        <v>27</v>
      </c>
      <c r="K55" s="179" t="s">
        <v>27</v>
      </c>
      <c r="L55" s="178">
        <v>2.75</v>
      </c>
      <c r="M55" s="179" t="s">
        <v>180</v>
      </c>
      <c r="N55" s="180">
        <f>L55*H55*G55</f>
        <v>462</v>
      </c>
      <c r="O55" s="181"/>
      <c r="P55" s="181"/>
      <c r="Q55" s="175">
        <f>N55/$O$2</f>
        <v>4.0296203260329171E-3</v>
      </c>
      <c r="R55" s="190">
        <v>3</v>
      </c>
      <c r="S55" s="40" t="s">
        <v>424</v>
      </c>
      <c r="T55" s="14" t="s">
        <v>426</v>
      </c>
    </row>
    <row r="56" spans="1:40" ht="14.25" customHeight="1" x14ac:dyDescent="0.2">
      <c r="A56" s="181"/>
      <c r="B56" s="181"/>
      <c r="C56" s="181"/>
      <c r="D56" s="176"/>
      <c r="E56" s="176"/>
      <c r="F56" s="176"/>
      <c r="G56" s="181"/>
      <c r="H56" s="176"/>
      <c r="I56" s="176"/>
      <c r="J56" s="176"/>
      <c r="K56" s="176"/>
      <c r="L56" s="176"/>
      <c r="M56" s="176"/>
      <c r="N56" s="176"/>
      <c r="O56" s="181"/>
      <c r="P56" s="181"/>
      <c r="Q56" s="176"/>
      <c r="R56" s="176"/>
      <c r="S56" s="44" t="s">
        <v>651</v>
      </c>
      <c r="T56" s="44" t="s">
        <v>659</v>
      </c>
    </row>
    <row r="57" spans="1:40" ht="14.25" customHeight="1" x14ac:dyDescent="0.2">
      <c r="A57" s="181"/>
      <c r="B57" s="181"/>
      <c r="C57" s="181"/>
      <c r="D57" s="179" t="s">
        <v>433</v>
      </c>
      <c r="E57" s="179" t="s">
        <v>434</v>
      </c>
      <c r="F57" s="179" t="s">
        <v>435</v>
      </c>
      <c r="G57" s="181"/>
      <c r="H57" s="178">
        <v>12</v>
      </c>
      <c r="I57" s="179" t="s">
        <v>166</v>
      </c>
      <c r="J57" s="175">
        <v>2.0833333333333332E-2</v>
      </c>
      <c r="K57" s="193" t="s">
        <v>27</v>
      </c>
      <c r="L57" s="194">
        <v>158</v>
      </c>
      <c r="M57" s="193" t="s">
        <v>660</v>
      </c>
      <c r="N57" s="180">
        <f>L57*J57*H57*G55*2</f>
        <v>948</v>
      </c>
      <c r="O57" s="181"/>
      <c r="P57" s="181"/>
      <c r="Q57" s="175">
        <f>N57/$O$2</f>
        <v>8.2685715780935181E-3</v>
      </c>
      <c r="R57" s="190">
        <v>3</v>
      </c>
      <c r="S57" s="14" t="s">
        <v>439</v>
      </c>
      <c r="T57" s="14" t="s">
        <v>440</v>
      </c>
    </row>
    <row r="58" spans="1:40" ht="14.25" customHeight="1" x14ac:dyDescent="0.2">
      <c r="A58" s="181"/>
      <c r="B58" s="181"/>
      <c r="C58" s="181"/>
      <c r="D58" s="181"/>
      <c r="E58" s="181"/>
      <c r="F58" s="181"/>
      <c r="G58" s="181"/>
      <c r="H58" s="181"/>
      <c r="I58" s="181"/>
      <c r="J58" s="181"/>
      <c r="K58" s="181"/>
      <c r="L58" s="181"/>
      <c r="M58" s="181"/>
      <c r="N58" s="181"/>
      <c r="O58" s="181"/>
      <c r="P58" s="181"/>
      <c r="Q58" s="181"/>
      <c r="R58" s="181"/>
      <c r="S58" s="14" t="s">
        <v>443</v>
      </c>
      <c r="T58" s="14" t="s">
        <v>444</v>
      </c>
    </row>
    <row r="59" spans="1:40" ht="14.25" customHeight="1" x14ac:dyDescent="0.2">
      <c r="A59" s="181"/>
      <c r="B59" s="181"/>
      <c r="C59" s="181"/>
      <c r="D59" s="181"/>
      <c r="E59" s="181"/>
      <c r="F59" s="181"/>
      <c r="G59" s="181"/>
      <c r="H59" s="181"/>
      <c r="I59" s="181"/>
      <c r="J59" s="181"/>
      <c r="K59" s="181"/>
      <c r="L59" s="181"/>
      <c r="M59" s="181"/>
      <c r="N59" s="181"/>
      <c r="O59" s="181"/>
      <c r="P59" s="181"/>
      <c r="Q59" s="181"/>
      <c r="R59" s="181"/>
      <c r="S59" s="14" t="s">
        <v>451</v>
      </c>
      <c r="T59" s="14" t="s">
        <v>452</v>
      </c>
    </row>
    <row r="60" spans="1:40" ht="14.25" customHeight="1" x14ac:dyDescent="0.2">
      <c r="A60" s="181"/>
      <c r="B60" s="181"/>
      <c r="C60" s="181"/>
      <c r="D60" s="181"/>
      <c r="E60" s="176"/>
      <c r="F60" s="176"/>
      <c r="G60" s="181"/>
      <c r="H60" s="181"/>
      <c r="I60" s="181"/>
      <c r="J60" s="176"/>
      <c r="K60" s="176"/>
      <c r="L60" s="176"/>
      <c r="M60" s="176"/>
      <c r="N60" s="176"/>
      <c r="O60" s="181"/>
      <c r="P60" s="181"/>
      <c r="Q60" s="176"/>
      <c r="R60" s="176"/>
      <c r="S60" s="40" t="s">
        <v>447</v>
      </c>
      <c r="T60" s="14" t="s">
        <v>449</v>
      </c>
    </row>
    <row r="61" spans="1:40" ht="14.25" customHeight="1" x14ac:dyDescent="0.2">
      <c r="A61" s="181"/>
      <c r="B61" s="176"/>
      <c r="C61" s="176"/>
      <c r="D61" s="176"/>
      <c r="E61" s="14" t="s">
        <v>287</v>
      </c>
      <c r="F61" s="14" t="s">
        <v>19</v>
      </c>
      <c r="G61" s="176"/>
      <c r="H61" s="176"/>
      <c r="I61" s="176"/>
      <c r="J61" s="51">
        <v>2.5000000000000001E-3</v>
      </c>
      <c r="K61" s="50" t="s">
        <v>27</v>
      </c>
      <c r="L61" s="53">
        <v>0.17</v>
      </c>
      <c r="M61" s="14" t="s">
        <v>661</v>
      </c>
      <c r="N61" s="54">
        <f>L61*H57*G55*2</f>
        <v>48.96</v>
      </c>
      <c r="O61" s="181"/>
      <c r="P61" s="181"/>
      <c r="Q61" s="51">
        <f t="shared" ref="Q61:Q62" si="3">N61/$O$2</f>
        <v>4.270350890964754E-4</v>
      </c>
      <c r="R61" s="62">
        <v>3</v>
      </c>
      <c r="S61" s="40" t="s">
        <v>460</v>
      </c>
      <c r="T61" s="14" t="s">
        <v>461</v>
      </c>
    </row>
    <row r="62" spans="1:40" ht="14.25" customHeight="1" x14ac:dyDescent="0.2">
      <c r="A62" s="181"/>
      <c r="B62" s="183" t="s">
        <v>417</v>
      </c>
      <c r="C62" s="183" t="s">
        <v>662</v>
      </c>
      <c r="D62" s="179" t="s">
        <v>663</v>
      </c>
      <c r="E62" s="179" t="s">
        <v>13</v>
      </c>
      <c r="F62" s="179" t="s">
        <v>13</v>
      </c>
      <c r="G62" s="182">
        <v>102</v>
      </c>
      <c r="H62" s="178">
        <v>12</v>
      </c>
      <c r="I62" s="179" t="s">
        <v>166</v>
      </c>
      <c r="J62" s="175" t="s">
        <v>27</v>
      </c>
      <c r="K62" s="179" t="s">
        <v>27</v>
      </c>
      <c r="L62" s="178">
        <v>1</v>
      </c>
      <c r="M62" s="179" t="s">
        <v>664</v>
      </c>
      <c r="N62" s="180">
        <f>L62*G62*H62</f>
        <v>1224</v>
      </c>
      <c r="O62" s="181"/>
      <c r="P62" s="181"/>
      <c r="Q62" s="175">
        <f t="shared" si="3"/>
        <v>1.0675877227411885E-2</v>
      </c>
      <c r="R62" s="190">
        <v>2</v>
      </c>
      <c r="S62" s="44" t="s">
        <v>665</v>
      </c>
      <c r="T62" s="44" t="s">
        <v>666</v>
      </c>
      <c r="U62" s="85"/>
      <c r="V62" s="85"/>
      <c r="W62" s="85"/>
      <c r="X62" s="85"/>
      <c r="Y62" s="85"/>
      <c r="Z62" s="85"/>
      <c r="AA62" s="85"/>
      <c r="AB62" s="85"/>
      <c r="AC62" s="85"/>
      <c r="AD62" s="85"/>
      <c r="AE62" s="85"/>
      <c r="AF62" s="85"/>
      <c r="AG62" s="85"/>
      <c r="AH62" s="85"/>
      <c r="AI62" s="85"/>
      <c r="AJ62" s="85"/>
      <c r="AK62" s="85"/>
      <c r="AL62" s="85"/>
      <c r="AM62" s="85"/>
      <c r="AN62" s="85"/>
    </row>
    <row r="63" spans="1:40" ht="14.25" customHeight="1" x14ac:dyDescent="0.2">
      <c r="A63" s="181"/>
      <c r="B63" s="181"/>
      <c r="C63" s="181"/>
      <c r="D63" s="181"/>
      <c r="E63" s="181"/>
      <c r="F63" s="181"/>
      <c r="G63" s="181"/>
      <c r="H63" s="181"/>
      <c r="I63" s="181"/>
      <c r="J63" s="181"/>
      <c r="K63" s="181"/>
      <c r="L63" s="181"/>
      <c r="M63" s="181"/>
      <c r="N63" s="181"/>
      <c r="O63" s="181"/>
      <c r="P63" s="181"/>
      <c r="Q63" s="181"/>
      <c r="R63" s="181"/>
      <c r="S63" s="40" t="s">
        <v>667</v>
      </c>
      <c r="T63" s="85" t="s">
        <v>668</v>
      </c>
      <c r="U63" s="85"/>
      <c r="V63" s="85"/>
      <c r="W63" s="85"/>
      <c r="X63" s="85"/>
      <c r="Y63" s="85"/>
      <c r="Z63" s="85"/>
      <c r="AA63" s="85"/>
      <c r="AB63" s="85"/>
      <c r="AC63" s="85"/>
      <c r="AD63" s="85"/>
      <c r="AE63" s="85"/>
      <c r="AF63" s="85"/>
      <c r="AG63" s="85"/>
      <c r="AH63" s="85"/>
      <c r="AI63" s="85"/>
      <c r="AJ63" s="85"/>
      <c r="AK63" s="85"/>
      <c r="AL63" s="85"/>
      <c r="AM63" s="85"/>
      <c r="AN63" s="85"/>
    </row>
    <row r="64" spans="1:40" ht="14.25" customHeight="1" x14ac:dyDescent="0.2">
      <c r="A64" s="181"/>
      <c r="B64" s="181"/>
      <c r="C64" s="181"/>
      <c r="D64" s="181"/>
      <c r="E64" s="181"/>
      <c r="F64" s="181"/>
      <c r="G64" s="181"/>
      <c r="H64" s="181"/>
      <c r="I64" s="181"/>
      <c r="J64" s="181"/>
      <c r="K64" s="181"/>
      <c r="L64" s="181"/>
      <c r="M64" s="181"/>
      <c r="N64" s="181"/>
      <c r="O64" s="181"/>
      <c r="P64" s="181"/>
      <c r="Q64" s="181"/>
      <c r="R64" s="181"/>
      <c r="S64" s="14" t="s">
        <v>669</v>
      </c>
      <c r="T64" s="85" t="s">
        <v>670</v>
      </c>
      <c r="U64" s="85"/>
      <c r="V64" s="85"/>
      <c r="W64" s="85"/>
      <c r="X64" s="85"/>
      <c r="Y64" s="85"/>
      <c r="Z64" s="85"/>
      <c r="AA64" s="85"/>
      <c r="AB64" s="85"/>
      <c r="AC64" s="85"/>
      <c r="AD64" s="85"/>
      <c r="AE64" s="85"/>
      <c r="AF64" s="85"/>
      <c r="AG64" s="85"/>
      <c r="AH64" s="85"/>
      <c r="AI64" s="85"/>
      <c r="AJ64" s="85"/>
      <c r="AK64" s="85"/>
      <c r="AL64" s="85"/>
      <c r="AM64" s="85"/>
      <c r="AN64" s="85"/>
    </row>
    <row r="65" spans="1:40" ht="14.25" customHeight="1" x14ac:dyDescent="0.2">
      <c r="A65" s="181"/>
      <c r="B65" s="181"/>
      <c r="C65" s="181"/>
      <c r="D65" s="176"/>
      <c r="E65" s="176"/>
      <c r="F65" s="176"/>
      <c r="G65" s="181"/>
      <c r="H65" s="176"/>
      <c r="I65" s="176"/>
      <c r="J65" s="176"/>
      <c r="K65" s="176"/>
      <c r="L65" s="176"/>
      <c r="M65" s="176"/>
      <c r="N65" s="176"/>
      <c r="O65" s="181"/>
      <c r="P65" s="181"/>
      <c r="Q65" s="176"/>
      <c r="R65" s="176"/>
      <c r="S65" s="14" t="s">
        <v>671</v>
      </c>
      <c r="T65" s="85" t="s">
        <v>672</v>
      </c>
      <c r="U65" s="85"/>
      <c r="V65" s="85"/>
      <c r="W65" s="85"/>
      <c r="X65" s="85"/>
      <c r="Y65" s="85"/>
      <c r="Z65" s="85"/>
      <c r="AA65" s="85"/>
      <c r="AB65" s="85"/>
      <c r="AC65" s="85"/>
      <c r="AD65" s="85"/>
      <c r="AE65" s="85"/>
      <c r="AF65" s="85"/>
      <c r="AG65" s="85"/>
      <c r="AH65" s="85"/>
      <c r="AI65" s="85"/>
      <c r="AJ65" s="85"/>
      <c r="AK65" s="85"/>
      <c r="AL65" s="85"/>
      <c r="AM65" s="85"/>
      <c r="AN65" s="85"/>
    </row>
    <row r="66" spans="1:40" ht="14.25" customHeight="1" x14ac:dyDescent="0.2">
      <c r="A66" s="181"/>
      <c r="B66" s="181"/>
      <c r="C66" s="181"/>
      <c r="D66" s="179" t="s">
        <v>433</v>
      </c>
      <c r="E66" s="179" t="s">
        <v>434</v>
      </c>
      <c r="F66" s="179" t="s">
        <v>435</v>
      </c>
      <c r="G66" s="181"/>
      <c r="H66" s="178">
        <v>12</v>
      </c>
      <c r="I66" s="179" t="s">
        <v>166</v>
      </c>
      <c r="J66" s="175">
        <v>2.0833333333333332E-2</v>
      </c>
      <c r="K66" s="193" t="s">
        <v>27</v>
      </c>
      <c r="L66" s="194">
        <v>158</v>
      </c>
      <c r="M66" s="193" t="s">
        <v>673</v>
      </c>
      <c r="N66" s="180">
        <f>L66*J66*H66*G62*2</f>
        <v>8058</v>
      </c>
      <c r="O66" s="181"/>
      <c r="P66" s="181"/>
      <c r="Q66" s="175">
        <f>N66/$O$2</f>
        <v>7.0282858413794905E-2</v>
      </c>
      <c r="R66" s="190">
        <v>2</v>
      </c>
      <c r="S66" s="14" t="s">
        <v>443</v>
      </c>
      <c r="T66" s="85" t="s">
        <v>444</v>
      </c>
      <c r="U66" s="85"/>
      <c r="V66" s="85"/>
      <c r="W66" s="85"/>
      <c r="X66" s="85"/>
      <c r="Y66" s="85"/>
      <c r="Z66" s="85"/>
      <c r="AA66" s="85"/>
      <c r="AB66" s="85"/>
      <c r="AC66" s="85"/>
      <c r="AD66" s="85"/>
      <c r="AE66" s="85"/>
      <c r="AF66" s="85"/>
      <c r="AG66" s="85"/>
      <c r="AH66" s="85"/>
      <c r="AI66" s="85"/>
      <c r="AJ66" s="85"/>
      <c r="AK66" s="85"/>
      <c r="AL66" s="85"/>
      <c r="AM66" s="85"/>
      <c r="AN66" s="85"/>
    </row>
    <row r="67" spans="1:40" ht="14.25" customHeight="1" x14ac:dyDescent="0.2">
      <c r="A67" s="181"/>
      <c r="B67" s="181"/>
      <c r="C67" s="181"/>
      <c r="D67" s="181"/>
      <c r="E67" s="181"/>
      <c r="F67" s="181"/>
      <c r="G67" s="181"/>
      <c r="H67" s="181"/>
      <c r="I67" s="181"/>
      <c r="J67" s="181"/>
      <c r="K67" s="181"/>
      <c r="L67" s="181"/>
      <c r="M67" s="181"/>
      <c r="N67" s="181"/>
      <c r="O67" s="181"/>
      <c r="P67" s="181"/>
      <c r="Q67" s="181"/>
      <c r="R67" s="181"/>
      <c r="S67" s="14" t="s">
        <v>451</v>
      </c>
      <c r="T67" s="85" t="s">
        <v>452</v>
      </c>
      <c r="U67" s="85"/>
      <c r="V67" s="85"/>
      <c r="W67" s="85"/>
      <c r="X67" s="85"/>
      <c r="Y67" s="85"/>
      <c r="Z67" s="85"/>
      <c r="AA67" s="85"/>
      <c r="AB67" s="85"/>
      <c r="AC67" s="85"/>
      <c r="AD67" s="85"/>
      <c r="AE67" s="85"/>
      <c r="AF67" s="85"/>
      <c r="AG67" s="85"/>
      <c r="AH67" s="85"/>
      <c r="AI67" s="85"/>
      <c r="AJ67" s="85"/>
      <c r="AK67" s="85"/>
      <c r="AL67" s="85"/>
      <c r="AM67" s="85"/>
      <c r="AN67" s="85"/>
    </row>
    <row r="68" spans="1:40" ht="14.25" customHeight="1" x14ac:dyDescent="0.2">
      <c r="A68" s="181"/>
      <c r="B68" s="181"/>
      <c r="C68" s="181"/>
      <c r="D68" s="176"/>
      <c r="E68" s="176"/>
      <c r="F68" s="176"/>
      <c r="G68" s="181"/>
      <c r="H68" s="181"/>
      <c r="I68" s="181"/>
      <c r="J68" s="176"/>
      <c r="K68" s="176"/>
      <c r="L68" s="176"/>
      <c r="M68" s="176"/>
      <c r="N68" s="176"/>
      <c r="O68" s="181"/>
      <c r="P68" s="181"/>
      <c r="Q68" s="176"/>
      <c r="R68" s="176"/>
      <c r="S68" s="40" t="s">
        <v>447</v>
      </c>
      <c r="T68" s="85" t="s">
        <v>449</v>
      </c>
      <c r="U68" s="85"/>
      <c r="V68" s="85"/>
      <c r="W68" s="85"/>
      <c r="X68" s="85"/>
      <c r="Y68" s="85"/>
      <c r="Z68" s="85"/>
      <c r="AA68" s="85"/>
      <c r="AB68" s="85"/>
      <c r="AC68" s="85"/>
      <c r="AD68" s="85"/>
      <c r="AE68" s="85"/>
      <c r="AF68" s="85"/>
      <c r="AG68" s="85"/>
      <c r="AH68" s="85"/>
      <c r="AI68" s="85"/>
      <c r="AJ68" s="85"/>
      <c r="AK68" s="85"/>
      <c r="AL68" s="85"/>
      <c r="AM68" s="85"/>
      <c r="AN68" s="85"/>
    </row>
    <row r="69" spans="1:40" ht="17.25" customHeight="1" x14ac:dyDescent="0.2">
      <c r="A69" s="181"/>
      <c r="B69" s="181"/>
      <c r="C69" s="181"/>
      <c r="D69" s="179" t="s">
        <v>677</v>
      </c>
      <c r="E69" s="179" t="s">
        <v>287</v>
      </c>
      <c r="F69" s="179" t="s">
        <v>19</v>
      </c>
      <c r="G69" s="181"/>
      <c r="H69" s="181"/>
      <c r="I69" s="181"/>
      <c r="J69" s="175">
        <v>2.5000000000000001E-3</v>
      </c>
      <c r="K69" s="179" t="s">
        <v>27</v>
      </c>
      <c r="L69" s="178">
        <v>0.17</v>
      </c>
      <c r="M69" s="179" t="s">
        <v>678</v>
      </c>
      <c r="N69" s="195">
        <f>L69*H66*G62*2</f>
        <v>416.16</v>
      </c>
      <c r="O69" s="181"/>
      <c r="P69" s="181"/>
      <c r="Q69" s="175">
        <f>N69/$O$2</f>
        <v>3.6297982573200412E-3</v>
      </c>
      <c r="R69" s="190">
        <v>2</v>
      </c>
      <c r="S69" s="14" t="s">
        <v>451</v>
      </c>
      <c r="T69" s="85" t="s">
        <v>452</v>
      </c>
      <c r="U69" s="85"/>
      <c r="V69" s="85"/>
      <c r="W69" s="85"/>
      <c r="X69" s="85"/>
      <c r="Y69" s="85"/>
      <c r="Z69" s="85"/>
      <c r="AA69" s="85"/>
      <c r="AB69" s="85"/>
      <c r="AC69" s="85"/>
      <c r="AD69" s="85"/>
      <c r="AE69" s="85"/>
      <c r="AF69" s="85"/>
      <c r="AG69" s="85"/>
      <c r="AH69" s="85"/>
      <c r="AI69" s="85"/>
      <c r="AJ69" s="85"/>
      <c r="AK69" s="85"/>
      <c r="AL69" s="85"/>
      <c r="AM69" s="85"/>
      <c r="AN69" s="85"/>
    </row>
    <row r="70" spans="1:40" ht="14.25" customHeight="1" x14ac:dyDescent="0.2">
      <c r="A70" s="181"/>
      <c r="B70" s="176"/>
      <c r="C70" s="176"/>
      <c r="D70" s="176"/>
      <c r="E70" s="176"/>
      <c r="F70" s="176"/>
      <c r="G70" s="176"/>
      <c r="H70" s="176"/>
      <c r="I70" s="176"/>
      <c r="J70" s="176"/>
      <c r="K70" s="176"/>
      <c r="L70" s="176"/>
      <c r="M70" s="176"/>
      <c r="N70" s="176"/>
      <c r="O70" s="181"/>
      <c r="P70" s="181"/>
      <c r="Q70" s="176"/>
      <c r="R70" s="176"/>
      <c r="S70" s="40" t="s">
        <v>460</v>
      </c>
      <c r="T70" s="85" t="s">
        <v>461</v>
      </c>
      <c r="U70" s="85"/>
      <c r="V70" s="85"/>
      <c r="W70" s="85"/>
      <c r="X70" s="85"/>
      <c r="Y70" s="85"/>
      <c r="Z70" s="85"/>
      <c r="AA70" s="85"/>
      <c r="AB70" s="85"/>
      <c r="AC70" s="85"/>
      <c r="AD70" s="85"/>
      <c r="AE70" s="85"/>
      <c r="AF70" s="85"/>
      <c r="AG70" s="85"/>
      <c r="AH70" s="85"/>
      <c r="AI70" s="85"/>
      <c r="AJ70" s="85"/>
      <c r="AK70" s="85"/>
      <c r="AL70" s="85"/>
      <c r="AM70" s="85"/>
      <c r="AN70" s="85"/>
    </row>
    <row r="71" spans="1:40" ht="14.25" customHeight="1" x14ac:dyDescent="0.2">
      <c r="A71" s="181"/>
      <c r="B71" s="183" t="s">
        <v>321</v>
      </c>
      <c r="C71" s="184" t="s">
        <v>597</v>
      </c>
      <c r="D71" s="179" t="s">
        <v>598</v>
      </c>
      <c r="E71" s="179" t="s">
        <v>287</v>
      </c>
      <c r="F71" s="179" t="s">
        <v>17</v>
      </c>
      <c r="G71" s="182">
        <v>1</v>
      </c>
      <c r="H71" s="182">
        <v>103000</v>
      </c>
      <c r="I71" s="183" t="s">
        <v>166</v>
      </c>
      <c r="J71" s="175">
        <v>5.8333333333333336E-3</v>
      </c>
      <c r="K71" s="179" t="s">
        <v>27</v>
      </c>
      <c r="L71" s="178">
        <v>0.35</v>
      </c>
      <c r="M71" s="179" t="s">
        <v>683</v>
      </c>
      <c r="N71" s="180">
        <f>H71*L71</f>
        <v>36050</v>
      </c>
      <c r="O71" s="181"/>
      <c r="P71" s="181"/>
      <c r="Q71" s="175">
        <f>N71/$O$2</f>
        <v>0.31443249513741706</v>
      </c>
      <c r="R71" s="192">
        <v>3</v>
      </c>
      <c r="S71" s="40" t="s">
        <v>530</v>
      </c>
      <c r="T71" s="14" t="s">
        <v>603</v>
      </c>
    </row>
    <row r="72" spans="1:40" ht="14.25" customHeight="1" x14ac:dyDescent="0.2">
      <c r="A72" s="181"/>
      <c r="B72" s="181"/>
      <c r="C72" s="181"/>
      <c r="D72" s="181"/>
      <c r="E72" s="181"/>
      <c r="F72" s="181"/>
      <c r="G72" s="181"/>
      <c r="H72" s="181"/>
      <c r="I72" s="181"/>
      <c r="J72" s="181"/>
      <c r="K72" s="181"/>
      <c r="L72" s="181"/>
      <c r="M72" s="181"/>
      <c r="N72" s="181"/>
      <c r="O72" s="181"/>
      <c r="P72" s="181"/>
      <c r="Q72" s="181"/>
      <c r="R72" s="181"/>
      <c r="S72" s="14" t="s">
        <v>604</v>
      </c>
      <c r="T72" s="14" t="s">
        <v>605</v>
      </c>
    </row>
    <row r="73" spans="1:40" ht="14.25" customHeight="1" x14ac:dyDescent="0.2">
      <c r="A73" s="181"/>
      <c r="B73" s="181"/>
      <c r="C73" s="181"/>
      <c r="D73" s="176"/>
      <c r="E73" s="176"/>
      <c r="F73" s="176"/>
      <c r="G73" s="176"/>
      <c r="H73" s="181"/>
      <c r="I73" s="181"/>
      <c r="J73" s="176"/>
      <c r="K73" s="176"/>
      <c r="L73" s="176"/>
      <c r="M73" s="176"/>
      <c r="N73" s="176"/>
      <c r="O73" s="181"/>
      <c r="P73" s="181"/>
      <c r="Q73" s="176"/>
      <c r="R73" s="176"/>
      <c r="S73" s="14" t="s">
        <v>606</v>
      </c>
      <c r="T73" s="14" t="s">
        <v>607</v>
      </c>
    </row>
    <row r="74" spans="1:40" ht="14.25" customHeight="1" x14ac:dyDescent="0.2">
      <c r="A74" s="181"/>
      <c r="B74" s="181"/>
      <c r="C74" s="181"/>
      <c r="D74" s="179" t="s">
        <v>498</v>
      </c>
      <c r="E74" s="179" t="s">
        <v>294</v>
      </c>
      <c r="F74" s="196" t="s">
        <v>12</v>
      </c>
      <c r="G74" s="182">
        <v>1</v>
      </c>
      <c r="H74" s="181"/>
      <c r="I74" s="181"/>
      <c r="J74" s="175">
        <v>4.1666666666666664E-2</v>
      </c>
      <c r="K74" s="179" t="s">
        <v>27</v>
      </c>
      <c r="L74" s="178">
        <v>2</v>
      </c>
      <c r="M74" s="179" t="s">
        <v>694</v>
      </c>
      <c r="N74" s="180">
        <f>H71*L74</f>
        <v>206000</v>
      </c>
      <c r="O74" s="181"/>
      <c r="P74" s="181"/>
      <c r="Q74" s="175">
        <f>N74/$O$2</f>
        <v>1.7967571150709545</v>
      </c>
      <c r="R74" s="192">
        <v>3</v>
      </c>
      <c r="S74" s="14" t="s">
        <v>503</v>
      </c>
      <c r="T74" s="14" t="s">
        <v>504</v>
      </c>
    </row>
    <row r="75" spans="1:40" ht="15" customHeight="1" x14ac:dyDescent="0.2">
      <c r="A75" s="181"/>
      <c r="B75" s="181"/>
      <c r="C75" s="181"/>
      <c r="D75" s="181"/>
      <c r="E75" s="181"/>
      <c r="F75" s="181"/>
      <c r="G75" s="181"/>
      <c r="H75" s="181"/>
      <c r="I75" s="181"/>
      <c r="J75" s="181"/>
      <c r="K75" s="181"/>
      <c r="L75" s="181"/>
      <c r="M75" s="181"/>
      <c r="N75" s="181"/>
      <c r="O75" s="181"/>
      <c r="P75" s="181"/>
      <c r="Q75" s="181"/>
      <c r="R75" s="181"/>
      <c r="S75" s="14" t="s">
        <v>508</v>
      </c>
      <c r="T75" s="14" t="s">
        <v>509</v>
      </c>
    </row>
    <row r="76" spans="1:40" ht="14.25" customHeight="1" x14ac:dyDescent="0.2">
      <c r="A76" s="181"/>
      <c r="B76" s="181"/>
      <c r="C76" s="181"/>
      <c r="D76" s="176"/>
      <c r="E76" s="176"/>
      <c r="F76" s="176"/>
      <c r="G76" s="176"/>
      <c r="H76" s="181"/>
      <c r="I76" s="181"/>
      <c r="J76" s="176"/>
      <c r="K76" s="176"/>
      <c r="L76" s="176"/>
      <c r="M76" s="176"/>
      <c r="N76" s="176"/>
      <c r="O76" s="181"/>
      <c r="P76" s="181"/>
      <c r="Q76" s="176"/>
      <c r="R76" s="176"/>
      <c r="S76" s="40" t="s">
        <v>510</v>
      </c>
      <c r="T76" s="14" t="s">
        <v>614</v>
      </c>
    </row>
    <row r="77" spans="1:40" ht="17.25" customHeight="1" x14ac:dyDescent="0.2">
      <c r="A77" s="181"/>
      <c r="B77" s="181"/>
      <c r="C77" s="181"/>
      <c r="D77" s="179" t="s">
        <v>286</v>
      </c>
      <c r="E77" s="179" t="s">
        <v>287</v>
      </c>
      <c r="F77" s="179" t="s">
        <v>10</v>
      </c>
      <c r="G77" s="182">
        <v>2</v>
      </c>
      <c r="H77" s="181"/>
      <c r="I77" s="181"/>
      <c r="J77" s="175">
        <v>0.125</v>
      </c>
      <c r="K77" s="179" t="s">
        <v>27</v>
      </c>
      <c r="L77" s="178">
        <v>2.5</v>
      </c>
      <c r="M77" s="179" t="s">
        <v>707</v>
      </c>
      <c r="N77" s="180">
        <f>L77*H71*J77*G77</f>
        <v>64375</v>
      </c>
      <c r="O77" s="181"/>
      <c r="P77" s="181"/>
      <c r="Q77" s="175">
        <f>N77/$O$2</f>
        <v>0.5614865984596733</v>
      </c>
      <c r="R77" s="191">
        <v>4</v>
      </c>
      <c r="S77" s="14" t="s">
        <v>343</v>
      </c>
      <c r="T77" s="14" t="s">
        <v>344</v>
      </c>
    </row>
    <row r="78" spans="1:40" ht="14.25" customHeight="1" x14ac:dyDescent="0.2">
      <c r="A78" s="181"/>
      <c r="B78" s="181"/>
      <c r="C78" s="181"/>
      <c r="D78" s="181"/>
      <c r="E78" s="181"/>
      <c r="F78" s="181"/>
      <c r="G78" s="181"/>
      <c r="H78" s="181"/>
      <c r="I78" s="181"/>
      <c r="J78" s="181"/>
      <c r="K78" s="181"/>
      <c r="L78" s="181"/>
      <c r="M78" s="181"/>
      <c r="N78" s="181"/>
      <c r="O78" s="181"/>
      <c r="P78" s="181"/>
      <c r="Q78" s="181"/>
      <c r="R78" s="181"/>
      <c r="S78" s="14" t="s">
        <v>494</v>
      </c>
      <c r="T78" s="14" t="s">
        <v>495</v>
      </c>
    </row>
    <row r="79" spans="1:40" ht="14.25" customHeight="1" x14ac:dyDescent="0.2">
      <c r="A79" s="181"/>
      <c r="B79" s="181"/>
      <c r="C79" s="181"/>
      <c r="D79" s="181"/>
      <c r="E79" s="181"/>
      <c r="F79" s="181"/>
      <c r="G79" s="181"/>
      <c r="H79" s="181"/>
      <c r="I79" s="181"/>
      <c r="J79" s="181"/>
      <c r="K79" s="181"/>
      <c r="L79" s="181"/>
      <c r="M79" s="181"/>
      <c r="N79" s="181"/>
      <c r="O79" s="181"/>
      <c r="P79" s="181"/>
      <c r="Q79" s="181"/>
      <c r="R79" s="181"/>
      <c r="S79" s="14" t="s">
        <v>347</v>
      </c>
      <c r="T79" s="14" t="s">
        <v>348</v>
      </c>
    </row>
    <row r="80" spans="1:40" ht="14.25" customHeight="1" x14ac:dyDescent="0.2">
      <c r="A80" s="181"/>
      <c r="B80" s="176"/>
      <c r="C80" s="176"/>
      <c r="D80" s="176"/>
      <c r="E80" s="176"/>
      <c r="F80" s="176"/>
      <c r="G80" s="176"/>
      <c r="H80" s="176"/>
      <c r="I80" s="176"/>
      <c r="J80" s="176"/>
      <c r="K80" s="176"/>
      <c r="L80" s="176"/>
      <c r="M80" s="176"/>
      <c r="N80" s="176"/>
      <c r="O80" s="181"/>
      <c r="P80" s="181"/>
      <c r="Q80" s="176"/>
      <c r="R80" s="176"/>
      <c r="S80" s="14" t="s">
        <v>349</v>
      </c>
      <c r="T80" s="14" t="s">
        <v>350</v>
      </c>
    </row>
    <row r="81" spans="1:20" ht="14.25" customHeight="1" x14ac:dyDescent="0.2">
      <c r="A81" s="181"/>
      <c r="B81" s="183" t="s">
        <v>321</v>
      </c>
      <c r="C81" s="184" t="s">
        <v>715</v>
      </c>
      <c r="D81" s="179" t="s">
        <v>323</v>
      </c>
      <c r="E81" s="179" t="s">
        <v>13</v>
      </c>
      <c r="F81" s="179" t="s">
        <v>13</v>
      </c>
      <c r="G81" s="182">
        <v>1</v>
      </c>
      <c r="H81" s="187">
        <v>3000</v>
      </c>
      <c r="I81" s="187" t="s">
        <v>166</v>
      </c>
      <c r="J81" s="175">
        <v>4.1666666666666666E-3</v>
      </c>
      <c r="K81" s="179" t="s">
        <v>27</v>
      </c>
      <c r="L81" s="178">
        <v>0.56899999999999995</v>
      </c>
      <c r="M81" s="179" t="s">
        <v>719</v>
      </c>
      <c r="N81" s="180">
        <f>H81*L81</f>
        <v>1706.9999999999998</v>
      </c>
      <c r="O81" s="181"/>
      <c r="P81" s="181"/>
      <c r="Q81" s="175">
        <f>N81/$O$2</f>
        <v>1.4888662113719024E-2</v>
      </c>
      <c r="R81" s="192">
        <v>3</v>
      </c>
      <c r="S81" s="14" t="s">
        <v>325</v>
      </c>
      <c r="T81" s="14" t="s">
        <v>326</v>
      </c>
    </row>
    <row r="82" spans="1:20" ht="14.25" customHeight="1" x14ac:dyDescent="0.2">
      <c r="A82" s="181"/>
      <c r="B82" s="181"/>
      <c r="C82" s="181"/>
      <c r="D82" s="181"/>
      <c r="E82" s="181"/>
      <c r="F82" s="181"/>
      <c r="G82" s="181"/>
      <c r="H82" s="181"/>
      <c r="I82" s="181"/>
      <c r="J82" s="181"/>
      <c r="K82" s="181"/>
      <c r="L82" s="181"/>
      <c r="M82" s="181"/>
      <c r="N82" s="181"/>
      <c r="O82" s="181"/>
      <c r="P82" s="181"/>
      <c r="Q82" s="181"/>
      <c r="R82" s="181"/>
      <c r="S82" s="14" t="s">
        <v>327</v>
      </c>
      <c r="T82" s="14" t="s">
        <v>328</v>
      </c>
    </row>
    <row r="83" spans="1:20" ht="14.25" customHeight="1" x14ac:dyDescent="0.2">
      <c r="A83" s="181"/>
      <c r="B83" s="181"/>
      <c r="C83" s="181"/>
      <c r="D83" s="176"/>
      <c r="E83" s="176"/>
      <c r="F83" s="176"/>
      <c r="G83" s="176"/>
      <c r="H83" s="181"/>
      <c r="I83" s="181"/>
      <c r="J83" s="176"/>
      <c r="K83" s="176"/>
      <c r="L83" s="176"/>
      <c r="M83" s="176"/>
      <c r="N83" s="176"/>
      <c r="O83" s="181"/>
      <c r="P83" s="181"/>
      <c r="Q83" s="176"/>
      <c r="R83" s="176"/>
      <c r="S83" s="14" t="s">
        <v>723</v>
      </c>
      <c r="T83" s="14" t="s">
        <v>724</v>
      </c>
    </row>
    <row r="84" spans="1:20" ht="14.25" customHeight="1" x14ac:dyDescent="0.2">
      <c r="A84" s="181"/>
      <c r="B84" s="181"/>
      <c r="C84" s="181"/>
      <c r="D84" s="179" t="s">
        <v>15</v>
      </c>
      <c r="E84" s="179" t="s">
        <v>279</v>
      </c>
      <c r="F84" s="179" t="s">
        <v>15</v>
      </c>
      <c r="G84" s="178">
        <v>1</v>
      </c>
      <c r="H84" s="181"/>
      <c r="I84" s="181"/>
      <c r="J84" s="175" t="s">
        <v>27</v>
      </c>
      <c r="K84" s="179" t="s">
        <v>27</v>
      </c>
      <c r="L84" s="178">
        <v>0.215</v>
      </c>
      <c r="M84" s="179" t="s">
        <v>725</v>
      </c>
      <c r="N84" s="180">
        <f>H81*L84</f>
        <v>645</v>
      </c>
      <c r="O84" s="181"/>
      <c r="P84" s="181"/>
      <c r="Q84" s="175">
        <f>N84/$O$2</f>
        <v>5.6257686369940076E-3</v>
      </c>
      <c r="R84" s="191">
        <v>2</v>
      </c>
      <c r="S84" s="14" t="s">
        <v>530</v>
      </c>
      <c r="T84" s="14" t="s">
        <v>336</v>
      </c>
    </row>
    <row r="85" spans="1:20" ht="14.25" customHeight="1" x14ac:dyDescent="0.2">
      <c r="A85" s="181"/>
      <c r="B85" s="181"/>
      <c r="C85" s="181"/>
      <c r="D85" s="176"/>
      <c r="E85" s="176"/>
      <c r="F85" s="176"/>
      <c r="G85" s="176"/>
      <c r="H85" s="181"/>
      <c r="I85" s="181"/>
      <c r="J85" s="176"/>
      <c r="K85" s="176"/>
      <c r="L85" s="176"/>
      <c r="M85" s="176"/>
      <c r="N85" s="176"/>
      <c r="O85" s="181"/>
      <c r="P85" s="181"/>
      <c r="Q85" s="176"/>
      <c r="R85" s="176"/>
      <c r="S85" s="14" t="s">
        <v>728</v>
      </c>
      <c r="T85" s="14" t="s">
        <v>729</v>
      </c>
    </row>
    <row r="86" spans="1:20" ht="15" customHeight="1" x14ac:dyDescent="0.2">
      <c r="A86" s="181"/>
      <c r="B86" s="181"/>
      <c r="C86" s="181"/>
      <c r="D86" s="179" t="s">
        <v>5</v>
      </c>
      <c r="E86" s="179" t="s">
        <v>92</v>
      </c>
      <c r="F86" s="179" t="s">
        <v>5</v>
      </c>
      <c r="G86" s="178">
        <v>1</v>
      </c>
      <c r="H86" s="181"/>
      <c r="I86" s="181"/>
      <c r="J86" s="175">
        <v>5.2083333333333336E-2</v>
      </c>
      <c r="K86" s="179" t="s">
        <v>27</v>
      </c>
      <c r="L86" s="178">
        <v>1.56</v>
      </c>
      <c r="M86" s="179" t="s">
        <v>733</v>
      </c>
      <c r="N86" s="180">
        <f>L86*H81</f>
        <v>4680</v>
      </c>
      <c r="O86" s="181"/>
      <c r="P86" s="181"/>
      <c r="Q86" s="175">
        <f>N86/$O$2</f>
        <v>4.0819530575398381E-2</v>
      </c>
      <c r="R86" s="191">
        <v>2</v>
      </c>
      <c r="S86" s="14" t="s">
        <v>736</v>
      </c>
      <c r="T86" s="14" t="s">
        <v>339</v>
      </c>
    </row>
    <row r="87" spans="1:20" ht="14.25" customHeight="1" x14ac:dyDescent="0.2">
      <c r="A87" s="181"/>
      <c r="B87" s="181"/>
      <c r="C87" s="181"/>
      <c r="D87" s="176"/>
      <c r="E87" s="176"/>
      <c r="F87" s="176"/>
      <c r="G87" s="176"/>
      <c r="H87" s="181"/>
      <c r="I87" s="181"/>
      <c r="J87" s="176"/>
      <c r="K87" s="176"/>
      <c r="L87" s="176"/>
      <c r="M87" s="176"/>
      <c r="N87" s="176"/>
      <c r="O87" s="181"/>
      <c r="P87" s="181"/>
      <c r="Q87" s="176"/>
      <c r="R87" s="176"/>
      <c r="S87" s="14" t="s">
        <v>738</v>
      </c>
      <c r="T87" s="14" t="s">
        <v>341</v>
      </c>
    </row>
    <row r="88" spans="1:20" ht="17.25" customHeight="1" x14ac:dyDescent="0.2">
      <c r="A88" s="181"/>
      <c r="B88" s="181"/>
      <c r="C88" s="181"/>
      <c r="D88" s="179" t="s">
        <v>286</v>
      </c>
      <c r="E88" s="179" t="s">
        <v>287</v>
      </c>
      <c r="F88" s="179" t="s">
        <v>10</v>
      </c>
      <c r="G88" s="182">
        <v>2</v>
      </c>
      <c r="H88" s="181"/>
      <c r="I88" s="181"/>
      <c r="J88" s="175">
        <v>0.125</v>
      </c>
      <c r="K88" s="179" t="s">
        <v>27</v>
      </c>
      <c r="L88" s="178">
        <v>2.5</v>
      </c>
      <c r="M88" s="179" t="s">
        <v>740</v>
      </c>
      <c r="N88" s="180">
        <f>L88*H81*J88*G88</f>
        <v>1875</v>
      </c>
      <c r="O88" s="181"/>
      <c r="P88" s="181"/>
      <c r="Q88" s="175">
        <f>N88/$O$2</f>
        <v>1.6353978595912814E-2</v>
      </c>
      <c r="R88" s="191">
        <v>3</v>
      </c>
      <c r="S88" s="14" t="s">
        <v>343</v>
      </c>
      <c r="T88" s="14" t="s">
        <v>344</v>
      </c>
    </row>
    <row r="89" spans="1:20" ht="14.25" customHeight="1" x14ac:dyDescent="0.2">
      <c r="A89" s="181"/>
      <c r="B89" s="181"/>
      <c r="C89" s="181"/>
      <c r="D89" s="181"/>
      <c r="E89" s="181"/>
      <c r="F89" s="181"/>
      <c r="G89" s="181"/>
      <c r="H89" s="181"/>
      <c r="I89" s="181"/>
      <c r="J89" s="181"/>
      <c r="K89" s="181"/>
      <c r="L89" s="181"/>
      <c r="M89" s="181"/>
      <c r="N89" s="181"/>
      <c r="O89" s="181"/>
      <c r="P89" s="181"/>
      <c r="Q89" s="181"/>
      <c r="R89" s="181"/>
      <c r="S89" s="14" t="s">
        <v>494</v>
      </c>
      <c r="T89" s="14" t="s">
        <v>495</v>
      </c>
    </row>
    <row r="90" spans="1:20" ht="14.25" customHeight="1" x14ac:dyDescent="0.2">
      <c r="A90" s="181"/>
      <c r="B90" s="181"/>
      <c r="C90" s="181"/>
      <c r="D90" s="181"/>
      <c r="E90" s="181"/>
      <c r="F90" s="181"/>
      <c r="G90" s="181"/>
      <c r="H90" s="181"/>
      <c r="I90" s="181"/>
      <c r="J90" s="181"/>
      <c r="K90" s="181"/>
      <c r="L90" s="181"/>
      <c r="M90" s="181"/>
      <c r="N90" s="181"/>
      <c r="O90" s="181"/>
      <c r="P90" s="181"/>
      <c r="Q90" s="181"/>
      <c r="R90" s="181"/>
      <c r="S90" s="14" t="s">
        <v>347</v>
      </c>
      <c r="T90" s="14" t="s">
        <v>348</v>
      </c>
    </row>
    <row r="91" spans="1:20" ht="14.25" customHeight="1" x14ac:dyDescent="0.2">
      <c r="A91" s="176"/>
      <c r="B91" s="176"/>
      <c r="C91" s="176"/>
      <c r="D91" s="176"/>
      <c r="E91" s="176"/>
      <c r="F91" s="176"/>
      <c r="G91" s="176"/>
      <c r="H91" s="176"/>
      <c r="I91" s="176"/>
      <c r="J91" s="176"/>
      <c r="K91" s="176"/>
      <c r="L91" s="176"/>
      <c r="M91" s="176"/>
      <c r="N91" s="176"/>
      <c r="O91" s="176"/>
      <c r="P91" s="176"/>
      <c r="Q91" s="176"/>
      <c r="R91" s="176"/>
      <c r="S91" s="14" t="s">
        <v>349</v>
      </c>
      <c r="T91" s="14" t="s">
        <v>350</v>
      </c>
    </row>
    <row r="92" spans="1:20" ht="14.25" customHeight="1" x14ac:dyDescent="0.2"/>
    <row r="93" spans="1:20" ht="14.25" customHeight="1" x14ac:dyDescent="0.2"/>
    <row r="94" spans="1:20" ht="14.25" customHeight="1" x14ac:dyDescent="0.2">
      <c r="F94" s="28" t="s">
        <v>309</v>
      </c>
      <c r="G94" s="28" t="s">
        <v>128</v>
      </c>
      <c r="H94" s="28" t="s">
        <v>747</v>
      </c>
    </row>
    <row r="95" spans="1:20" ht="14.25" customHeight="1" x14ac:dyDescent="0.2">
      <c r="F95" s="50" t="s">
        <v>140</v>
      </c>
      <c r="G95" s="72">
        <f t="shared" ref="G95:G110" si="4">SUMIF($F$2:$F$91,$F95,N$2:N$91)</f>
        <v>12203125</v>
      </c>
      <c r="H95" s="73">
        <f t="shared" ref="H95:H110" si="5">SUMIF($F$2:$F$91,$F95,Q$2:Q$91)</f>
        <v>106.43714402839922</v>
      </c>
    </row>
    <row r="96" spans="1:20" ht="14.25" customHeight="1" x14ac:dyDescent="0.2">
      <c r="F96" s="50" t="s">
        <v>398</v>
      </c>
      <c r="G96" s="72">
        <f t="shared" si="4"/>
        <v>1500000</v>
      </c>
      <c r="H96" s="73">
        <f t="shared" si="5"/>
        <v>13.083182876730252</v>
      </c>
    </row>
    <row r="97" spans="6:8" ht="14.25" customHeight="1" x14ac:dyDescent="0.2">
      <c r="F97" s="14" t="s">
        <v>156</v>
      </c>
      <c r="G97" s="72">
        <f t="shared" si="4"/>
        <v>507115</v>
      </c>
      <c r="H97" s="73">
        <f t="shared" si="5"/>
        <v>4.4231188563553738</v>
      </c>
    </row>
    <row r="98" spans="6:8" ht="14.25" customHeight="1" x14ac:dyDescent="0.2">
      <c r="F98" s="50" t="s">
        <v>441</v>
      </c>
      <c r="G98" s="72">
        <f t="shared" si="4"/>
        <v>456880</v>
      </c>
      <c r="H98" s="73">
        <f t="shared" si="5"/>
        <v>3.9849630618136778</v>
      </c>
    </row>
    <row r="99" spans="6:8" ht="14.25" customHeight="1" x14ac:dyDescent="0.2">
      <c r="F99" s="50" t="s">
        <v>412</v>
      </c>
      <c r="G99" s="72">
        <f t="shared" si="4"/>
        <v>545197.6</v>
      </c>
      <c r="H99" s="73">
        <f t="shared" si="5"/>
        <v>4.7552799365029523</v>
      </c>
    </row>
    <row r="100" spans="6:8" ht="14.25" customHeight="1" x14ac:dyDescent="0.2">
      <c r="F100" s="14" t="s">
        <v>16</v>
      </c>
      <c r="G100" s="72">
        <f t="shared" si="4"/>
        <v>164000</v>
      </c>
      <c r="H100" s="73">
        <f t="shared" si="5"/>
        <v>1.4304279945225074</v>
      </c>
    </row>
    <row r="101" spans="6:8" ht="14.25" customHeight="1" x14ac:dyDescent="0.2">
      <c r="F101" s="50" t="s">
        <v>10</v>
      </c>
      <c r="G101" s="72">
        <f t="shared" si="4"/>
        <v>82916.666666666657</v>
      </c>
      <c r="H101" s="73">
        <f t="shared" si="5"/>
        <v>0.72320927568592219</v>
      </c>
    </row>
    <row r="102" spans="6:8" ht="14.25" customHeight="1" x14ac:dyDescent="0.2">
      <c r="F102" s="50" t="s">
        <v>12</v>
      </c>
      <c r="G102" s="72">
        <f t="shared" si="4"/>
        <v>289333.33333333331</v>
      </c>
      <c r="H102" s="73">
        <f t="shared" si="5"/>
        <v>2.523600608222635</v>
      </c>
    </row>
    <row r="103" spans="6:8" ht="14.25" customHeight="1" x14ac:dyDescent="0.2">
      <c r="F103" s="50" t="s">
        <v>397</v>
      </c>
      <c r="G103" s="72">
        <f t="shared" si="4"/>
        <v>176163.59999999998</v>
      </c>
      <c r="H103" s="73">
        <f t="shared" si="5"/>
        <v>1.5365203966821046</v>
      </c>
    </row>
    <row r="104" spans="6:8" ht="14.25" customHeight="1" x14ac:dyDescent="0.2">
      <c r="F104" s="50" t="s">
        <v>435</v>
      </c>
      <c r="G104" s="72">
        <f t="shared" si="4"/>
        <v>9006</v>
      </c>
      <c r="H104" s="73">
        <f t="shared" si="5"/>
        <v>7.8551429991888425E-2</v>
      </c>
    </row>
    <row r="105" spans="6:8" ht="14.25" customHeight="1" x14ac:dyDescent="0.2">
      <c r="F105" s="14" t="s">
        <v>19</v>
      </c>
      <c r="G105" s="72">
        <f t="shared" si="4"/>
        <v>465.12</v>
      </c>
      <c r="H105" s="73">
        <f t="shared" si="5"/>
        <v>4.0568333464165163E-3</v>
      </c>
    </row>
    <row r="106" spans="6:8" ht="14.25" customHeight="1" x14ac:dyDescent="0.2">
      <c r="F106" s="50" t="s">
        <v>13</v>
      </c>
      <c r="G106" s="72">
        <f t="shared" si="4"/>
        <v>2931</v>
      </c>
      <c r="H106" s="73">
        <f t="shared" si="5"/>
        <v>2.5564539341130909E-2</v>
      </c>
    </row>
    <row r="107" spans="6:8" ht="14.25" customHeight="1" x14ac:dyDescent="0.2">
      <c r="F107" s="50" t="s">
        <v>17</v>
      </c>
      <c r="G107" s="72">
        <f t="shared" si="4"/>
        <v>36050</v>
      </c>
      <c r="H107" s="73">
        <f t="shared" si="5"/>
        <v>0.31443249513741706</v>
      </c>
    </row>
    <row r="108" spans="6:8" ht="14.25" customHeight="1" x14ac:dyDescent="0.2">
      <c r="F108" s="50" t="s">
        <v>14</v>
      </c>
      <c r="G108" s="72">
        <f t="shared" si="4"/>
        <v>6000</v>
      </c>
      <c r="H108" s="73">
        <f t="shared" si="5"/>
        <v>5.2332731506921006E-2</v>
      </c>
    </row>
    <row r="109" spans="6:8" ht="14.25" customHeight="1" x14ac:dyDescent="0.2">
      <c r="F109" s="50" t="s">
        <v>15</v>
      </c>
      <c r="G109" s="72">
        <f t="shared" si="4"/>
        <v>645</v>
      </c>
      <c r="H109" s="73">
        <f t="shared" si="5"/>
        <v>5.6257686369940076E-3</v>
      </c>
    </row>
    <row r="110" spans="6:8" ht="14.25" customHeight="1" x14ac:dyDescent="0.2">
      <c r="F110" s="50" t="s">
        <v>5</v>
      </c>
      <c r="G110" s="72">
        <f t="shared" si="4"/>
        <v>4680</v>
      </c>
      <c r="H110" s="73">
        <f t="shared" si="5"/>
        <v>4.0819530575398381E-2</v>
      </c>
    </row>
    <row r="111" spans="6:8" ht="14.25" customHeight="1" x14ac:dyDescent="0.2">
      <c r="G111" s="75"/>
    </row>
    <row r="112" spans="6:8" ht="14.25" customHeight="1" x14ac:dyDescent="0.2">
      <c r="F112" s="30" t="s">
        <v>751</v>
      </c>
      <c r="G112" s="28" t="s">
        <v>128</v>
      </c>
      <c r="H112" s="28" t="s">
        <v>752</v>
      </c>
    </row>
    <row r="113" spans="6:8" ht="14.25" customHeight="1" x14ac:dyDescent="0.2">
      <c r="F113" s="50" t="s">
        <v>140</v>
      </c>
      <c r="G113" s="72">
        <f t="shared" ref="G113:G121" si="6">SUMIF($E$2:$E$91,$F113,N$2:N$91)</f>
        <v>13703125</v>
      </c>
      <c r="H113" s="98">
        <f t="shared" ref="H113:H121" si="7">SUMIF($E$2:$E$91,$F113,Q$2:Q$91)</f>
        <v>119.52032690512947</v>
      </c>
    </row>
    <row r="114" spans="6:8" ht="14.25" customHeight="1" x14ac:dyDescent="0.2">
      <c r="F114" s="14" t="s">
        <v>155</v>
      </c>
      <c r="G114" s="72">
        <f t="shared" si="6"/>
        <v>1685356.1999999997</v>
      </c>
      <c r="H114" s="98">
        <f t="shared" si="7"/>
        <v>14.699882251354108</v>
      </c>
    </row>
    <row r="115" spans="6:8" ht="14.25" customHeight="1" x14ac:dyDescent="0.2">
      <c r="F115" s="50" t="s">
        <v>92</v>
      </c>
      <c r="G115" s="72">
        <f t="shared" si="6"/>
        <v>4680</v>
      </c>
      <c r="H115" s="98">
        <f t="shared" si="7"/>
        <v>4.0819530575398381E-2</v>
      </c>
    </row>
    <row r="116" spans="6:8" ht="14.25" customHeight="1" x14ac:dyDescent="0.2">
      <c r="F116" s="14" t="s">
        <v>16</v>
      </c>
      <c r="G116" s="72">
        <f t="shared" si="6"/>
        <v>164000</v>
      </c>
      <c r="H116" s="98">
        <f t="shared" si="7"/>
        <v>1.4304279945225074</v>
      </c>
    </row>
    <row r="117" spans="6:8" ht="14.25" customHeight="1" x14ac:dyDescent="0.2">
      <c r="F117" s="41" t="s">
        <v>287</v>
      </c>
      <c r="G117" s="72">
        <f t="shared" si="6"/>
        <v>119431.78666666667</v>
      </c>
      <c r="H117" s="98">
        <f t="shared" si="7"/>
        <v>1.0416986041697558</v>
      </c>
    </row>
    <row r="118" spans="6:8" ht="14.25" customHeight="1" x14ac:dyDescent="0.2">
      <c r="F118" s="41" t="s">
        <v>294</v>
      </c>
      <c r="G118" s="72">
        <f t="shared" si="6"/>
        <v>289333.33333333331</v>
      </c>
      <c r="H118" s="98">
        <f t="shared" si="7"/>
        <v>2.523600608222635</v>
      </c>
    </row>
    <row r="119" spans="6:8" ht="14.25" customHeight="1" x14ac:dyDescent="0.2">
      <c r="F119" s="50" t="s">
        <v>434</v>
      </c>
      <c r="G119" s="72">
        <f t="shared" si="6"/>
        <v>9006</v>
      </c>
      <c r="H119" s="98">
        <f t="shared" si="7"/>
        <v>7.8551429991888425E-2</v>
      </c>
    </row>
    <row r="120" spans="6:8" ht="14.25" customHeight="1" x14ac:dyDescent="0.2">
      <c r="F120" s="50" t="s">
        <v>13</v>
      </c>
      <c r="G120" s="72">
        <f t="shared" si="6"/>
        <v>2931</v>
      </c>
      <c r="H120" s="98">
        <f t="shared" si="7"/>
        <v>2.5564539341130909E-2</v>
      </c>
    </row>
    <row r="121" spans="6:8" ht="14.25" customHeight="1" x14ac:dyDescent="0.2">
      <c r="F121" s="50" t="s">
        <v>279</v>
      </c>
      <c r="G121" s="72">
        <f t="shared" si="6"/>
        <v>6645</v>
      </c>
      <c r="H121" s="98">
        <f t="shared" si="7"/>
        <v>5.7958500143915015E-2</v>
      </c>
    </row>
    <row r="122" spans="6:8" ht="14.25" customHeight="1" x14ac:dyDescent="0.2">
      <c r="H122" s="99"/>
    </row>
    <row r="123" spans="6:8" ht="14.25" customHeight="1" x14ac:dyDescent="0.2"/>
    <row r="124" spans="6:8" ht="14.25" customHeight="1" x14ac:dyDescent="0.2"/>
    <row r="125" spans="6:8" ht="14.25" customHeight="1" x14ac:dyDescent="0.2"/>
    <row r="126" spans="6:8" ht="14.25" customHeight="1" x14ac:dyDescent="0.2"/>
    <row r="127" spans="6:8" ht="14.25" customHeight="1" x14ac:dyDescent="0.2"/>
    <row r="128" spans="6: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07">
    <mergeCell ref="F66:F68"/>
    <mergeCell ref="G62:G70"/>
    <mergeCell ref="D69:D70"/>
    <mergeCell ref="E69:E70"/>
    <mergeCell ref="F69:F70"/>
    <mergeCell ref="F22:F25"/>
    <mergeCell ref="G22:G25"/>
    <mergeCell ref="D26:D29"/>
    <mergeCell ref="E26:E29"/>
    <mergeCell ref="F26:F29"/>
    <mergeCell ref="G26:G29"/>
    <mergeCell ref="D30:D31"/>
    <mergeCell ref="E30:E31"/>
    <mergeCell ref="F30:F31"/>
    <mergeCell ref="G30:G31"/>
    <mergeCell ref="D32:D35"/>
    <mergeCell ref="E32:E35"/>
    <mergeCell ref="G71:G73"/>
    <mergeCell ref="D74:D76"/>
    <mergeCell ref="E74:E76"/>
    <mergeCell ref="F74:F76"/>
    <mergeCell ref="G74:G76"/>
    <mergeCell ref="D77:D80"/>
    <mergeCell ref="E77:E80"/>
    <mergeCell ref="F77:F80"/>
    <mergeCell ref="G77:G80"/>
    <mergeCell ref="B81:B91"/>
    <mergeCell ref="C81:C91"/>
    <mergeCell ref="D81:D83"/>
    <mergeCell ref="E81:E83"/>
    <mergeCell ref="F57:F60"/>
    <mergeCell ref="B62:B70"/>
    <mergeCell ref="C62:C70"/>
    <mergeCell ref="D62:D65"/>
    <mergeCell ref="E62:E65"/>
    <mergeCell ref="F62:F65"/>
    <mergeCell ref="D66:D68"/>
    <mergeCell ref="B55:B61"/>
    <mergeCell ref="C55:C61"/>
    <mergeCell ref="D55:D56"/>
    <mergeCell ref="E55:E56"/>
    <mergeCell ref="F55:F56"/>
    <mergeCell ref="B71:B80"/>
    <mergeCell ref="C71:C80"/>
    <mergeCell ref="D71:D73"/>
    <mergeCell ref="E71:E73"/>
    <mergeCell ref="F71:F73"/>
    <mergeCell ref="D57:D61"/>
    <mergeCell ref="E57:E60"/>
    <mergeCell ref="E66:E68"/>
    <mergeCell ref="A2:A91"/>
    <mergeCell ref="E2:E3"/>
    <mergeCell ref="F2:F3"/>
    <mergeCell ref="G2:G4"/>
    <mergeCell ref="G5:G6"/>
    <mergeCell ref="G7:G10"/>
    <mergeCell ref="G17:G21"/>
    <mergeCell ref="F81:F83"/>
    <mergeCell ref="G81:G83"/>
    <mergeCell ref="D84:D85"/>
    <mergeCell ref="E84:E85"/>
    <mergeCell ref="F84:F85"/>
    <mergeCell ref="G84:G85"/>
    <mergeCell ref="D86:D87"/>
    <mergeCell ref="E86:E87"/>
    <mergeCell ref="F86:F87"/>
    <mergeCell ref="G86:G87"/>
    <mergeCell ref="D88:D91"/>
    <mergeCell ref="E88:E91"/>
    <mergeCell ref="F88:F91"/>
    <mergeCell ref="G88:G91"/>
    <mergeCell ref="G15:G16"/>
    <mergeCell ref="D22:D25"/>
    <mergeCell ref="E22:E25"/>
    <mergeCell ref="N7:N10"/>
    <mergeCell ref="E11:E14"/>
    <mergeCell ref="F11:F14"/>
    <mergeCell ref="J7:J10"/>
    <mergeCell ref="J11:J14"/>
    <mergeCell ref="K11:K14"/>
    <mergeCell ref="L11:L14"/>
    <mergeCell ref="M11:M14"/>
    <mergeCell ref="N11:N14"/>
    <mergeCell ref="E7:E10"/>
    <mergeCell ref="F7:F10"/>
    <mergeCell ref="H7:H21"/>
    <mergeCell ref="I7:I21"/>
    <mergeCell ref="K7:K10"/>
    <mergeCell ref="L7:L10"/>
    <mergeCell ref="G11:G14"/>
    <mergeCell ref="M7:M10"/>
    <mergeCell ref="E15:E16"/>
    <mergeCell ref="F15:F16"/>
    <mergeCell ref="K15:K16"/>
    <mergeCell ref="L15:L16"/>
    <mergeCell ref="M15:M16"/>
    <mergeCell ref="H5:H6"/>
    <mergeCell ref="I5:I6"/>
    <mergeCell ref="J5:J6"/>
    <mergeCell ref="K5:K6"/>
    <mergeCell ref="C7:C21"/>
    <mergeCell ref="D11:D14"/>
    <mergeCell ref="D15:D16"/>
    <mergeCell ref="D17:D19"/>
    <mergeCell ref="J17:J19"/>
    <mergeCell ref="K17:K19"/>
    <mergeCell ref="J15:J16"/>
    <mergeCell ref="B36:B39"/>
    <mergeCell ref="C36:C39"/>
    <mergeCell ref="D2:D3"/>
    <mergeCell ref="D7:D10"/>
    <mergeCell ref="F32:F35"/>
    <mergeCell ref="G32:G35"/>
    <mergeCell ref="D36:D39"/>
    <mergeCell ref="E36:E39"/>
    <mergeCell ref="F36:F39"/>
    <mergeCell ref="G36:G39"/>
    <mergeCell ref="E17:E19"/>
    <mergeCell ref="F17:F19"/>
    <mergeCell ref="B5:B6"/>
    <mergeCell ref="C5:C6"/>
    <mergeCell ref="B7:B21"/>
    <mergeCell ref="C2:C4"/>
    <mergeCell ref="B22:B35"/>
    <mergeCell ref="C22:C35"/>
    <mergeCell ref="B2:B4"/>
    <mergeCell ref="I36:I39"/>
    <mergeCell ref="J36:J39"/>
    <mergeCell ref="K36:K39"/>
    <mergeCell ref="L36:L39"/>
    <mergeCell ref="M36:M39"/>
    <mergeCell ref="N36:N39"/>
    <mergeCell ref="H36:H39"/>
    <mergeCell ref="I40:I44"/>
    <mergeCell ref="J40:J43"/>
    <mergeCell ref="K40:K43"/>
    <mergeCell ref="L40:L43"/>
    <mergeCell ref="M40:M43"/>
    <mergeCell ref="N40:N43"/>
    <mergeCell ref="B40:B50"/>
    <mergeCell ref="C40:C44"/>
    <mergeCell ref="C45:C46"/>
    <mergeCell ref="C47:C50"/>
    <mergeCell ref="D40:D43"/>
    <mergeCell ref="E40:E43"/>
    <mergeCell ref="F40:F43"/>
    <mergeCell ref="G40:G44"/>
    <mergeCell ref="G45:G46"/>
    <mergeCell ref="G47:G50"/>
    <mergeCell ref="G55:G61"/>
    <mergeCell ref="Q77:Q80"/>
    <mergeCell ref="Q84:Q85"/>
    <mergeCell ref="K71:K73"/>
    <mergeCell ref="L71:L73"/>
    <mergeCell ref="R77:R80"/>
    <mergeCell ref="H81:H91"/>
    <mergeCell ref="I81:I91"/>
    <mergeCell ref="N84:N85"/>
    <mergeCell ref="R84:R85"/>
    <mergeCell ref="M81:M83"/>
    <mergeCell ref="N81:N83"/>
    <mergeCell ref="Q81:Q83"/>
    <mergeCell ref="R81:R83"/>
    <mergeCell ref="J84:J85"/>
    <mergeCell ref="K84:K85"/>
    <mergeCell ref="L84:L85"/>
    <mergeCell ref="M84:M85"/>
    <mergeCell ref="J81:J83"/>
    <mergeCell ref="J86:J87"/>
    <mergeCell ref="K86:K87"/>
    <mergeCell ref="L86:L87"/>
    <mergeCell ref="M86:M87"/>
    <mergeCell ref="N86:N87"/>
    <mergeCell ref="K81:K83"/>
    <mergeCell ref="L81:L83"/>
    <mergeCell ref="Q86:Q87"/>
    <mergeCell ref="R86:R87"/>
    <mergeCell ref="J88:J91"/>
    <mergeCell ref="K88:K91"/>
    <mergeCell ref="L88:L91"/>
    <mergeCell ref="O2:O91"/>
    <mergeCell ref="P2:P91"/>
    <mergeCell ref="Q7:Q10"/>
    <mergeCell ref="R7:R10"/>
    <mergeCell ref="Q11:Q14"/>
    <mergeCell ref="R11:R14"/>
    <mergeCell ref="R15:R16"/>
    <mergeCell ref="M22:M25"/>
    <mergeCell ref="N22:N25"/>
    <mergeCell ref="Q30:Q31"/>
    <mergeCell ref="Q32:Q35"/>
    <mergeCell ref="R32:R35"/>
    <mergeCell ref="Q36:Q39"/>
    <mergeCell ref="R36:R39"/>
    <mergeCell ref="Q40:Q43"/>
    <mergeCell ref="N15:N16"/>
    <mergeCell ref="L17:L19"/>
    <mergeCell ref="H2:H4"/>
    <mergeCell ref="I2:I4"/>
    <mergeCell ref="J2:J4"/>
    <mergeCell ref="K2:K4"/>
    <mergeCell ref="L2:L3"/>
    <mergeCell ref="M2:M3"/>
    <mergeCell ref="N2:N3"/>
    <mergeCell ref="Q2:Q3"/>
    <mergeCell ref="R2:R3"/>
    <mergeCell ref="R40:R43"/>
    <mergeCell ref="Q15:Q16"/>
    <mergeCell ref="Q17:Q19"/>
    <mergeCell ref="R17:R21"/>
    <mergeCell ref="Q22:Q25"/>
    <mergeCell ref="R22:R25"/>
    <mergeCell ref="Q26:Q29"/>
    <mergeCell ref="R26:R29"/>
    <mergeCell ref="M88:M91"/>
    <mergeCell ref="N88:N91"/>
    <mergeCell ref="N30:N31"/>
    <mergeCell ref="Q62:Q65"/>
    <mergeCell ref="R62:R65"/>
    <mergeCell ref="Q88:Q91"/>
    <mergeCell ref="R88:R91"/>
    <mergeCell ref="J32:J35"/>
    <mergeCell ref="K32:K35"/>
    <mergeCell ref="L32:L35"/>
    <mergeCell ref="M32:M35"/>
    <mergeCell ref="M17:M19"/>
    <mergeCell ref="N17:N19"/>
    <mergeCell ref="H22:H35"/>
    <mergeCell ref="I22:I35"/>
    <mergeCell ref="K22:K25"/>
    <mergeCell ref="L22:L25"/>
    <mergeCell ref="N26:N29"/>
    <mergeCell ref="N32:N35"/>
    <mergeCell ref="J26:J29"/>
    <mergeCell ref="K26:K29"/>
    <mergeCell ref="L26:L29"/>
    <mergeCell ref="M26:M29"/>
    <mergeCell ref="J22:J25"/>
    <mergeCell ref="J30:J31"/>
    <mergeCell ref="K30:K31"/>
    <mergeCell ref="L30:L31"/>
    <mergeCell ref="M30:M31"/>
    <mergeCell ref="H57:H61"/>
    <mergeCell ref="I57:I61"/>
    <mergeCell ref="H40:H44"/>
    <mergeCell ref="H45:H46"/>
    <mergeCell ref="I45:I46"/>
    <mergeCell ref="H47:H50"/>
    <mergeCell ref="I47:I50"/>
    <mergeCell ref="H55:H56"/>
    <mergeCell ref="I55:I56"/>
    <mergeCell ref="J55:J56"/>
    <mergeCell ref="K55:K56"/>
    <mergeCell ref="L55:L56"/>
    <mergeCell ref="M55:M56"/>
    <mergeCell ref="N55:N56"/>
    <mergeCell ref="Q55:Q56"/>
    <mergeCell ref="R55:R56"/>
    <mergeCell ref="J57:J60"/>
    <mergeCell ref="K57:K60"/>
    <mergeCell ref="L57:L60"/>
    <mergeCell ref="M57:M60"/>
    <mergeCell ref="N57:N60"/>
    <mergeCell ref="Q57:Q60"/>
    <mergeCell ref="R57:R60"/>
    <mergeCell ref="H62:H65"/>
    <mergeCell ref="I62:I65"/>
    <mergeCell ref="J62:J65"/>
    <mergeCell ref="K62:K65"/>
    <mergeCell ref="L62:L65"/>
    <mergeCell ref="M62:M65"/>
    <mergeCell ref="N62:N65"/>
    <mergeCell ref="J69:J70"/>
    <mergeCell ref="K69:K70"/>
    <mergeCell ref="L69:L70"/>
    <mergeCell ref="M69:M70"/>
    <mergeCell ref="H66:H70"/>
    <mergeCell ref="I66:I70"/>
    <mergeCell ref="J66:J68"/>
    <mergeCell ref="K66:K68"/>
    <mergeCell ref="L66:L68"/>
    <mergeCell ref="M66:M68"/>
    <mergeCell ref="N66:N68"/>
    <mergeCell ref="N69:N70"/>
    <mergeCell ref="J71:J73"/>
    <mergeCell ref="J77:J80"/>
    <mergeCell ref="Q66:Q68"/>
    <mergeCell ref="R66:R68"/>
    <mergeCell ref="R69:R70"/>
    <mergeCell ref="H71:H80"/>
    <mergeCell ref="I71:I80"/>
    <mergeCell ref="N74:N76"/>
    <mergeCell ref="R74:R76"/>
    <mergeCell ref="M71:M73"/>
    <mergeCell ref="N71:N73"/>
    <mergeCell ref="Q71:Q73"/>
    <mergeCell ref="R71:R73"/>
    <mergeCell ref="J74:J76"/>
    <mergeCell ref="K74:K76"/>
    <mergeCell ref="L74:L76"/>
    <mergeCell ref="M74:M76"/>
    <mergeCell ref="Q69:Q70"/>
    <mergeCell ref="Q74:Q76"/>
    <mergeCell ref="K77:K80"/>
    <mergeCell ref="L77:L80"/>
    <mergeCell ref="M77:M80"/>
    <mergeCell ref="N77:N80"/>
  </mergeCells>
  <conditionalFormatting sqref="R2:R6 R22:R36 R40:R52 R54:R61 R71:R91">
    <cfRule type="colorScale" priority="1">
      <colorScale>
        <cfvo type="min"/>
        <cfvo type="percentile" val="50"/>
        <cfvo type="max"/>
        <color rgb="FFF8696B"/>
        <color rgb="FFFFEB84"/>
        <color rgb="FF63BE7B"/>
      </colorScale>
    </cfRule>
  </conditionalFormatting>
  <conditionalFormatting sqref="R2:R15 R17:R36 R40:R91">
    <cfRule type="colorScale" priority="2">
      <colorScale>
        <cfvo type="min"/>
        <cfvo type="percentile" val="50"/>
        <cfvo type="max"/>
        <color rgb="FFF8696B"/>
        <color rgb="FFFFEB84"/>
        <color rgb="FF63BE7B"/>
      </colorScale>
    </cfRule>
  </conditionalFormatting>
  <conditionalFormatting sqref="R7:R15 R17:R21">
    <cfRule type="colorScale" priority="3">
      <colorScale>
        <cfvo type="min"/>
        <cfvo type="percentile" val="50"/>
        <cfvo type="max"/>
        <color rgb="FFF8696B"/>
        <color rgb="FFFFEB84"/>
        <color rgb="FF63BE7B"/>
      </colorScale>
    </cfRule>
  </conditionalFormatting>
  <conditionalFormatting sqref="R53">
    <cfRule type="colorScale" priority="4">
      <colorScale>
        <cfvo type="min"/>
        <cfvo type="percentile" val="50"/>
        <cfvo type="max"/>
        <color rgb="FFF8696B"/>
        <color rgb="FFFFEB84"/>
        <color rgb="FF63BE7B"/>
      </colorScale>
    </cfRule>
  </conditionalFormatting>
  <conditionalFormatting sqref="R62:R69">
    <cfRule type="colorScale" priority="5">
      <colorScale>
        <cfvo type="min"/>
        <cfvo type="percentile" val="50"/>
        <cfvo type="max"/>
        <color rgb="FFF8696B"/>
        <color rgb="FFFFEB84"/>
        <color rgb="FF63BE7B"/>
      </colorScale>
    </cfRule>
  </conditionalFormatting>
  <conditionalFormatting sqref="R62:R70">
    <cfRule type="colorScale" priority="6">
      <colorScale>
        <cfvo type="min"/>
        <cfvo type="percentile" val="50"/>
        <cfvo type="max"/>
        <color rgb="FFF8696B"/>
        <color rgb="FFFFEB84"/>
        <color rgb="FF63BE7B"/>
      </colorScale>
    </cfRule>
  </conditionalFormatting>
  <hyperlinks>
    <hyperlink ref="S8" r:id="rId1" xr:uid="{00000000-0004-0000-0700-000000000000}"/>
    <hyperlink ref="S9" r:id="rId2" xr:uid="{00000000-0004-0000-0700-000001000000}"/>
    <hyperlink ref="S12" r:id="rId3" xr:uid="{00000000-0004-0000-0700-000002000000}"/>
    <hyperlink ref="S18" r:id="rId4" xr:uid="{00000000-0004-0000-0700-000003000000}"/>
    <hyperlink ref="S23" r:id="rId5" xr:uid="{00000000-0004-0000-0700-000004000000}"/>
    <hyperlink ref="S24" r:id="rId6" xr:uid="{00000000-0004-0000-0700-000005000000}"/>
    <hyperlink ref="S27" r:id="rId7" xr:uid="{00000000-0004-0000-0700-000006000000}"/>
    <hyperlink ref="S33" r:id="rId8" xr:uid="{00000000-0004-0000-0700-000007000000}"/>
    <hyperlink ref="S34" r:id="rId9" location=":~:text=Steel%20Corrugated%20Roofing%20&amp;%20Siding%20Panels,off%20to%20their%20desired%20length. " xr:uid="{00000000-0004-0000-0700-000008000000}"/>
    <hyperlink ref="S35" r:id="rId10" xr:uid="{00000000-0004-0000-0700-000009000000}"/>
    <hyperlink ref="S36" r:id="rId11" xr:uid="{00000000-0004-0000-0700-00000A000000}"/>
    <hyperlink ref="S39" r:id="rId12" xr:uid="{00000000-0004-0000-0700-00000B000000}"/>
    <hyperlink ref="S43" r:id="rId13" location=":~:text=The%20minimum%20thickness%20for%20commercial,to%202.5%20psf%20of%20reinforcing). " xr:uid="{00000000-0004-0000-0700-00000C000000}"/>
    <hyperlink ref="S45" r:id="rId14" xr:uid="{00000000-0004-0000-0700-00000D000000}"/>
    <hyperlink ref="S46" r:id="rId15" location=":~:text=The%20minimum%20thickness%20for%20commercial,to%202.5%20psf%20of%20reinforcing). " xr:uid="{00000000-0004-0000-0700-00000E000000}"/>
    <hyperlink ref="S50" r:id="rId16" location=":~:text=The%20most%20common%20type%20of,in%20exposed%20metal%20building%20applications. " xr:uid="{00000000-0004-0000-0700-00000F000000}"/>
    <hyperlink ref="S53" r:id="rId17" location=":~:text=Steel%20Entry%20Doors,assemble%20a%20knock%20down%20door. " xr:uid="{00000000-0004-0000-0700-000010000000}"/>
    <hyperlink ref="S55" r:id="rId18" location=" " xr:uid="{00000000-0004-0000-0700-000011000000}"/>
    <hyperlink ref="S60" r:id="rId19" xr:uid="{00000000-0004-0000-0700-000012000000}"/>
    <hyperlink ref="S61" r:id="rId20" xr:uid="{00000000-0004-0000-0700-000013000000}"/>
    <hyperlink ref="S63" r:id="rId21" xr:uid="{00000000-0004-0000-0700-000014000000}"/>
    <hyperlink ref="S68" r:id="rId22" xr:uid="{00000000-0004-0000-0700-000015000000}"/>
    <hyperlink ref="S70" r:id="rId23" xr:uid="{00000000-0004-0000-0700-000016000000}"/>
    <hyperlink ref="S71" r:id="rId24" xr:uid="{00000000-0004-0000-0700-000017000000}"/>
    <hyperlink ref="S76" r:id="rId25" xr:uid="{00000000-0004-0000-0700-000018000000}"/>
  </hyperlinks>
  <pageMargins left="0.7" right="0.7" top="0.75" bottom="0.75" header="0" footer="0"/>
  <pageSetup orientation="portrait"/>
  <drawing r:id="rId26"/>
  <legacyDrawing r:id="rId27"/>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51</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354</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167</v>
      </c>
      <c r="B2" s="183" t="s">
        <v>53</v>
      </c>
      <c r="C2" s="183" t="s">
        <v>139</v>
      </c>
      <c r="D2" s="179" t="s">
        <v>140</v>
      </c>
      <c r="E2" s="179" t="s">
        <v>140</v>
      </c>
      <c r="F2" s="179" t="s">
        <v>140</v>
      </c>
      <c r="G2" s="182">
        <v>1</v>
      </c>
      <c r="H2" s="182">
        <v>960</v>
      </c>
      <c r="I2" s="183" t="s">
        <v>142</v>
      </c>
      <c r="J2" s="200">
        <v>0.66666666666666663</v>
      </c>
      <c r="K2" s="178">
        <v>1.5</v>
      </c>
      <c r="L2" s="178">
        <v>150</v>
      </c>
      <c r="M2" s="179" t="s">
        <v>355</v>
      </c>
      <c r="N2" s="188">
        <f>L2*K2*J2*H2</f>
        <v>144000</v>
      </c>
      <c r="O2" s="182">
        <v>8047</v>
      </c>
      <c r="P2" s="183" t="s">
        <v>356</v>
      </c>
      <c r="Q2" s="175">
        <f>N2/O2</f>
        <v>17.894867652541318</v>
      </c>
      <c r="R2" s="191">
        <v>4</v>
      </c>
      <c r="S2" s="14" t="s">
        <v>149</v>
      </c>
      <c r="T2" s="85" t="s">
        <v>150</v>
      </c>
      <c r="U2" s="85"/>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181"/>
      <c r="C3" s="181"/>
      <c r="D3" s="176"/>
      <c r="E3" s="176"/>
      <c r="F3" s="176"/>
      <c r="G3" s="181"/>
      <c r="H3" s="181"/>
      <c r="I3" s="181"/>
      <c r="J3" s="181"/>
      <c r="K3" s="181"/>
      <c r="L3" s="176"/>
      <c r="M3" s="176"/>
      <c r="N3" s="176"/>
      <c r="O3" s="181"/>
      <c r="P3" s="181"/>
      <c r="Q3" s="176"/>
      <c r="R3" s="176"/>
      <c r="S3" s="44" t="s">
        <v>152</v>
      </c>
      <c r="T3" s="44" t="s">
        <v>153</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76"/>
      <c r="C4" s="176"/>
      <c r="D4" s="14" t="s">
        <v>154</v>
      </c>
      <c r="E4" s="14" t="s">
        <v>155</v>
      </c>
      <c r="F4" s="14" t="s">
        <v>156</v>
      </c>
      <c r="G4" s="176"/>
      <c r="H4" s="176"/>
      <c r="I4" s="176"/>
      <c r="J4" s="176"/>
      <c r="K4" s="176"/>
      <c r="L4" s="14">
        <v>5.25</v>
      </c>
      <c r="M4" s="14" t="s">
        <v>357</v>
      </c>
      <c r="N4" s="38">
        <f>L4*K2*J2*H2</f>
        <v>5040</v>
      </c>
      <c r="O4" s="181"/>
      <c r="P4" s="181"/>
      <c r="Q4" s="19">
        <f>N4/$O$2</f>
        <v>0.62632036783894618</v>
      </c>
      <c r="R4" s="48">
        <v>4</v>
      </c>
      <c r="S4" s="86" t="s">
        <v>240</v>
      </c>
      <c r="T4" s="44" t="s">
        <v>358</v>
      </c>
      <c r="U4" s="85"/>
      <c r="V4" s="85"/>
      <c r="W4" s="85"/>
      <c r="X4" s="85"/>
      <c r="Y4" s="85"/>
      <c r="Z4" s="85"/>
      <c r="AA4" s="85"/>
      <c r="AB4" s="85"/>
      <c r="AC4" s="85"/>
      <c r="AD4" s="85"/>
      <c r="AE4" s="85"/>
      <c r="AF4" s="85"/>
      <c r="AG4" s="85"/>
      <c r="AH4" s="85"/>
      <c r="AI4" s="85"/>
      <c r="AJ4" s="85"/>
      <c r="AK4" s="85"/>
      <c r="AL4" s="85"/>
      <c r="AM4" s="85"/>
      <c r="AN4" s="85"/>
    </row>
    <row r="5" spans="1:40" ht="17.25" customHeight="1" x14ac:dyDescent="0.2">
      <c r="A5" s="181"/>
      <c r="B5" s="183" t="s">
        <v>164</v>
      </c>
      <c r="C5" s="183" t="s">
        <v>165</v>
      </c>
      <c r="D5" s="34" t="s">
        <v>140</v>
      </c>
      <c r="E5" s="34" t="s">
        <v>140</v>
      </c>
      <c r="F5" s="34" t="s">
        <v>140</v>
      </c>
      <c r="G5" s="182">
        <v>1</v>
      </c>
      <c r="H5" s="182">
        <v>8500</v>
      </c>
      <c r="I5" s="183" t="s">
        <v>166</v>
      </c>
      <c r="J5" s="199">
        <v>0.5</v>
      </c>
      <c r="K5" s="179" t="s">
        <v>27</v>
      </c>
      <c r="L5" s="35">
        <v>150</v>
      </c>
      <c r="M5" s="34" t="s">
        <v>359</v>
      </c>
      <c r="N5" s="47">
        <f>L5*J5*H5</f>
        <v>637500</v>
      </c>
      <c r="O5" s="181"/>
      <c r="P5" s="181"/>
      <c r="Q5" s="36">
        <f>N5/O2</f>
        <v>79.222070336771466</v>
      </c>
      <c r="R5" s="87">
        <v>5</v>
      </c>
      <c r="S5" s="44" t="s">
        <v>360</v>
      </c>
      <c r="T5" s="44" t="s">
        <v>361</v>
      </c>
      <c r="U5" s="85"/>
      <c r="V5" s="85"/>
      <c r="W5" s="85"/>
      <c r="X5" s="85"/>
      <c r="Y5" s="85"/>
      <c r="Z5" s="85"/>
      <c r="AA5" s="85"/>
      <c r="AB5" s="85"/>
      <c r="AC5" s="85"/>
      <c r="AD5" s="85"/>
      <c r="AE5" s="85"/>
      <c r="AF5" s="85"/>
      <c r="AG5" s="85"/>
      <c r="AH5" s="85"/>
      <c r="AI5" s="85"/>
      <c r="AJ5" s="85"/>
      <c r="AK5" s="85"/>
      <c r="AL5" s="85"/>
      <c r="AM5" s="85"/>
      <c r="AN5" s="85"/>
    </row>
    <row r="6" spans="1:40" ht="14.25" customHeight="1" x14ac:dyDescent="0.2">
      <c r="A6" s="181"/>
      <c r="B6" s="176"/>
      <c r="C6" s="176"/>
      <c r="D6" s="14" t="s">
        <v>154</v>
      </c>
      <c r="E6" s="41" t="s">
        <v>155</v>
      </c>
      <c r="F6" s="41" t="s">
        <v>156</v>
      </c>
      <c r="G6" s="176"/>
      <c r="H6" s="176"/>
      <c r="I6" s="176"/>
      <c r="J6" s="176"/>
      <c r="K6" s="176"/>
      <c r="L6" s="14">
        <v>6</v>
      </c>
      <c r="M6" s="14" t="s">
        <v>362</v>
      </c>
      <c r="N6" s="38">
        <f>L6*J5*H5</f>
        <v>25500</v>
      </c>
      <c r="O6" s="181"/>
      <c r="P6" s="181"/>
      <c r="Q6" s="19">
        <f>N6/O2</f>
        <v>3.1688828134708587</v>
      </c>
      <c r="R6" s="49">
        <v>5</v>
      </c>
      <c r="S6" s="14" t="s">
        <v>174</v>
      </c>
      <c r="T6" s="85" t="s">
        <v>175</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187" t="s">
        <v>209</v>
      </c>
      <c r="C7" s="184" t="s">
        <v>363</v>
      </c>
      <c r="D7" s="179" t="s">
        <v>239</v>
      </c>
      <c r="E7" s="179" t="s">
        <v>155</v>
      </c>
      <c r="F7" s="179" t="s">
        <v>7</v>
      </c>
      <c r="G7" s="182">
        <v>1</v>
      </c>
      <c r="H7" s="182">
        <v>8500</v>
      </c>
      <c r="I7" s="183" t="s">
        <v>166</v>
      </c>
      <c r="J7" s="175">
        <v>3.3333333333333335E-3</v>
      </c>
      <c r="K7" s="179" t="s">
        <v>27</v>
      </c>
      <c r="L7" s="178">
        <v>1.6559999999999999</v>
      </c>
      <c r="M7" s="179" t="s">
        <v>364</v>
      </c>
      <c r="N7" s="195">
        <f>L7*H7</f>
        <v>14076</v>
      </c>
      <c r="O7" s="181"/>
      <c r="P7" s="181"/>
      <c r="Q7" s="175">
        <f>N7/O2</f>
        <v>1.7492233130359141</v>
      </c>
      <c r="R7" s="190">
        <v>3</v>
      </c>
      <c r="S7" s="40" t="s">
        <v>365</v>
      </c>
      <c r="T7" s="85" t="s">
        <v>366</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181"/>
      <c r="C8" s="181"/>
      <c r="D8" s="181"/>
      <c r="E8" s="181"/>
      <c r="F8" s="181"/>
      <c r="G8" s="181"/>
      <c r="H8" s="181"/>
      <c r="I8" s="181"/>
      <c r="J8" s="181"/>
      <c r="K8" s="181"/>
      <c r="L8" s="181"/>
      <c r="M8" s="181"/>
      <c r="N8" s="181"/>
      <c r="O8" s="181"/>
      <c r="P8" s="181"/>
      <c r="Q8" s="181"/>
      <c r="R8" s="181"/>
      <c r="S8" s="14" t="s">
        <v>368</v>
      </c>
      <c r="T8" s="85" t="s">
        <v>369</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181"/>
      <c r="C9" s="181"/>
      <c r="D9" s="176"/>
      <c r="E9" s="176"/>
      <c r="F9" s="176"/>
      <c r="G9" s="176"/>
      <c r="H9" s="181"/>
      <c r="I9" s="181"/>
      <c r="J9" s="176"/>
      <c r="K9" s="176"/>
      <c r="L9" s="176"/>
      <c r="M9" s="176"/>
      <c r="N9" s="176"/>
      <c r="O9" s="181"/>
      <c r="P9" s="181"/>
      <c r="Q9" s="176"/>
      <c r="R9" s="176"/>
      <c r="S9" s="40" t="s">
        <v>370</v>
      </c>
      <c r="T9" s="85" t="s">
        <v>372</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181"/>
      <c r="C10" s="181"/>
      <c r="D10" s="179" t="s">
        <v>373</v>
      </c>
      <c r="E10" s="179" t="s">
        <v>155</v>
      </c>
      <c r="F10" s="179" t="s">
        <v>9</v>
      </c>
      <c r="G10" s="182">
        <v>7</v>
      </c>
      <c r="H10" s="181"/>
      <c r="I10" s="181"/>
      <c r="J10" s="175" t="s">
        <v>375</v>
      </c>
      <c r="K10" s="179">
        <v>50</v>
      </c>
      <c r="L10" s="178">
        <v>46</v>
      </c>
      <c r="M10" s="179" t="s">
        <v>376</v>
      </c>
      <c r="N10" s="180">
        <f>L10*K10*G10</f>
        <v>16100</v>
      </c>
      <c r="O10" s="181"/>
      <c r="P10" s="181"/>
      <c r="Q10" s="175">
        <f>N10/O2</f>
        <v>2.0007456194855227</v>
      </c>
      <c r="R10" s="190">
        <v>2</v>
      </c>
      <c r="S10" s="44" t="s">
        <v>213</v>
      </c>
      <c r="T10" s="44" t="s">
        <v>377</v>
      </c>
      <c r="U10" s="85"/>
      <c r="V10" s="85"/>
      <c r="W10" s="85"/>
      <c r="X10" s="85"/>
      <c r="Y10" s="85"/>
      <c r="Z10" s="85"/>
      <c r="AA10" s="85"/>
      <c r="AB10" s="85"/>
      <c r="AC10" s="85"/>
      <c r="AD10" s="85"/>
      <c r="AE10" s="85"/>
      <c r="AF10" s="85"/>
      <c r="AG10" s="85"/>
      <c r="AH10" s="85"/>
      <c r="AI10" s="85"/>
      <c r="AJ10" s="85"/>
      <c r="AK10" s="85"/>
      <c r="AL10" s="85"/>
      <c r="AM10" s="85"/>
      <c r="AN10" s="85"/>
    </row>
    <row r="11" spans="1:40" ht="14.25" customHeight="1" x14ac:dyDescent="0.2">
      <c r="A11" s="181"/>
      <c r="B11" s="181"/>
      <c r="C11" s="181"/>
      <c r="D11" s="181"/>
      <c r="E11" s="181"/>
      <c r="F11" s="181"/>
      <c r="G11" s="181"/>
      <c r="H11" s="181"/>
      <c r="I11" s="181"/>
      <c r="J11" s="181"/>
      <c r="K11" s="181"/>
      <c r="L11" s="181"/>
      <c r="M11" s="181"/>
      <c r="N11" s="181"/>
      <c r="O11" s="181"/>
      <c r="P11" s="181"/>
      <c r="Q11" s="181"/>
      <c r="R11" s="181"/>
      <c r="S11" s="86" t="s">
        <v>378</v>
      </c>
      <c r="T11" s="44" t="s">
        <v>379</v>
      </c>
      <c r="U11" s="85"/>
      <c r="V11" s="85"/>
      <c r="W11" s="85"/>
      <c r="X11" s="85"/>
      <c r="Y11" s="85"/>
      <c r="Z11" s="85"/>
      <c r="AA11" s="85"/>
      <c r="AB11" s="85"/>
      <c r="AC11" s="85"/>
      <c r="AD11" s="85"/>
      <c r="AE11" s="85"/>
      <c r="AF11" s="85"/>
      <c r="AG11" s="85"/>
      <c r="AH11" s="85"/>
      <c r="AI11" s="85"/>
      <c r="AJ11" s="85"/>
      <c r="AK11" s="85"/>
      <c r="AL11" s="85"/>
      <c r="AM11" s="85"/>
      <c r="AN11" s="85"/>
    </row>
    <row r="12" spans="1:40" ht="14.25" customHeight="1" x14ac:dyDescent="0.2">
      <c r="A12" s="181"/>
      <c r="B12" s="181"/>
      <c r="C12" s="181"/>
      <c r="D12" s="176"/>
      <c r="E12" s="176"/>
      <c r="F12" s="176"/>
      <c r="G12" s="176"/>
      <c r="H12" s="181"/>
      <c r="I12" s="181"/>
      <c r="J12" s="176"/>
      <c r="K12" s="176"/>
      <c r="L12" s="176"/>
      <c r="M12" s="176"/>
      <c r="N12" s="176"/>
      <c r="O12" s="181"/>
      <c r="P12" s="181"/>
      <c r="Q12" s="176"/>
      <c r="R12" s="176"/>
      <c r="S12" s="44" t="s">
        <v>181</v>
      </c>
      <c r="T12" s="44" t="s">
        <v>381</v>
      </c>
      <c r="U12" s="85"/>
      <c r="V12" s="85"/>
      <c r="W12" s="85"/>
      <c r="X12" s="85"/>
      <c r="Y12" s="85"/>
      <c r="Z12" s="85"/>
      <c r="AA12" s="85"/>
      <c r="AB12" s="85"/>
      <c r="AC12" s="85"/>
      <c r="AD12" s="85"/>
      <c r="AE12" s="85"/>
      <c r="AF12" s="85"/>
      <c r="AG12" s="85"/>
      <c r="AH12" s="85"/>
      <c r="AI12" s="85"/>
      <c r="AJ12" s="85"/>
      <c r="AK12" s="85"/>
      <c r="AL12" s="85"/>
      <c r="AM12" s="85"/>
      <c r="AN12" s="85"/>
    </row>
    <row r="13" spans="1:40" ht="14.25" customHeight="1" x14ac:dyDescent="0.2">
      <c r="A13" s="181"/>
      <c r="B13" s="181"/>
      <c r="C13" s="181"/>
      <c r="D13" s="179" t="s">
        <v>383</v>
      </c>
      <c r="E13" s="179" t="s">
        <v>155</v>
      </c>
      <c r="F13" s="179" t="s">
        <v>9</v>
      </c>
      <c r="G13" s="182">
        <v>72</v>
      </c>
      <c r="H13" s="181"/>
      <c r="I13" s="181"/>
      <c r="J13" s="175" t="s">
        <v>384</v>
      </c>
      <c r="K13" s="179">
        <v>21.25</v>
      </c>
      <c r="L13" s="178">
        <v>5.7</v>
      </c>
      <c r="M13" s="179" t="s">
        <v>385</v>
      </c>
      <c r="N13" s="180">
        <f>L13*K13*G13</f>
        <v>8721</v>
      </c>
      <c r="O13" s="181"/>
      <c r="P13" s="181"/>
      <c r="Q13" s="175">
        <f>N13/O2</f>
        <v>1.0837579222070337</v>
      </c>
      <c r="R13" s="190">
        <v>2</v>
      </c>
      <c r="S13" s="44" t="s">
        <v>181</v>
      </c>
      <c r="T13" s="44" t="s">
        <v>387</v>
      </c>
      <c r="U13" s="85"/>
      <c r="V13" s="85"/>
      <c r="W13" s="85"/>
      <c r="X13" s="85"/>
      <c r="Y13" s="85"/>
      <c r="Z13" s="85"/>
      <c r="AA13" s="85"/>
      <c r="AB13" s="85"/>
      <c r="AC13" s="85"/>
      <c r="AD13" s="85"/>
      <c r="AE13" s="85"/>
      <c r="AF13" s="85"/>
      <c r="AG13" s="85"/>
      <c r="AH13" s="85"/>
      <c r="AI13" s="85"/>
      <c r="AJ13" s="85"/>
      <c r="AK13" s="85"/>
      <c r="AL13" s="85"/>
      <c r="AM13" s="85"/>
      <c r="AN13" s="85"/>
    </row>
    <row r="14" spans="1:40" ht="14.25" customHeight="1" x14ac:dyDescent="0.2">
      <c r="A14" s="181"/>
      <c r="B14" s="181"/>
      <c r="C14" s="181"/>
      <c r="D14" s="181"/>
      <c r="E14" s="181"/>
      <c r="F14" s="181"/>
      <c r="G14" s="181"/>
      <c r="H14" s="181"/>
      <c r="I14" s="181"/>
      <c r="J14" s="181"/>
      <c r="K14" s="181"/>
      <c r="L14" s="181"/>
      <c r="M14" s="181"/>
      <c r="N14" s="181"/>
      <c r="O14" s="181"/>
      <c r="P14" s="181"/>
      <c r="Q14" s="181"/>
      <c r="R14" s="181"/>
      <c r="S14" s="86" t="s">
        <v>224</v>
      </c>
      <c r="T14" s="44" t="s">
        <v>390</v>
      </c>
      <c r="U14" s="85"/>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181"/>
      <c r="C15" s="181"/>
      <c r="D15" s="181"/>
      <c r="E15" s="181"/>
      <c r="F15" s="181"/>
      <c r="G15" s="181"/>
      <c r="H15" s="181"/>
      <c r="I15" s="181"/>
      <c r="J15" s="181"/>
      <c r="K15" s="181"/>
      <c r="L15" s="181"/>
      <c r="M15" s="181"/>
      <c r="N15" s="181"/>
      <c r="O15" s="181"/>
      <c r="P15" s="181"/>
      <c r="Q15" s="181"/>
      <c r="R15" s="181"/>
      <c r="S15" s="44" t="s">
        <v>229</v>
      </c>
      <c r="T15" s="44" t="s">
        <v>393</v>
      </c>
      <c r="U15" s="85"/>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176"/>
      <c r="C16" s="197"/>
      <c r="D16" s="181"/>
      <c r="E16" s="181"/>
      <c r="F16" s="181"/>
      <c r="G16" s="197"/>
      <c r="H16" s="176"/>
      <c r="I16" s="176"/>
      <c r="J16" s="181"/>
      <c r="K16" s="181"/>
      <c r="L16" s="181"/>
      <c r="M16" s="181"/>
      <c r="N16" s="181"/>
      <c r="O16" s="181"/>
      <c r="P16" s="181"/>
      <c r="Q16" s="181"/>
      <c r="R16" s="197"/>
      <c r="S16" s="86" t="s">
        <v>216</v>
      </c>
      <c r="T16" s="44" t="s">
        <v>217</v>
      </c>
      <c r="U16" s="85"/>
      <c r="V16" s="85"/>
      <c r="W16" s="85"/>
      <c r="X16" s="85"/>
      <c r="Y16" s="85"/>
      <c r="Z16" s="85"/>
      <c r="AA16" s="85"/>
      <c r="AB16" s="85"/>
      <c r="AC16" s="85"/>
      <c r="AD16" s="85"/>
      <c r="AE16" s="85"/>
      <c r="AF16" s="85"/>
      <c r="AG16" s="85"/>
      <c r="AH16" s="85"/>
      <c r="AI16" s="85"/>
      <c r="AJ16" s="85"/>
      <c r="AK16" s="85"/>
      <c r="AL16" s="85"/>
      <c r="AM16" s="85"/>
      <c r="AN16" s="85"/>
    </row>
    <row r="17" spans="1:40" ht="15" customHeight="1" x14ac:dyDescent="0.2">
      <c r="A17" s="181"/>
      <c r="B17" s="183" t="s">
        <v>251</v>
      </c>
      <c r="C17" s="184" t="s">
        <v>252</v>
      </c>
      <c r="D17" s="179" t="s">
        <v>398</v>
      </c>
      <c r="E17" s="179" t="s">
        <v>140</v>
      </c>
      <c r="F17" s="179" t="s">
        <v>399</v>
      </c>
      <c r="G17" s="182">
        <v>1</v>
      </c>
      <c r="H17" s="182">
        <v>8600</v>
      </c>
      <c r="I17" s="183" t="s">
        <v>166</v>
      </c>
      <c r="J17" s="175">
        <v>0.66666666666666663</v>
      </c>
      <c r="K17" s="179" t="s">
        <v>27</v>
      </c>
      <c r="L17" s="178">
        <v>150</v>
      </c>
      <c r="M17" s="179" t="s">
        <v>403</v>
      </c>
      <c r="N17" s="180">
        <f>L17*H17*J17</f>
        <v>860000</v>
      </c>
      <c r="O17" s="181"/>
      <c r="P17" s="181"/>
      <c r="Q17" s="198">
        <f>N17/O2</f>
        <v>106.87212625823288</v>
      </c>
      <c r="R17" s="190">
        <v>5</v>
      </c>
      <c r="S17" s="40" t="s">
        <v>259</v>
      </c>
      <c r="T17" s="14" t="s">
        <v>260</v>
      </c>
      <c r="U17" s="61"/>
      <c r="V17" s="61"/>
      <c r="W17" s="61"/>
      <c r="X17" s="61"/>
      <c r="Y17" s="61"/>
      <c r="Z17" s="61"/>
      <c r="AA17" s="61"/>
      <c r="AB17" s="61"/>
      <c r="AC17" s="61"/>
      <c r="AD17" s="61"/>
      <c r="AE17" s="61"/>
      <c r="AF17" s="61"/>
      <c r="AG17" s="61"/>
      <c r="AH17" s="61"/>
      <c r="AI17" s="61"/>
      <c r="AJ17" s="61"/>
      <c r="AK17" s="61"/>
      <c r="AL17" s="61"/>
      <c r="AM17" s="85"/>
      <c r="AN17" s="85"/>
    </row>
    <row r="18" spans="1:40" ht="15" customHeight="1" x14ac:dyDescent="0.2">
      <c r="A18" s="181"/>
      <c r="B18" s="181"/>
      <c r="C18" s="181"/>
      <c r="D18" s="176"/>
      <c r="E18" s="176"/>
      <c r="F18" s="176"/>
      <c r="G18" s="181"/>
      <c r="H18" s="181"/>
      <c r="I18" s="181"/>
      <c r="J18" s="176"/>
      <c r="K18" s="176"/>
      <c r="L18" s="176"/>
      <c r="M18" s="176"/>
      <c r="N18" s="176"/>
      <c r="O18" s="181"/>
      <c r="P18" s="181"/>
      <c r="Q18" s="176"/>
      <c r="R18" s="176"/>
      <c r="S18" s="40" t="s">
        <v>262</v>
      </c>
      <c r="T18" s="14" t="s">
        <v>407</v>
      </c>
      <c r="U18" s="61"/>
      <c r="V18" s="61"/>
      <c r="W18" s="61"/>
      <c r="X18" s="61"/>
      <c r="Y18" s="61"/>
      <c r="Z18" s="61"/>
      <c r="AA18" s="61"/>
      <c r="AB18" s="61"/>
      <c r="AC18" s="61"/>
      <c r="AD18" s="61"/>
      <c r="AE18" s="61"/>
      <c r="AF18" s="61"/>
      <c r="AG18" s="61"/>
      <c r="AH18" s="61"/>
      <c r="AI18" s="61"/>
      <c r="AJ18" s="61"/>
      <c r="AK18" s="61"/>
      <c r="AL18" s="61"/>
      <c r="AM18" s="85"/>
      <c r="AN18" s="85"/>
    </row>
    <row r="19" spans="1:40" ht="15" customHeight="1" x14ac:dyDescent="0.2">
      <c r="A19" s="181"/>
      <c r="B19" s="197"/>
      <c r="C19" s="176"/>
      <c r="D19" s="50" t="s">
        <v>409</v>
      </c>
      <c r="E19" s="50" t="s">
        <v>155</v>
      </c>
      <c r="F19" s="50" t="s">
        <v>156</v>
      </c>
      <c r="G19" s="176"/>
      <c r="H19" s="176"/>
      <c r="I19" s="176"/>
      <c r="J19" s="51" t="s">
        <v>27</v>
      </c>
      <c r="K19" s="50" t="s">
        <v>27</v>
      </c>
      <c r="L19" s="53">
        <v>1.9</v>
      </c>
      <c r="M19" s="14" t="s">
        <v>410</v>
      </c>
      <c r="N19" s="54">
        <f>L19*H17</f>
        <v>16340</v>
      </c>
      <c r="O19" s="181"/>
      <c r="P19" s="181"/>
      <c r="Q19" s="57">
        <f>N19/O2</f>
        <v>2.0305703989064248</v>
      </c>
      <c r="R19" s="71">
        <v>3</v>
      </c>
      <c r="S19" s="40" t="s">
        <v>414</v>
      </c>
      <c r="T19" s="14" t="s">
        <v>415</v>
      </c>
      <c r="U19" s="61"/>
      <c r="V19" s="61"/>
      <c r="W19" s="61"/>
      <c r="X19" s="61"/>
      <c r="Y19" s="61"/>
      <c r="Z19" s="61"/>
      <c r="AA19" s="61"/>
      <c r="AB19" s="61"/>
      <c r="AC19" s="61"/>
      <c r="AD19" s="61"/>
      <c r="AE19" s="61"/>
      <c r="AF19" s="61"/>
      <c r="AG19" s="61"/>
      <c r="AH19" s="61"/>
      <c r="AI19" s="61"/>
      <c r="AJ19" s="61"/>
      <c r="AK19" s="61"/>
      <c r="AL19" s="61"/>
      <c r="AM19" s="85"/>
      <c r="AN19" s="85"/>
    </row>
    <row r="20" spans="1:40" ht="14.25" customHeight="1" x14ac:dyDescent="0.2">
      <c r="A20" s="181"/>
      <c r="B20" s="183" t="s">
        <v>417</v>
      </c>
      <c r="C20" s="183" t="s">
        <v>418</v>
      </c>
      <c r="D20" s="179" t="s">
        <v>419</v>
      </c>
      <c r="E20" s="179" t="s">
        <v>155</v>
      </c>
      <c r="F20" s="179" t="s">
        <v>7</v>
      </c>
      <c r="G20" s="182">
        <v>6</v>
      </c>
      <c r="H20" s="178">
        <v>5.5</v>
      </c>
      <c r="I20" s="179" t="s">
        <v>166</v>
      </c>
      <c r="J20" s="175" t="s">
        <v>27</v>
      </c>
      <c r="K20" s="179" t="s">
        <v>27</v>
      </c>
      <c r="L20" s="178">
        <v>2.75</v>
      </c>
      <c r="M20" s="179" t="s">
        <v>422</v>
      </c>
      <c r="N20" s="180">
        <f>L20*G20*H20</f>
        <v>90.75</v>
      </c>
      <c r="O20" s="181"/>
      <c r="P20" s="181"/>
      <c r="Q20" s="175">
        <f>N20/O2</f>
        <v>1.1277494718528644E-2</v>
      </c>
      <c r="R20" s="190">
        <v>3</v>
      </c>
      <c r="S20" s="40" t="s">
        <v>424</v>
      </c>
      <c r="T20" s="14" t="s">
        <v>426</v>
      </c>
      <c r="U20" s="85"/>
      <c r="V20" s="85"/>
      <c r="W20" s="85"/>
      <c r="X20" s="85"/>
      <c r="Y20" s="85"/>
      <c r="Z20" s="85"/>
      <c r="AA20" s="85"/>
      <c r="AB20" s="85"/>
      <c r="AC20" s="85"/>
      <c r="AD20" s="85"/>
      <c r="AE20" s="85"/>
      <c r="AF20" s="85"/>
      <c r="AG20" s="85"/>
      <c r="AH20" s="85"/>
      <c r="AI20" s="85"/>
      <c r="AJ20" s="85"/>
      <c r="AK20" s="85"/>
      <c r="AL20" s="85"/>
      <c r="AM20" s="85"/>
      <c r="AN20" s="85"/>
    </row>
    <row r="21" spans="1:40" ht="14.25" customHeight="1" x14ac:dyDescent="0.2">
      <c r="A21" s="181"/>
      <c r="B21" s="181"/>
      <c r="C21" s="181"/>
      <c r="D21" s="181"/>
      <c r="E21" s="181"/>
      <c r="F21" s="181"/>
      <c r="G21" s="181"/>
      <c r="H21" s="181"/>
      <c r="I21" s="181"/>
      <c r="J21" s="181"/>
      <c r="K21" s="181"/>
      <c r="L21" s="181"/>
      <c r="M21" s="181"/>
      <c r="N21" s="181"/>
      <c r="O21" s="181"/>
      <c r="P21" s="181"/>
      <c r="Q21" s="181"/>
      <c r="R21" s="176"/>
      <c r="S21" s="14" t="s">
        <v>429</v>
      </c>
      <c r="T21" s="14" t="s">
        <v>430</v>
      </c>
      <c r="U21" s="85"/>
      <c r="V21" s="85"/>
      <c r="W21" s="85"/>
      <c r="X21" s="85"/>
      <c r="Y21" s="85"/>
      <c r="Z21" s="85"/>
      <c r="AA21" s="85"/>
      <c r="AB21" s="85"/>
      <c r="AC21" s="85"/>
      <c r="AD21" s="85"/>
      <c r="AE21" s="85"/>
      <c r="AF21" s="85"/>
      <c r="AG21" s="85"/>
      <c r="AH21" s="85"/>
      <c r="AI21" s="85"/>
      <c r="AJ21" s="85"/>
      <c r="AK21" s="85"/>
      <c r="AL21" s="85"/>
      <c r="AM21" s="85"/>
      <c r="AN21" s="85"/>
    </row>
    <row r="22" spans="1:40" ht="14.25" customHeight="1" x14ac:dyDescent="0.2">
      <c r="A22" s="181"/>
      <c r="B22" s="181"/>
      <c r="C22" s="181"/>
      <c r="D22" s="179" t="s">
        <v>433</v>
      </c>
      <c r="E22" s="179" t="s">
        <v>434</v>
      </c>
      <c r="F22" s="179" t="s">
        <v>435</v>
      </c>
      <c r="G22" s="181"/>
      <c r="H22" s="178">
        <v>1.75</v>
      </c>
      <c r="I22" s="179" t="s">
        <v>166</v>
      </c>
      <c r="J22" s="175">
        <v>2.0833333333333332E-2</v>
      </c>
      <c r="K22" s="193" t="s">
        <v>27</v>
      </c>
      <c r="L22" s="194">
        <v>158</v>
      </c>
      <c r="M22" s="193" t="s">
        <v>437</v>
      </c>
      <c r="N22" s="180">
        <f>L22*J22*H22*G20*2</f>
        <v>69.125</v>
      </c>
      <c r="O22" s="181"/>
      <c r="P22" s="181"/>
      <c r="Q22" s="175">
        <f>N22/O2</f>
        <v>8.5901578227911019E-3</v>
      </c>
      <c r="R22" s="190">
        <v>3</v>
      </c>
      <c r="S22" s="14" t="s">
        <v>439</v>
      </c>
      <c r="T22" s="14" t="s">
        <v>440</v>
      </c>
      <c r="U22" s="85"/>
      <c r="V22" s="85"/>
      <c r="W22" s="85"/>
      <c r="X22" s="85"/>
      <c r="Y22" s="85"/>
      <c r="Z22" s="85"/>
      <c r="AA22" s="85"/>
      <c r="AB22" s="85"/>
      <c r="AC22" s="85"/>
      <c r="AD22" s="85"/>
      <c r="AE22" s="85"/>
      <c r="AF22" s="85"/>
      <c r="AG22" s="85"/>
      <c r="AH22" s="85"/>
      <c r="AI22" s="85"/>
      <c r="AJ22" s="85"/>
      <c r="AK22" s="85"/>
      <c r="AL22" s="85"/>
      <c r="AM22" s="85"/>
      <c r="AN22" s="85"/>
    </row>
    <row r="23" spans="1:40" ht="14.25" customHeight="1" x14ac:dyDescent="0.2">
      <c r="A23" s="181"/>
      <c r="B23" s="181"/>
      <c r="C23" s="181"/>
      <c r="D23" s="181"/>
      <c r="E23" s="181"/>
      <c r="F23" s="181"/>
      <c r="G23" s="181"/>
      <c r="H23" s="181"/>
      <c r="I23" s="181"/>
      <c r="J23" s="181"/>
      <c r="K23" s="181"/>
      <c r="L23" s="181"/>
      <c r="M23" s="181"/>
      <c r="N23" s="181"/>
      <c r="O23" s="181"/>
      <c r="P23" s="181"/>
      <c r="Q23" s="181"/>
      <c r="R23" s="181"/>
      <c r="S23" s="14" t="s">
        <v>443</v>
      </c>
      <c r="T23" s="14" t="s">
        <v>444</v>
      </c>
      <c r="U23" s="85"/>
      <c r="V23" s="85"/>
      <c r="W23" s="85"/>
      <c r="X23" s="85"/>
      <c r="Y23" s="85"/>
      <c r="Z23" s="85"/>
      <c r="AA23" s="85"/>
      <c r="AB23" s="85"/>
      <c r="AC23" s="85"/>
      <c r="AD23" s="85"/>
      <c r="AE23" s="85"/>
      <c r="AF23" s="85"/>
      <c r="AG23" s="85"/>
      <c r="AH23" s="85"/>
      <c r="AI23" s="85"/>
      <c r="AJ23" s="85"/>
      <c r="AK23" s="85"/>
      <c r="AL23" s="85"/>
      <c r="AM23" s="85"/>
      <c r="AN23" s="85"/>
    </row>
    <row r="24" spans="1:40" ht="14.25" customHeight="1" x14ac:dyDescent="0.2">
      <c r="A24" s="181"/>
      <c r="B24" s="181"/>
      <c r="C24" s="181"/>
      <c r="D24" s="181"/>
      <c r="E24" s="181"/>
      <c r="F24" s="181"/>
      <c r="G24" s="181"/>
      <c r="H24" s="181"/>
      <c r="I24" s="181"/>
      <c r="J24" s="181"/>
      <c r="K24" s="181"/>
      <c r="L24" s="181"/>
      <c r="M24" s="181"/>
      <c r="N24" s="181"/>
      <c r="O24" s="181"/>
      <c r="P24" s="181"/>
      <c r="Q24" s="181"/>
      <c r="R24" s="181"/>
      <c r="S24" s="40" t="s">
        <v>447</v>
      </c>
      <c r="T24" s="14" t="s">
        <v>449</v>
      </c>
      <c r="U24" s="85"/>
      <c r="V24" s="85"/>
      <c r="W24" s="85"/>
      <c r="X24" s="85"/>
      <c r="Y24" s="85"/>
      <c r="Z24" s="85"/>
      <c r="AA24" s="85"/>
      <c r="AB24" s="85"/>
      <c r="AC24" s="85"/>
      <c r="AD24" s="85"/>
      <c r="AE24" s="85"/>
      <c r="AF24" s="85"/>
      <c r="AG24" s="85"/>
      <c r="AH24" s="85"/>
      <c r="AI24" s="85"/>
      <c r="AJ24" s="85"/>
      <c r="AK24" s="85"/>
      <c r="AL24" s="85"/>
      <c r="AM24" s="85"/>
      <c r="AN24" s="85"/>
    </row>
    <row r="25" spans="1:40" ht="14.25" customHeight="1" x14ac:dyDescent="0.2">
      <c r="A25" s="181"/>
      <c r="B25" s="181"/>
      <c r="C25" s="181"/>
      <c r="D25" s="181"/>
      <c r="E25" s="181"/>
      <c r="F25" s="181"/>
      <c r="G25" s="181"/>
      <c r="H25" s="181"/>
      <c r="I25" s="181"/>
      <c r="J25" s="181"/>
      <c r="K25" s="181"/>
      <c r="L25" s="181"/>
      <c r="M25" s="181"/>
      <c r="N25" s="181"/>
      <c r="O25" s="181"/>
      <c r="P25" s="181"/>
      <c r="Q25" s="181"/>
      <c r="R25" s="181"/>
      <c r="S25" s="14" t="s">
        <v>451</v>
      </c>
      <c r="T25" s="14" t="s">
        <v>452</v>
      </c>
      <c r="U25" s="85"/>
      <c r="V25" s="85"/>
      <c r="W25" s="85"/>
      <c r="X25" s="85"/>
      <c r="Y25" s="85"/>
      <c r="Z25" s="85"/>
      <c r="AA25" s="85"/>
      <c r="AB25" s="85"/>
      <c r="AC25" s="85"/>
      <c r="AD25" s="85"/>
      <c r="AE25" s="85"/>
      <c r="AF25" s="85"/>
      <c r="AG25" s="85"/>
      <c r="AH25" s="85"/>
      <c r="AI25" s="85"/>
      <c r="AJ25" s="85"/>
      <c r="AK25" s="85"/>
      <c r="AL25" s="85"/>
      <c r="AM25" s="85"/>
      <c r="AN25" s="85"/>
    </row>
    <row r="26" spans="1:40" ht="14.25" customHeight="1" x14ac:dyDescent="0.2">
      <c r="A26" s="181"/>
      <c r="B26" s="181"/>
      <c r="C26" s="181"/>
      <c r="D26" s="181"/>
      <c r="E26" s="176"/>
      <c r="F26" s="176"/>
      <c r="G26" s="181"/>
      <c r="H26" s="181"/>
      <c r="I26" s="181"/>
      <c r="J26" s="176"/>
      <c r="K26" s="176"/>
      <c r="L26" s="176"/>
      <c r="M26" s="176"/>
      <c r="N26" s="176"/>
      <c r="O26" s="181"/>
      <c r="P26" s="181"/>
      <c r="Q26" s="176"/>
      <c r="R26" s="176"/>
      <c r="S26" s="14"/>
      <c r="T26" s="85" t="s">
        <v>454</v>
      </c>
      <c r="U26" s="85"/>
      <c r="V26" s="85"/>
      <c r="W26" s="85"/>
      <c r="X26" s="85"/>
      <c r="Y26" s="85"/>
      <c r="Z26" s="85"/>
      <c r="AA26" s="85"/>
      <c r="AB26" s="85"/>
      <c r="AC26" s="85"/>
      <c r="AD26" s="85"/>
      <c r="AE26" s="85"/>
      <c r="AF26" s="85"/>
      <c r="AG26" s="85"/>
      <c r="AH26" s="85"/>
      <c r="AI26" s="85"/>
      <c r="AJ26" s="85"/>
      <c r="AK26" s="85"/>
      <c r="AL26" s="85"/>
      <c r="AM26" s="85"/>
      <c r="AN26" s="85"/>
    </row>
    <row r="27" spans="1:40" ht="17.25" customHeight="1" x14ac:dyDescent="0.2">
      <c r="A27" s="181"/>
      <c r="B27" s="176"/>
      <c r="C27" s="176"/>
      <c r="D27" s="181"/>
      <c r="E27" s="34" t="s">
        <v>287</v>
      </c>
      <c r="F27" s="34" t="s">
        <v>19</v>
      </c>
      <c r="G27" s="176"/>
      <c r="H27" s="176"/>
      <c r="I27" s="176"/>
      <c r="J27" s="36">
        <v>2.5000000000000001E-3</v>
      </c>
      <c r="K27" s="34" t="s">
        <v>27</v>
      </c>
      <c r="L27" s="35">
        <v>0.17</v>
      </c>
      <c r="M27" s="34" t="s">
        <v>458</v>
      </c>
      <c r="N27" s="55">
        <f>L27*H22*G20*2</f>
        <v>3.5700000000000003</v>
      </c>
      <c r="O27" s="181"/>
      <c r="P27" s="181"/>
      <c r="Q27" s="36">
        <f>N27/O2</f>
        <v>4.4364359388592028E-4</v>
      </c>
      <c r="R27" s="62">
        <v>3</v>
      </c>
      <c r="S27" s="40" t="s">
        <v>460</v>
      </c>
      <c r="T27" s="14" t="s">
        <v>461</v>
      </c>
      <c r="U27" s="85"/>
      <c r="V27" s="85"/>
      <c r="W27" s="85"/>
      <c r="X27" s="85"/>
      <c r="Y27" s="85"/>
      <c r="Z27" s="85"/>
      <c r="AA27" s="85"/>
      <c r="AB27" s="85"/>
      <c r="AC27" s="85"/>
      <c r="AD27" s="85"/>
      <c r="AE27" s="85"/>
      <c r="AF27" s="85"/>
      <c r="AG27" s="85"/>
      <c r="AH27" s="85"/>
      <c r="AI27" s="85"/>
      <c r="AJ27" s="85"/>
      <c r="AK27" s="85"/>
      <c r="AL27" s="85"/>
      <c r="AM27" s="85"/>
      <c r="AN27" s="85"/>
    </row>
    <row r="28" spans="1:40" ht="14.25" customHeight="1" x14ac:dyDescent="0.2">
      <c r="A28" s="181"/>
      <c r="B28" s="68" t="s">
        <v>463</v>
      </c>
      <c r="C28" s="68" t="s">
        <v>300</v>
      </c>
      <c r="D28" s="50" t="s">
        <v>301</v>
      </c>
      <c r="E28" s="50" t="s">
        <v>27</v>
      </c>
      <c r="F28" s="50" t="s">
        <v>27</v>
      </c>
      <c r="G28" s="70">
        <v>9</v>
      </c>
      <c r="H28" s="59">
        <v>21</v>
      </c>
      <c r="I28" s="50" t="s">
        <v>166</v>
      </c>
      <c r="J28" s="51" t="s">
        <v>27</v>
      </c>
      <c r="K28" s="50" t="s">
        <v>27</v>
      </c>
      <c r="L28" s="53" t="s">
        <v>27</v>
      </c>
      <c r="M28" s="50" t="s">
        <v>304</v>
      </c>
      <c r="N28" s="72">
        <f>G28*H28</f>
        <v>189</v>
      </c>
      <c r="O28" s="181"/>
      <c r="P28" s="181"/>
      <c r="Q28" s="51">
        <f>N28/$O$2</f>
        <v>2.3487013793960482E-2</v>
      </c>
      <c r="R28" s="71">
        <v>4</v>
      </c>
      <c r="S28" s="14" t="s">
        <v>307</v>
      </c>
      <c r="T28" s="14" t="s">
        <v>308</v>
      </c>
      <c r="U28" s="85"/>
      <c r="V28" s="85"/>
      <c r="W28" s="85"/>
      <c r="X28" s="85"/>
      <c r="Y28" s="85"/>
      <c r="Z28" s="85"/>
      <c r="AA28" s="85"/>
      <c r="AB28" s="85"/>
      <c r="AC28" s="85"/>
      <c r="AD28" s="85"/>
      <c r="AE28" s="85"/>
      <c r="AF28" s="85"/>
      <c r="AG28" s="85"/>
      <c r="AH28" s="85"/>
      <c r="AI28" s="85"/>
      <c r="AJ28" s="85"/>
      <c r="AK28" s="85"/>
      <c r="AL28" s="85"/>
      <c r="AM28" s="85"/>
      <c r="AN28" s="85"/>
    </row>
    <row r="29" spans="1:40" ht="14.25" customHeight="1" x14ac:dyDescent="0.2">
      <c r="A29" s="181"/>
      <c r="B29" s="184" t="s">
        <v>463</v>
      </c>
      <c r="C29" s="184" t="s">
        <v>470</v>
      </c>
      <c r="D29" s="179" t="s">
        <v>472</v>
      </c>
      <c r="E29" s="179" t="s">
        <v>27</v>
      </c>
      <c r="F29" s="179" t="s">
        <v>27</v>
      </c>
      <c r="G29" s="182">
        <v>5</v>
      </c>
      <c r="H29" s="194">
        <v>31.807834201388889</v>
      </c>
      <c r="I29" s="179" t="s">
        <v>166</v>
      </c>
      <c r="J29" s="175" t="s">
        <v>27</v>
      </c>
      <c r="K29" s="179" t="s">
        <v>27</v>
      </c>
      <c r="L29" s="178" t="s">
        <v>27</v>
      </c>
      <c r="M29" s="179" t="s">
        <v>474</v>
      </c>
      <c r="N29" s="180">
        <f>H29*G29</f>
        <v>159.03917100694446</v>
      </c>
      <c r="O29" s="181"/>
      <c r="P29" s="181"/>
      <c r="Q29" s="175">
        <f>N29/O2</f>
        <v>1.9763784144021929E-2</v>
      </c>
      <c r="R29" s="191">
        <v>5</v>
      </c>
      <c r="S29" s="40" t="s">
        <v>476</v>
      </c>
      <c r="T29" s="14" t="s">
        <v>477</v>
      </c>
      <c r="U29" s="85"/>
      <c r="V29" s="85"/>
      <c r="W29" s="85"/>
      <c r="X29" s="85"/>
      <c r="Y29" s="85"/>
      <c r="Z29" s="85"/>
      <c r="AA29" s="85"/>
      <c r="AB29" s="85"/>
      <c r="AC29" s="85"/>
      <c r="AD29" s="85"/>
      <c r="AE29" s="85"/>
      <c r="AF29" s="85"/>
      <c r="AG29" s="85"/>
      <c r="AH29" s="85"/>
      <c r="AI29" s="85"/>
      <c r="AJ29" s="85"/>
      <c r="AK29" s="85"/>
      <c r="AL29" s="85"/>
      <c r="AM29" s="85"/>
      <c r="AN29" s="85"/>
    </row>
    <row r="30" spans="1:40" ht="14.25" customHeight="1" x14ac:dyDescent="0.2">
      <c r="A30" s="181"/>
      <c r="B30" s="176"/>
      <c r="C30" s="176"/>
      <c r="D30" s="176"/>
      <c r="E30" s="176"/>
      <c r="F30" s="176"/>
      <c r="G30" s="176"/>
      <c r="H30" s="176"/>
      <c r="I30" s="176"/>
      <c r="J30" s="176"/>
      <c r="K30" s="176"/>
      <c r="L30" s="176"/>
      <c r="M30" s="176"/>
      <c r="N30" s="176"/>
      <c r="O30" s="181"/>
      <c r="P30" s="181"/>
      <c r="Q30" s="176"/>
      <c r="R30" s="176"/>
      <c r="S30" s="40" t="s">
        <v>481</v>
      </c>
      <c r="T30" s="14" t="s">
        <v>482</v>
      </c>
      <c r="U30" s="85"/>
      <c r="V30" s="85"/>
      <c r="W30" s="85"/>
      <c r="X30" s="85"/>
      <c r="Y30" s="85"/>
      <c r="Z30" s="85"/>
      <c r="AA30" s="85"/>
      <c r="AB30" s="85"/>
      <c r="AC30" s="85"/>
      <c r="AD30" s="85"/>
      <c r="AE30" s="85"/>
      <c r="AF30" s="85"/>
      <c r="AG30" s="85"/>
      <c r="AH30" s="85"/>
      <c r="AI30" s="85"/>
      <c r="AJ30" s="85"/>
      <c r="AK30" s="85"/>
      <c r="AL30" s="85"/>
      <c r="AM30" s="85"/>
      <c r="AN30" s="85"/>
    </row>
    <row r="31" spans="1:40" ht="14.25" customHeight="1" x14ac:dyDescent="0.2">
      <c r="A31" s="181"/>
      <c r="B31" s="183" t="s">
        <v>321</v>
      </c>
      <c r="C31" s="184" t="s">
        <v>484</v>
      </c>
      <c r="D31" s="179" t="s">
        <v>286</v>
      </c>
      <c r="E31" s="179" t="s">
        <v>287</v>
      </c>
      <c r="F31" s="179" t="s">
        <v>10</v>
      </c>
      <c r="G31" s="178">
        <v>2</v>
      </c>
      <c r="H31" s="182">
        <v>8500</v>
      </c>
      <c r="I31" s="183" t="s">
        <v>166</v>
      </c>
      <c r="J31" s="175">
        <v>0.125</v>
      </c>
      <c r="K31" s="179" t="s">
        <v>27</v>
      </c>
      <c r="L31" s="178">
        <v>2.5</v>
      </c>
      <c r="M31" s="179" t="s">
        <v>487</v>
      </c>
      <c r="N31" s="180">
        <f>H31*L31*(J31)*G31</f>
        <v>5312.5</v>
      </c>
      <c r="O31" s="181"/>
      <c r="P31" s="181"/>
      <c r="Q31" s="175">
        <f>N31/$O$2</f>
        <v>0.66018391947309552</v>
      </c>
      <c r="R31" s="192">
        <v>3</v>
      </c>
      <c r="S31" s="14" t="s">
        <v>347</v>
      </c>
      <c r="T31" s="85" t="s">
        <v>490</v>
      </c>
      <c r="U31" s="85"/>
      <c r="V31" s="85"/>
      <c r="W31" s="85"/>
      <c r="X31" s="85"/>
      <c r="Y31" s="85"/>
      <c r="Z31" s="85"/>
      <c r="AA31" s="85"/>
      <c r="AB31" s="85"/>
      <c r="AC31" s="85"/>
      <c r="AD31" s="85"/>
      <c r="AE31" s="85"/>
      <c r="AF31" s="85"/>
      <c r="AG31" s="85"/>
      <c r="AH31" s="85"/>
      <c r="AI31" s="85"/>
      <c r="AJ31" s="85"/>
      <c r="AK31" s="85"/>
      <c r="AL31" s="85"/>
      <c r="AM31" s="85"/>
      <c r="AN31" s="85"/>
    </row>
    <row r="32" spans="1:40" ht="14.25" customHeight="1" x14ac:dyDescent="0.2">
      <c r="A32" s="181"/>
      <c r="B32" s="181"/>
      <c r="C32" s="181"/>
      <c r="D32" s="181"/>
      <c r="E32" s="181"/>
      <c r="F32" s="181"/>
      <c r="G32" s="181"/>
      <c r="H32" s="181"/>
      <c r="I32" s="181"/>
      <c r="J32" s="181"/>
      <c r="K32" s="181"/>
      <c r="L32" s="181"/>
      <c r="M32" s="181"/>
      <c r="N32" s="181"/>
      <c r="O32" s="181"/>
      <c r="P32" s="181"/>
      <c r="Q32" s="181"/>
      <c r="R32" s="181"/>
      <c r="S32" s="14" t="s">
        <v>349</v>
      </c>
      <c r="T32" s="85" t="s">
        <v>350</v>
      </c>
      <c r="U32" s="85"/>
      <c r="V32" s="85"/>
      <c r="W32" s="85"/>
      <c r="X32" s="85"/>
      <c r="Y32" s="85"/>
      <c r="Z32" s="85"/>
      <c r="AA32" s="85"/>
      <c r="AB32" s="85"/>
      <c r="AC32" s="85"/>
      <c r="AD32" s="85"/>
      <c r="AE32" s="85"/>
      <c r="AF32" s="85"/>
      <c r="AG32" s="85"/>
      <c r="AH32" s="85"/>
      <c r="AI32" s="85"/>
      <c r="AJ32" s="85"/>
      <c r="AK32" s="85"/>
      <c r="AL32" s="85"/>
      <c r="AM32" s="85"/>
      <c r="AN32" s="85"/>
    </row>
    <row r="33" spans="1:40" ht="14.25" customHeight="1" x14ac:dyDescent="0.2">
      <c r="A33" s="181"/>
      <c r="B33" s="181"/>
      <c r="C33" s="181"/>
      <c r="D33" s="176"/>
      <c r="E33" s="176"/>
      <c r="F33" s="176"/>
      <c r="G33" s="176"/>
      <c r="H33" s="181"/>
      <c r="I33" s="181"/>
      <c r="J33" s="176"/>
      <c r="K33" s="176"/>
      <c r="L33" s="176"/>
      <c r="M33" s="176"/>
      <c r="N33" s="176"/>
      <c r="O33" s="181"/>
      <c r="P33" s="181"/>
      <c r="Q33" s="176"/>
      <c r="R33" s="176"/>
      <c r="S33" s="14" t="s">
        <v>494</v>
      </c>
      <c r="T33" s="14" t="s">
        <v>495</v>
      </c>
      <c r="U33" s="85"/>
      <c r="V33" s="85"/>
      <c r="W33" s="85"/>
      <c r="X33" s="85"/>
      <c r="Y33" s="85"/>
      <c r="Z33" s="85"/>
      <c r="AA33" s="85"/>
      <c r="AB33" s="85"/>
      <c r="AC33" s="85"/>
      <c r="AD33" s="85"/>
      <c r="AE33" s="85"/>
      <c r="AF33" s="85"/>
      <c r="AG33" s="85"/>
      <c r="AH33" s="85"/>
      <c r="AI33" s="85"/>
      <c r="AJ33" s="85"/>
      <c r="AK33" s="85"/>
      <c r="AL33" s="85"/>
      <c r="AM33" s="85"/>
      <c r="AN33" s="85"/>
    </row>
    <row r="34" spans="1:40" ht="14.25" customHeight="1" x14ac:dyDescent="0.2">
      <c r="A34" s="181"/>
      <c r="B34" s="181"/>
      <c r="C34" s="181"/>
      <c r="D34" s="179" t="s">
        <v>498</v>
      </c>
      <c r="E34" s="179" t="s">
        <v>294</v>
      </c>
      <c r="F34" s="196" t="s">
        <v>12</v>
      </c>
      <c r="G34" s="178">
        <v>1</v>
      </c>
      <c r="H34" s="181"/>
      <c r="I34" s="181"/>
      <c r="J34" s="193">
        <v>4.1666666666666664E-2</v>
      </c>
      <c r="K34" s="179" t="s">
        <v>27</v>
      </c>
      <c r="L34" s="178">
        <v>2</v>
      </c>
      <c r="M34" s="179" t="s">
        <v>501</v>
      </c>
      <c r="N34" s="201">
        <f>H31*L34</f>
        <v>17000</v>
      </c>
      <c r="O34" s="181"/>
      <c r="P34" s="181"/>
      <c r="Q34" s="175">
        <f>N34/$O$2</f>
        <v>2.1125885423139059</v>
      </c>
      <c r="R34" s="191">
        <v>2</v>
      </c>
      <c r="S34" s="14" t="s">
        <v>503</v>
      </c>
      <c r="T34" s="85" t="s">
        <v>504</v>
      </c>
      <c r="U34" s="85"/>
      <c r="V34" s="85"/>
      <c r="W34" s="85"/>
      <c r="X34" s="85"/>
      <c r="Y34" s="85"/>
      <c r="Z34" s="85"/>
      <c r="AA34" s="85"/>
      <c r="AB34" s="85"/>
      <c r="AC34" s="85"/>
      <c r="AD34" s="85"/>
      <c r="AE34" s="85"/>
      <c r="AF34" s="85"/>
      <c r="AG34" s="85"/>
      <c r="AH34" s="85"/>
      <c r="AI34" s="85"/>
      <c r="AJ34" s="85"/>
      <c r="AK34" s="85"/>
      <c r="AL34" s="85"/>
      <c r="AM34" s="85"/>
      <c r="AN34" s="85"/>
    </row>
    <row r="35" spans="1:40" ht="14.25" customHeight="1" x14ac:dyDescent="0.2">
      <c r="A35" s="181"/>
      <c r="B35" s="181"/>
      <c r="C35" s="181"/>
      <c r="D35" s="181"/>
      <c r="E35" s="181"/>
      <c r="F35" s="181"/>
      <c r="G35" s="181"/>
      <c r="H35" s="181"/>
      <c r="I35" s="181"/>
      <c r="J35" s="181"/>
      <c r="K35" s="181"/>
      <c r="L35" s="181"/>
      <c r="M35" s="181"/>
      <c r="N35" s="181"/>
      <c r="O35" s="181"/>
      <c r="P35" s="181"/>
      <c r="Q35" s="181"/>
      <c r="R35" s="181"/>
      <c r="S35" s="14" t="s">
        <v>508</v>
      </c>
      <c r="T35" s="85" t="s">
        <v>509</v>
      </c>
      <c r="U35" s="85"/>
      <c r="V35" s="85"/>
      <c r="W35" s="85"/>
      <c r="X35" s="85"/>
      <c r="Y35" s="85"/>
      <c r="Z35" s="85"/>
      <c r="AA35" s="85"/>
      <c r="AB35" s="85"/>
      <c r="AC35" s="85"/>
      <c r="AD35" s="85"/>
      <c r="AE35" s="85"/>
      <c r="AF35" s="85"/>
      <c r="AG35" s="85"/>
      <c r="AH35" s="85"/>
      <c r="AI35" s="85"/>
      <c r="AJ35" s="85"/>
      <c r="AK35" s="85"/>
      <c r="AL35" s="85"/>
      <c r="AM35" s="85"/>
      <c r="AN35" s="85"/>
    </row>
    <row r="36" spans="1:40" ht="14.25" customHeight="1" x14ac:dyDescent="0.2">
      <c r="A36" s="181"/>
      <c r="B36" s="181"/>
      <c r="C36" s="181"/>
      <c r="D36" s="176"/>
      <c r="E36" s="176"/>
      <c r="F36" s="176"/>
      <c r="G36" s="176"/>
      <c r="H36" s="181"/>
      <c r="I36" s="181"/>
      <c r="J36" s="176"/>
      <c r="K36" s="176"/>
      <c r="L36" s="176"/>
      <c r="M36" s="176"/>
      <c r="N36" s="176"/>
      <c r="O36" s="181"/>
      <c r="P36" s="181"/>
      <c r="Q36" s="176"/>
      <c r="R36" s="176"/>
      <c r="S36" s="40" t="s">
        <v>510</v>
      </c>
      <c r="T36" s="85" t="s">
        <v>512</v>
      </c>
      <c r="U36" s="85"/>
      <c r="V36" s="85"/>
      <c r="W36" s="85"/>
      <c r="X36" s="85"/>
      <c r="Y36" s="85"/>
      <c r="Z36" s="85"/>
      <c r="AA36" s="85"/>
      <c r="AB36" s="85"/>
      <c r="AC36" s="85"/>
      <c r="AD36" s="85"/>
      <c r="AE36" s="85"/>
      <c r="AF36" s="85"/>
      <c r="AG36" s="85"/>
      <c r="AH36" s="85"/>
      <c r="AI36" s="85"/>
      <c r="AJ36" s="85"/>
      <c r="AK36" s="85"/>
      <c r="AL36" s="85"/>
      <c r="AM36" s="85"/>
      <c r="AN36" s="85"/>
    </row>
    <row r="37" spans="1:40" ht="15" customHeight="1" x14ac:dyDescent="0.2">
      <c r="A37" s="181"/>
      <c r="B37" s="181"/>
      <c r="C37" s="181"/>
      <c r="D37" s="179" t="s">
        <v>515</v>
      </c>
      <c r="E37" s="179" t="s">
        <v>516</v>
      </c>
      <c r="F37" s="179" t="s">
        <v>517</v>
      </c>
      <c r="G37" s="178">
        <v>1</v>
      </c>
      <c r="H37" s="181"/>
      <c r="I37" s="181"/>
      <c r="J37" s="175" t="s">
        <v>27</v>
      </c>
      <c r="K37" s="179" t="s">
        <v>27</v>
      </c>
      <c r="L37" s="178">
        <v>6.3</v>
      </c>
      <c r="M37" s="179" t="s">
        <v>518</v>
      </c>
      <c r="N37" s="180">
        <f>L37*H31</f>
        <v>53550</v>
      </c>
      <c r="O37" s="181"/>
      <c r="P37" s="181"/>
      <c r="Q37" s="175">
        <f>N37/$O$2</f>
        <v>6.654653908288803</v>
      </c>
      <c r="R37" s="191">
        <v>5</v>
      </c>
      <c r="S37" s="14" t="s">
        <v>521</v>
      </c>
      <c r="T37" s="85" t="s">
        <v>522</v>
      </c>
      <c r="U37" s="85"/>
      <c r="V37" s="85"/>
      <c r="W37" s="85"/>
      <c r="X37" s="85"/>
      <c r="Y37" s="85"/>
      <c r="Z37" s="85"/>
      <c r="AA37" s="85"/>
      <c r="AB37" s="85"/>
      <c r="AC37" s="85"/>
      <c r="AD37" s="85"/>
      <c r="AE37" s="85"/>
      <c r="AF37" s="85"/>
      <c r="AG37" s="85"/>
      <c r="AH37" s="85"/>
      <c r="AI37" s="85"/>
      <c r="AJ37" s="85"/>
      <c r="AK37" s="85"/>
      <c r="AL37" s="85"/>
      <c r="AM37" s="85"/>
      <c r="AN37" s="85"/>
    </row>
    <row r="38" spans="1:40" ht="14.25" customHeight="1" x14ac:dyDescent="0.2">
      <c r="A38" s="181"/>
      <c r="B38" s="181"/>
      <c r="C38" s="181"/>
      <c r="D38" s="176"/>
      <c r="E38" s="176"/>
      <c r="F38" s="176"/>
      <c r="G38" s="176"/>
      <c r="H38" s="181"/>
      <c r="I38" s="176"/>
      <c r="J38" s="176"/>
      <c r="K38" s="176"/>
      <c r="L38" s="176"/>
      <c r="M38" s="176"/>
      <c r="N38" s="176"/>
      <c r="O38" s="181"/>
      <c r="P38" s="181"/>
      <c r="Q38" s="176"/>
      <c r="R38" s="176"/>
      <c r="S38" s="14" t="s">
        <v>524</v>
      </c>
      <c r="T38" s="85" t="s">
        <v>525</v>
      </c>
      <c r="U38" s="85"/>
      <c r="V38" s="85"/>
      <c r="W38" s="85"/>
      <c r="X38" s="85"/>
      <c r="Y38" s="85"/>
      <c r="Z38" s="85"/>
      <c r="AA38" s="85"/>
      <c r="AB38" s="85"/>
      <c r="AC38" s="85"/>
      <c r="AD38" s="85"/>
      <c r="AE38" s="85"/>
      <c r="AF38" s="85"/>
      <c r="AG38" s="85"/>
      <c r="AH38" s="85"/>
      <c r="AI38" s="85"/>
      <c r="AJ38" s="85"/>
      <c r="AK38" s="85"/>
      <c r="AL38" s="85"/>
      <c r="AM38" s="85"/>
      <c r="AN38" s="85"/>
    </row>
    <row r="39" spans="1:40" ht="17.25" customHeight="1" x14ac:dyDescent="0.2">
      <c r="A39" s="181"/>
      <c r="B39" s="181"/>
      <c r="C39" s="181"/>
      <c r="D39" s="179" t="s">
        <v>526</v>
      </c>
      <c r="E39" s="179" t="s">
        <v>527</v>
      </c>
      <c r="F39" s="179" t="s">
        <v>23</v>
      </c>
      <c r="G39" s="182">
        <v>1</v>
      </c>
      <c r="H39" s="181"/>
      <c r="I39" s="183" t="s">
        <v>166</v>
      </c>
      <c r="J39" s="175" t="s">
        <v>27</v>
      </c>
      <c r="K39" s="179" t="s">
        <v>27</v>
      </c>
      <c r="L39" s="178">
        <v>1</v>
      </c>
      <c r="M39" s="179" t="s">
        <v>528</v>
      </c>
      <c r="N39" s="180">
        <f>L39*H31</f>
        <v>8500</v>
      </c>
      <c r="O39" s="181"/>
      <c r="P39" s="181"/>
      <c r="Q39" s="175">
        <f>N39/$O$2</f>
        <v>1.056294271156953</v>
      </c>
      <c r="R39" s="191">
        <v>4</v>
      </c>
      <c r="S39" s="40" t="s">
        <v>530</v>
      </c>
      <c r="T39" s="85" t="s">
        <v>531</v>
      </c>
      <c r="U39" s="85"/>
      <c r="V39" s="85"/>
      <c r="W39" s="85"/>
      <c r="X39" s="85"/>
      <c r="Y39" s="85"/>
      <c r="Z39" s="85"/>
      <c r="AA39" s="85"/>
      <c r="AB39" s="85"/>
      <c r="AC39" s="85"/>
      <c r="AD39" s="85"/>
      <c r="AE39" s="85"/>
      <c r="AF39" s="85"/>
      <c r="AG39" s="85"/>
      <c r="AH39" s="85"/>
      <c r="AI39" s="85"/>
      <c r="AJ39" s="85"/>
      <c r="AK39" s="85"/>
      <c r="AL39" s="85"/>
      <c r="AM39" s="85"/>
      <c r="AN39" s="85"/>
    </row>
    <row r="40" spans="1:40" ht="14.25" customHeight="1" x14ac:dyDescent="0.2">
      <c r="A40" s="181"/>
      <c r="B40" s="181"/>
      <c r="C40" s="181"/>
      <c r="D40" s="181"/>
      <c r="E40" s="181"/>
      <c r="F40" s="181"/>
      <c r="G40" s="181"/>
      <c r="H40" s="181"/>
      <c r="I40" s="181"/>
      <c r="J40" s="181"/>
      <c r="K40" s="181"/>
      <c r="L40" s="181"/>
      <c r="M40" s="181"/>
      <c r="N40" s="181"/>
      <c r="O40" s="181"/>
      <c r="P40" s="181"/>
      <c r="Q40" s="181"/>
      <c r="R40" s="181"/>
      <c r="S40" s="44" t="s">
        <v>191</v>
      </c>
      <c r="T40" s="44" t="s">
        <v>534</v>
      </c>
      <c r="U40" s="85"/>
      <c r="V40" s="85"/>
      <c r="W40" s="85"/>
      <c r="X40" s="85"/>
      <c r="Y40" s="85"/>
      <c r="Z40" s="85"/>
      <c r="AA40" s="85"/>
      <c r="AB40" s="85"/>
      <c r="AC40" s="85"/>
      <c r="AD40" s="85"/>
      <c r="AE40" s="85"/>
      <c r="AF40" s="85"/>
      <c r="AG40" s="85"/>
      <c r="AH40" s="85"/>
      <c r="AI40" s="85"/>
      <c r="AJ40" s="85"/>
      <c r="AK40" s="85"/>
      <c r="AL40" s="85"/>
      <c r="AM40" s="85"/>
      <c r="AN40" s="85"/>
    </row>
    <row r="41" spans="1:40" ht="14.25" customHeight="1" x14ac:dyDescent="0.2">
      <c r="A41" s="176"/>
      <c r="B41" s="176"/>
      <c r="C41" s="176"/>
      <c r="D41" s="176"/>
      <c r="E41" s="176"/>
      <c r="F41" s="176"/>
      <c r="G41" s="176"/>
      <c r="H41" s="176"/>
      <c r="I41" s="176"/>
      <c r="J41" s="176"/>
      <c r="K41" s="176"/>
      <c r="L41" s="176"/>
      <c r="M41" s="176"/>
      <c r="N41" s="176"/>
      <c r="O41" s="176"/>
      <c r="P41" s="176"/>
      <c r="Q41" s="176"/>
      <c r="R41" s="176"/>
      <c r="S41" s="14" t="s">
        <v>536</v>
      </c>
      <c r="T41" s="85" t="s">
        <v>537</v>
      </c>
      <c r="U41" s="85"/>
      <c r="V41" s="85"/>
      <c r="W41" s="85"/>
      <c r="X41" s="85"/>
      <c r="Y41" s="85"/>
      <c r="Z41" s="85"/>
      <c r="AA41" s="85"/>
      <c r="AB41" s="85"/>
      <c r="AC41" s="85"/>
      <c r="AD41" s="85"/>
      <c r="AE41" s="85"/>
      <c r="AF41" s="85"/>
      <c r="AG41" s="85"/>
      <c r="AH41" s="85"/>
      <c r="AI41" s="85"/>
      <c r="AJ41" s="85"/>
      <c r="AK41" s="85"/>
      <c r="AL41" s="85"/>
      <c r="AM41" s="85"/>
      <c r="AN41" s="85"/>
    </row>
    <row r="42" spans="1:40" ht="14.25" customHeight="1" x14ac:dyDescent="0.2">
      <c r="T42" s="84"/>
    </row>
    <row r="43" spans="1:40" ht="14.25" customHeight="1" x14ac:dyDescent="0.2">
      <c r="T43" s="84"/>
    </row>
    <row r="44" spans="1:40" ht="14.25" customHeight="1" x14ac:dyDescent="0.2">
      <c r="F44" s="28" t="s">
        <v>121</v>
      </c>
      <c r="G44" s="28" t="s">
        <v>128</v>
      </c>
      <c r="H44" s="28" t="s">
        <v>541</v>
      </c>
      <c r="T44" s="84"/>
    </row>
    <row r="45" spans="1:40" ht="14.25" customHeight="1" x14ac:dyDescent="0.2">
      <c r="F45" s="50" t="s">
        <v>140</v>
      </c>
      <c r="G45" s="72">
        <f t="shared" ref="G45:G55" si="0">SUMIF($F$2:$F$41,F45,N$2:N$41)</f>
        <v>781500</v>
      </c>
      <c r="H45" s="73">
        <f t="shared" ref="H45:H55" si="1">SUMIF($F$2:$F$41,F45,Q$2:Q$41)</f>
        <v>97.116937989312788</v>
      </c>
      <c r="T45" s="84"/>
    </row>
    <row r="46" spans="1:40" ht="14.25" customHeight="1" x14ac:dyDescent="0.2">
      <c r="F46" s="14" t="s">
        <v>156</v>
      </c>
      <c r="G46" s="72">
        <f t="shared" si="0"/>
        <v>46880</v>
      </c>
      <c r="H46" s="73">
        <f t="shared" si="1"/>
        <v>5.8257735802162296</v>
      </c>
      <c r="T46" s="84"/>
    </row>
    <row r="47" spans="1:40" ht="14.25" customHeight="1" x14ac:dyDescent="0.2">
      <c r="F47" s="50" t="s">
        <v>7</v>
      </c>
      <c r="G47" s="72">
        <f t="shared" si="0"/>
        <v>14166.75</v>
      </c>
      <c r="H47" s="73">
        <f t="shared" si="1"/>
        <v>1.7605008077544426</v>
      </c>
      <c r="T47" s="84"/>
    </row>
    <row r="48" spans="1:40" ht="14.25" customHeight="1" x14ac:dyDescent="0.2">
      <c r="F48" s="34" t="s">
        <v>9</v>
      </c>
      <c r="G48" s="72">
        <f t="shared" si="0"/>
        <v>24821</v>
      </c>
      <c r="H48" s="73">
        <f t="shared" si="1"/>
        <v>3.0845035416925564</v>
      </c>
      <c r="T48" s="84"/>
    </row>
    <row r="49" spans="6:20" ht="14.25" customHeight="1" x14ac:dyDescent="0.2">
      <c r="F49" s="50" t="s">
        <v>399</v>
      </c>
      <c r="G49" s="72">
        <f t="shared" si="0"/>
        <v>860000</v>
      </c>
      <c r="H49" s="73">
        <f t="shared" si="1"/>
        <v>106.87212625823288</v>
      </c>
      <c r="T49" s="84"/>
    </row>
    <row r="50" spans="6:20" ht="14.25" customHeight="1" x14ac:dyDescent="0.2">
      <c r="F50" s="50" t="s">
        <v>435</v>
      </c>
      <c r="G50" s="72">
        <f t="shared" si="0"/>
        <v>69.125</v>
      </c>
      <c r="H50" s="73">
        <f t="shared" si="1"/>
        <v>8.5901578227911019E-3</v>
      </c>
      <c r="T50" s="84"/>
    </row>
    <row r="51" spans="6:20" ht="14.25" customHeight="1" x14ac:dyDescent="0.2">
      <c r="F51" s="34" t="s">
        <v>19</v>
      </c>
      <c r="G51" s="72">
        <f t="shared" si="0"/>
        <v>3.5700000000000003</v>
      </c>
      <c r="H51" s="73">
        <f t="shared" si="1"/>
        <v>4.4364359388592028E-4</v>
      </c>
      <c r="T51" s="84"/>
    </row>
    <row r="52" spans="6:20" ht="14.25" customHeight="1" x14ac:dyDescent="0.2">
      <c r="F52" s="50" t="s">
        <v>10</v>
      </c>
      <c r="G52" s="72">
        <f t="shared" si="0"/>
        <v>5312.5</v>
      </c>
      <c r="H52" s="73">
        <f t="shared" si="1"/>
        <v>0.66018391947309552</v>
      </c>
      <c r="T52" s="84"/>
    </row>
    <row r="53" spans="6:20" ht="14.25" customHeight="1" x14ac:dyDescent="0.2">
      <c r="F53" s="92" t="s">
        <v>12</v>
      </c>
      <c r="G53" s="72">
        <f t="shared" si="0"/>
        <v>17000</v>
      </c>
      <c r="H53" s="73">
        <f t="shared" si="1"/>
        <v>2.1125885423139059</v>
      </c>
      <c r="T53" s="84"/>
    </row>
    <row r="54" spans="6:20" ht="14.25" customHeight="1" x14ac:dyDescent="0.2">
      <c r="F54" s="50" t="s">
        <v>517</v>
      </c>
      <c r="G54" s="72">
        <f t="shared" si="0"/>
        <v>53550</v>
      </c>
      <c r="H54" s="73">
        <f t="shared" si="1"/>
        <v>6.654653908288803</v>
      </c>
      <c r="T54" s="84"/>
    </row>
    <row r="55" spans="6:20" ht="14.25" customHeight="1" x14ac:dyDescent="0.2">
      <c r="F55" s="50" t="s">
        <v>23</v>
      </c>
      <c r="G55" s="72">
        <f t="shared" si="0"/>
        <v>8500</v>
      </c>
      <c r="H55" s="73">
        <f t="shared" si="1"/>
        <v>1.056294271156953</v>
      </c>
      <c r="T55" s="84"/>
    </row>
    <row r="56" spans="6:20" ht="14.25" customHeight="1" x14ac:dyDescent="0.2">
      <c r="T56" s="84"/>
    </row>
    <row r="57" spans="6:20" ht="14.25" customHeight="1" x14ac:dyDescent="0.2">
      <c r="T57" s="84"/>
    </row>
    <row r="58" spans="6:20" ht="14.25" customHeight="1" x14ac:dyDescent="0.2">
      <c r="F58" s="93" t="s">
        <v>315</v>
      </c>
      <c r="G58" s="28" t="s">
        <v>128</v>
      </c>
      <c r="H58" s="28" t="s">
        <v>548</v>
      </c>
      <c r="T58" s="84"/>
    </row>
    <row r="59" spans="6:20" ht="14.25" customHeight="1" x14ac:dyDescent="0.2">
      <c r="F59" s="50" t="s">
        <v>140</v>
      </c>
      <c r="G59" s="72">
        <f t="shared" ref="G59:G65" si="2">SUMIF($E$2:$E$41,F59,$N$2:$N$41)</f>
        <v>1641500</v>
      </c>
      <c r="H59" s="73">
        <f t="shared" ref="H59:H65" si="3">SUMIF($E$2:$E$41,F59,Q$2:Q$41)</f>
        <v>203.98906424754568</v>
      </c>
      <c r="T59" s="84"/>
    </row>
    <row r="60" spans="6:20" ht="14.25" customHeight="1" x14ac:dyDescent="0.2">
      <c r="F60" s="14" t="s">
        <v>155</v>
      </c>
      <c r="G60" s="72">
        <f t="shared" si="2"/>
        <v>85867.75</v>
      </c>
      <c r="H60" s="73">
        <f t="shared" si="3"/>
        <v>10.670777929663229</v>
      </c>
      <c r="T60" s="84"/>
    </row>
    <row r="61" spans="6:20" ht="14.25" customHeight="1" x14ac:dyDescent="0.2">
      <c r="F61" s="50" t="s">
        <v>434</v>
      </c>
      <c r="G61" s="72">
        <f t="shared" si="2"/>
        <v>69.125</v>
      </c>
      <c r="H61" s="73">
        <f t="shared" si="3"/>
        <v>8.5901578227911019E-3</v>
      </c>
      <c r="T61" s="84"/>
    </row>
    <row r="62" spans="6:20" ht="14.25" customHeight="1" x14ac:dyDescent="0.2">
      <c r="F62" s="34" t="s">
        <v>287</v>
      </c>
      <c r="G62" s="72">
        <f t="shared" si="2"/>
        <v>5316.07</v>
      </c>
      <c r="H62" s="73">
        <f t="shared" si="3"/>
        <v>0.66062756306698145</v>
      </c>
      <c r="T62" s="84"/>
    </row>
    <row r="63" spans="6:20" ht="14.25" customHeight="1" x14ac:dyDescent="0.2">
      <c r="F63" s="50" t="s">
        <v>294</v>
      </c>
      <c r="G63" s="72">
        <f t="shared" si="2"/>
        <v>17000</v>
      </c>
      <c r="H63" s="73">
        <f t="shared" si="3"/>
        <v>2.1125885423139059</v>
      </c>
      <c r="T63" s="84"/>
    </row>
    <row r="64" spans="6:20" ht="14.25" customHeight="1" x14ac:dyDescent="0.2">
      <c r="F64" s="50" t="s">
        <v>516</v>
      </c>
      <c r="G64" s="72">
        <f t="shared" si="2"/>
        <v>53550</v>
      </c>
      <c r="H64" s="73">
        <f t="shared" si="3"/>
        <v>6.654653908288803</v>
      </c>
      <c r="T64" s="84"/>
    </row>
    <row r="65" spans="6:20" ht="14.25" customHeight="1" x14ac:dyDescent="0.2">
      <c r="F65" s="50" t="s">
        <v>527</v>
      </c>
      <c r="G65" s="72">
        <f t="shared" si="2"/>
        <v>8500</v>
      </c>
      <c r="H65" s="73">
        <f t="shared" si="3"/>
        <v>1.056294271156953</v>
      </c>
      <c r="T65" s="84"/>
    </row>
    <row r="66" spans="6:20" ht="14.25" customHeight="1" x14ac:dyDescent="0.2">
      <c r="T66" s="84"/>
    </row>
    <row r="67" spans="6:20" ht="14.25" customHeight="1" x14ac:dyDescent="0.2">
      <c r="T67" s="84"/>
    </row>
    <row r="68" spans="6:20" ht="14.25" customHeight="1" x14ac:dyDescent="0.2">
      <c r="T68" s="84"/>
    </row>
    <row r="69" spans="6:20" ht="14.25" customHeight="1" x14ac:dyDescent="0.2">
      <c r="T69" s="84"/>
    </row>
    <row r="70" spans="6:20" ht="14.25" customHeight="1" x14ac:dyDescent="0.2">
      <c r="T70" s="84"/>
    </row>
    <row r="71" spans="6:20" ht="14.25" customHeight="1" x14ac:dyDescent="0.2">
      <c r="T71" s="84"/>
    </row>
    <row r="72" spans="6:20" ht="14.25" customHeight="1" x14ac:dyDescent="0.2">
      <c r="T72" s="84"/>
    </row>
    <row r="73" spans="6:20" ht="14.25" customHeight="1" x14ac:dyDescent="0.2">
      <c r="T73" s="84"/>
    </row>
    <row r="74" spans="6:20" ht="14.25" customHeight="1" x14ac:dyDescent="0.2">
      <c r="T74" s="84"/>
    </row>
    <row r="75" spans="6:20" ht="14.25" customHeight="1" x14ac:dyDescent="0.2">
      <c r="T75" s="84"/>
    </row>
    <row r="76" spans="6:20" ht="14.25" customHeight="1" x14ac:dyDescent="0.2">
      <c r="T76" s="84"/>
    </row>
    <row r="77" spans="6:20" ht="14.25" customHeight="1" x14ac:dyDescent="0.2">
      <c r="T77" s="84"/>
    </row>
    <row r="78" spans="6:20" ht="14.25" customHeight="1" x14ac:dyDescent="0.2">
      <c r="T78" s="84"/>
    </row>
    <row r="79" spans="6:20" ht="14.25" customHeight="1" x14ac:dyDescent="0.2">
      <c r="T79" s="84"/>
    </row>
    <row r="80" spans="6:20" ht="14.25" customHeight="1" x14ac:dyDescent="0.2">
      <c r="T80" s="84"/>
    </row>
    <row r="81" spans="20:20" ht="14.25" customHeight="1" x14ac:dyDescent="0.2">
      <c r="T81" s="84"/>
    </row>
    <row r="82" spans="20:20" ht="14.25" customHeight="1" x14ac:dyDescent="0.2">
      <c r="T82" s="84"/>
    </row>
    <row r="83" spans="20:20" ht="14.25" customHeight="1" x14ac:dyDescent="0.2">
      <c r="T83" s="84"/>
    </row>
    <row r="84" spans="20:20" ht="14.25" customHeight="1" x14ac:dyDescent="0.2">
      <c r="T84" s="84"/>
    </row>
    <row r="85" spans="20:20" ht="14.25" customHeight="1" x14ac:dyDescent="0.2">
      <c r="T85" s="84"/>
    </row>
    <row r="86" spans="20:20" ht="14.25" customHeight="1" x14ac:dyDescent="0.2">
      <c r="T86" s="84"/>
    </row>
    <row r="87" spans="20:20" ht="14.25" customHeight="1" x14ac:dyDescent="0.2">
      <c r="T87" s="84"/>
    </row>
    <row r="88" spans="20:20" ht="14.25" customHeight="1" x14ac:dyDescent="0.2">
      <c r="T88" s="84"/>
    </row>
    <row r="89" spans="20:20" ht="14.25" customHeight="1" x14ac:dyDescent="0.2">
      <c r="T89" s="84"/>
    </row>
    <row r="90" spans="20:20" ht="14.25" customHeight="1" x14ac:dyDescent="0.2">
      <c r="T90" s="84"/>
    </row>
    <row r="91" spans="20:20" ht="14.25" customHeight="1" x14ac:dyDescent="0.2">
      <c r="T91" s="84"/>
    </row>
    <row r="92" spans="20:20" ht="14.25" customHeight="1" x14ac:dyDescent="0.2">
      <c r="T92" s="84"/>
    </row>
    <row r="93" spans="20:20" ht="14.25" customHeight="1" x14ac:dyDescent="0.2">
      <c r="T93" s="84"/>
    </row>
    <row r="94" spans="20:20" ht="14.25" customHeight="1" x14ac:dyDescent="0.2">
      <c r="T94" s="84"/>
    </row>
    <row r="95" spans="20:20" ht="14.25" customHeight="1" x14ac:dyDescent="0.2">
      <c r="T95" s="84"/>
    </row>
    <row r="96" spans="20:20" ht="14.25" customHeight="1" x14ac:dyDescent="0.2">
      <c r="T96" s="84"/>
    </row>
    <row r="97" spans="20:20" ht="14.25" customHeight="1" x14ac:dyDescent="0.2">
      <c r="T97" s="84"/>
    </row>
    <row r="98" spans="20:20" ht="14.25" customHeight="1" x14ac:dyDescent="0.2">
      <c r="T98" s="84"/>
    </row>
    <row r="99" spans="20:20" ht="14.25" customHeight="1" x14ac:dyDescent="0.2">
      <c r="T99" s="84"/>
    </row>
    <row r="100" spans="20:20" ht="14.25" customHeight="1" x14ac:dyDescent="0.2">
      <c r="T100" s="84"/>
    </row>
    <row r="101" spans="20:20" ht="14.25" customHeight="1" x14ac:dyDescent="0.2">
      <c r="T101" s="84"/>
    </row>
    <row r="102" spans="20:20" ht="14.25" customHeight="1" x14ac:dyDescent="0.2">
      <c r="T102" s="84"/>
    </row>
    <row r="103" spans="20:20" ht="14.25" customHeight="1" x14ac:dyDescent="0.2">
      <c r="T103" s="84"/>
    </row>
    <row r="104" spans="20:20" ht="14.25" customHeight="1" x14ac:dyDescent="0.2">
      <c r="T104" s="84"/>
    </row>
    <row r="105" spans="20:20" ht="14.25" customHeight="1" x14ac:dyDescent="0.2">
      <c r="T105" s="84"/>
    </row>
    <row r="106" spans="20:20" ht="14.25" customHeight="1" x14ac:dyDescent="0.2">
      <c r="T106" s="84"/>
    </row>
    <row r="107" spans="20:20" ht="14.25" customHeight="1" x14ac:dyDescent="0.2">
      <c r="T107" s="84"/>
    </row>
    <row r="108" spans="20:20" ht="14.25" customHeight="1" x14ac:dyDescent="0.2">
      <c r="T108" s="84"/>
    </row>
    <row r="109" spans="20:20" ht="14.25" customHeight="1" x14ac:dyDescent="0.2">
      <c r="T109" s="84"/>
    </row>
    <row r="110" spans="20:20" ht="14.25" customHeight="1" x14ac:dyDescent="0.2">
      <c r="T110" s="84"/>
    </row>
    <row r="111" spans="20:20" ht="14.25" customHeight="1" x14ac:dyDescent="0.2">
      <c r="T111" s="84"/>
    </row>
    <row r="112" spans="20:20" ht="14.25" customHeight="1" x14ac:dyDescent="0.2">
      <c r="T112" s="84"/>
    </row>
    <row r="113" spans="20:20" ht="14.25" customHeight="1" x14ac:dyDescent="0.2">
      <c r="T113" s="84"/>
    </row>
    <row r="114" spans="20:20" ht="14.25" customHeight="1" x14ac:dyDescent="0.2">
      <c r="T114" s="84"/>
    </row>
    <row r="115" spans="20:20" ht="14.25" customHeight="1" x14ac:dyDescent="0.2">
      <c r="T115" s="84"/>
    </row>
    <row r="116" spans="20:20" ht="14.25" customHeight="1" x14ac:dyDescent="0.2">
      <c r="T116" s="84"/>
    </row>
    <row r="117" spans="20:20" ht="14.25" customHeight="1" x14ac:dyDescent="0.2">
      <c r="T117" s="84"/>
    </row>
    <row r="118" spans="20:20" ht="14.25" customHeight="1" x14ac:dyDescent="0.2">
      <c r="T118" s="84"/>
    </row>
    <row r="119" spans="20:20" ht="14.25" customHeight="1" x14ac:dyDescent="0.2">
      <c r="T119" s="84"/>
    </row>
    <row r="120" spans="20:20" ht="14.25" customHeight="1" x14ac:dyDescent="0.2">
      <c r="T120" s="84"/>
    </row>
    <row r="121" spans="20:20" ht="14.25" customHeight="1" x14ac:dyDescent="0.2">
      <c r="T121" s="84"/>
    </row>
    <row r="122" spans="20:20" ht="14.25" customHeight="1" x14ac:dyDescent="0.2">
      <c r="T122" s="84"/>
    </row>
    <row r="123" spans="20:20" ht="14.25" customHeight="1" x14ac:dyDescent="0.2">
      <c r="T123" s="84"/>
    </row>
    <row r="124" spans="20:20" ht="14.25" customHeight="1" x14ac:dyDescent="0.2">
      <c r="T124" s="84"/>
    </row>
    <row r="125" spans="20:20" ht="14.25" customHeight="1" x14ac:dyDescent="0.2">
      <c r="T125" s="84"/>
    </row>
    <row r="126" spans="20:20" ht="14.25" customHeight="1" x14ac:dyDescent="0.2">
      <c r="T126" s="84"/>
    </row>
    <row r="127" spans="20:20" ht="14.25" customHeight="1" x14ac:dyDescent="0.2">
      <c r="T127" s="84"/>
    </row>
    <row r="128" spans="20: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168">
    <mergeCell ref="O2:O41"/>
    <mergeCell ref="P2:P41"/>
    <mergeCell ref="H2:H4"/>
    <mergeCell ref="I2:I4"/>
    <mergeCell ref="J2:J4"/>
    <mergeCell ref="K2:K4"/>
    <mergeCell ref="L2:L3"/>
    <mergeCell ref="M2:M3"/>
    <mergeCell ref="N2:N3"/>
    <mergeCell ref="L17:L18"/>
    <mergeCell ref="L22:L26"/>
    <mergeCell ref="M22:M26"/>
    <mergeCell ref="N22:N26"/>
    <mergeCell ref="L39:L41"/>
    <mergeCell ref="M39:M41"/>
    <mergeCell ref="N39:N41"/>
    <mergeCell ref="L31:L33"/>
    <mergeCell ref="M31:M33"/>
    <mergeCell ref="J29:J30"/>
    <mergeCell ref="J34:J36"/>
    <mergeCell ref="K34:K36"/>
    <mergeCell ref="L34:L36"/>
    <mergeCell ref="M34:M36"/>
    <mergeCell ref="N34:N36"/>
    <mergeCell ref="H17:H19"/>
    <mergeCell ref="I17:I19"/>
    <mergeCell ref="J17:J18"/>
    <mergeCell ref="K17:K18"/>
    <mergeCell ref="H22:H27"/>
    <mergeCell ref="I22:I27"/>
    <mergeCell ref="J22:J26"/>
    <mergeCell ref="K22:K26"/>
    <mergeCell ref="J31:J33"/>
    <mergeCell ref="K31:K33"/>
    <mergeCell ref="J13:J16"/>
    <mergeCell ref="K13:K16"/>
    <mergeCell ref="L13:L16"/>
    <mergeCell ref="M13:M16"/>
    <mergeCell ref="N13:N16"/>
    <mergeCell ref="B5:B6"/>
    <mergeCell ref="C5:C6"/>
    <mergeCell ref="H5:H6"/>
    <mergeCell ref="I5:I6"/>
    <mergeCell ref="J5:J6"/>
    <mergeCell ref="K5:K6"/>
    <mergeCell ref="B7:B16"/>
    <mergeCell ref="K7:K9"/>
    <mergeCell ref="L7:L9"/>
    <mergeCell ref="G10:G12"/>
    <mergeCell ref="G13:G16"/>
    <mergeCell ref="R17:R18"/>
    <mergeCell ref="R20:R21"/>
    <mergeCell ref="M17:M18"/>
    <mergeCell ref="N17:N18"/>
    <mergeCell ref="H20:H21"/>
    <mergeCell ref="I20:I21"/>
    <mergeCell ref="J20:J21"/>
    <mergeCell ref="K20:K21"/>
    <mergeCell ref="L20:L21"/>
    <mergeCell ref="M20:M21"/>
    <mergeCell ref="N20:N21"/>
    <mergeCell ref="M7:M9"/>
    <mergeCell ref="N7:N9"/>
    <mergeCell ref="J7:J9"/>
    <mergeCell ref="J10:J12"/>
    <mergeCell ref="K10:K12"/>
    <mergeCell ref="L10:L12"/>
    <mergeCell ref="M10:M12"/>
    <mergeCell ref="N10:N12"/>
    <mergeCell ref="I7:I16"/>
    <mergeCell ref="G29:G30"/>
    <mergeCell ref="R22:R26"/>
    <mergeCell ref="R29:R30"/>
    <mergeCell ref="R31:R33"/>
    <mergeCell ref="R34:R36"/>
    <mergeCell ref="R37:R38"/>
    <mergeCell ref="R39:R41"/>
    <mergeCell ref="Q2:Q3"/>
    <mergeCell ref="R2:R3"/>
    <mergeCell ref="Q7:Q9"/>
    <mergeCell ref="R7:R9"/>
    <mergeCell ref="Q10:Q12"/>
    <mergeCell ref="R10:R12"/>
    <mergeCell ref="R13:R16"/>
    <mergeCell ref="Q37:Q38"/>
    <mergeCell ref="Q39:Q41"/>
    <mergeCell ref="Q13:Q16"/>
    <mergeCell ref="Q17:Q18"/>
    <mergeCell ref="Q20:Q21"/>
    <mergeCell ref="Q22:Q26"/>
    <mergeCell ref="Q29:Q30"/>
    <mergeCell ref="Q31:Q33"/>
    <mergeCell ref="Q34:Q36"/>
    <mergeCell ref="H7:H16"/>
    <mergeCell ref="G31:G33"/>
    <mergeCell ref="D34:D36"/>
    <mergeCell ref="E34:E36"/>
    <mergeCell ref="F34:F36"/>
    <mergeCell ref="G34:G36"/>
    <mergeCell ref="D37:D38"/>
    <mergeCell ref="E37:E38"/>
    <mergeCell ref="F37:F38"/>
    <mergeCell ref="G37:G38"/>
    <mergeCell ref="D39:D41"/>
    <mergeCell ref="E39:E41"/>
    <mergeCell ref="F39:F41"/>
    <mergeCell ref="G39:G41"/>
    <mergeCell ref="A2:A41"/>
    <mergeCell ref="C2:C4"/>
    <mergeCell ref="E2:E3"/>
    <mergeCell ref="F2:F3"/>
    <mergeCell ref="G2:G4"/>
    <mergeCell ref="G5:G6"/>
    <mergeCell ref="G7:G9"/>
    <mergeCell ref="D17:D18"/>
    <mergeCell ref="E17:E18"/>
    <mergeCell ref="F17:F18"/>
    <mergeCell ref="G17:G19"/>
    <mergeCell ref="B20:B27"/>
    <mergeCell ref="C20:C27"/>
    <mergeCell ref="D20:D21"/>
    <mergeCell ref="E20:E21"/>
    <mergeCell ref="F20:F21"/>
    <mergeCell ref="G20:G27"/>
    <mergeCell ref="F22:F26"/>
    <mergeCell ref="D22:D27"/>
    <mergeCell ref="E22:E26"/>
    <mergeCell ref="B29:B30"/>
    <mergeCell ref="C29:C30"/>
    <mergeCell ref="E31:E33"/>
    <mergeCell ref="F31:F33"/>
    <mergeCell ref="D2:D3"/>
    <mergeCell ref="D7:D9"/>
    <mergeCell ref="D29:D30"/>
    <mergeCell ref="E29:E30"/>
    <mergeCell ref="F29:F30"/>
    <mergeCell ref="D31:D33"/>
    <mergeCell ref="C7:C16"/>
    <mergeCell ref="D10:D12"/>
    <mergeCell ref="D13:D16"/>
    <mergeCell ref="E7:E9"/>
    <mergeCell ref="F7:F9"/>
    <mergeCell ref="E10:E12"/>
    <mergeCell ref="F10:F12"/>
    <mergeCell ref="E13:E16"/>
    <mergeCell ref="F13:F16"/>
    <mergeCell ref="B2:B4"/>
    <mergeCell ref="B31:B41"/>
    <mergeCell ref="C31:C41"/>
    <mergeCell ref="B17:B19"/>
    <mergeCell ref="C17:C19"/>
    <mergeCell ref="I29:I30"/>
    <mergeCell ref="I31:I38"/>
    <mergeCell ref="H29:H30"/>
    <mergeCell ref="K29:K30"/>
    <mergeCell ref="L29:L30"/>
    <mergeCell ref="M29:M30"/>
    <mergeCell ref="N29:N30"/>
    <mergeCell ref="N31:N33"/>
    <mergeCell ref="N37:N38"/>
    <mergeCell ref="J37:J38"/>
    <mergeCell ref="K37:K38"/>
    <mergeCell ref="L37:L38"/>
    <mergeCell ref="M37:M38"/>
    <mergeCell ref="H31:H41"/>
    <mergeCell ref="I39:I41"/>
    <mergeCell ref="J39:J41"/>
    <mergeCell ref="K39:K41"/>
  </mergeCells>
  <conditionalFormatting sqref="R2:R4">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2:R19 R31:R41">
    <cfRule type="colorScale" priority="9">
      <colorScale>
        <cfvo type="min"/>
        <cfvo type="percentile" val="50"/>
        <cfvo type="max"/>
        <color rgb="FFF8696B"/>
        <color rgb="FFFFEB84"/>
        <color rgb="FF63BE7B"/>
      </colorScale>
    </cfRule>
  </conditionalFormatting>
  <conditionalFormatting sqref="R2:R41">
    <cfRule type="colorScale" priority="3">
      <colorScale>
        <cfvo type="min"/>
        <cfvo type="percentile" val="50"/>
        <cfvo type="max"/>
        <color rgb="FFF8696B"/>
        <color rgb="FFFFEB84"/>
        <color rgb="FF63BE7B"/>
      </colorScale>
    </cfRule>
  </conditionalFormatting>
  <conditionalFormatting sqref="R5:R10 R17 R19">
    <cfRule type="colorScale" priority="5">
      <colorScale>
        <cfvo type="min"/>
        <cfvo type="percentile" val="50"/>
        <cfvo type="max"/>
        <color rgb="FFF8696B"/>
        <color rgb="FFFFEB84"/>
        <color rgb="FF63BE7B"/>
      </colorScale>
    </cfRule>
  </conditionalFormatting>
  <conditionalFormatting sqref="R5:R10 R17:R19">
    <cfRule type="colorScale" priority="4">
      <colorScale>
        <cfvo type="min"/>
        <cfvo type="percentile" val="50"/>
        <cfvo type="max"/>
        <color rgb="FFF8696B"/>
        <color rgb="FFFFEB84"/>
        <color rgb="FF63BE7B"/>
      </colorScale>
    </cfRule>
  </conditionalFormatting>
  <conditionalFormatting sqref="R20:R27">
    <cfRule type="colorScale" priority="6">
      <colorScale>
        <cfvo type="min"/>
        <cfvo type="percentile" val="50"/>
        <cfvo type="max"/>
        <color rgb="FFF8696B"/>
        <color rgb="FFFFEB84"/>
        <color rgb="FF63BE7B"/>
      </colorScale>
    </cfRule>
  </conditionalFormatting>
  <conditionalFormatting sqref="R28:R29">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R31:R34 R37:R41">
    <cfRule type="colorScale" priority="11">
      <colorScale>
        <cfvo type="min"/>
        <cfvo type="percentile" val="50"/>
        <cfvo type="max"/>
        <color rgb="FFF8696B"/>
        <color rgb="FFFFEB84"/>
        <color rgb="FF63BE7B"/>
      </colorScale>
    </cfRule>
  </conditionalFormatting>
  <conditionalFormatting sqref="R31:R41">
    <cfRule type="colorScale" priority="10">
      <colorScale>
        <cfvo type="min"/>
        <cfvo type="percentile" val="50"/>
        <cfvo type="max"/>
        <color rgb="FFF8696B"/>
        <color rgb="FFFFEB84"/>
        <color rgb="FF63BE7B"/>
      </colorScale>
    </cfRule>
  </conditionalFormatting>
  <hyperlinks>
    <hyperlink ref="S4" r:id="rId1" xr:uid="{00000000-0004-0000-0800-000000000000}"/>
    <hyperlink ref="S7" r:id="rId2" xr:uid="{00000000-0004-0000-0800-000001000000}"/>
    <hyperlink ref="S9" r:id="rId3" xr:uid="{00000000-0004-0000-0800-000002000000}"/>
    <hyperlink ref="S14" r:id="rId4" xr:uid="{00000000-0004-0000-0800-000003000000}"/>
    <hyperlink ref="S16" r:id="rId5" xr:uid="{00000000-0004-0000-0800-000004000000}"/>
    <hyperlink ref="S17" r:id="rId6" xr:uid="{00000000-0004-0000-0800-000005000000}"/>
    <hyperlink ref="S18" r:id="rId7" location=":~:text=The%20minimum%20thickness%20for%20commercial,to%202.5%20psf%20of%20reinforcing). " xr:uid="{00000000-0004-0000-0800-000006000000}"/>
    <hyperlink ref="S19" r:id="rId8" xr:uid="{00000000-0004-0000-0800-000007000000}"/>
    <hyperlink ref="S20" r:id="rId9" location=" " xr:uid="{00000000-0004-0000-0800-000008000000}"/>
    <hyperlink ref="S24" r:id="rId10" xr:uid="{00000000-0004-0000-0800-000009000000}"/>
    <hyperlink ref="S29" r:id="rId11" xr:uid="{00000000-0004-0000-0800-00000A000000}"/>
    <hyperlink ref="S36" r:id="rId12" xr:uid="{00000000-0004-0000-0800-00000B000000}"/>
    <hyperlink ref="S39" r:id="rId13" xr:uid="{00000000-0004-0000-0800-00000C000000}"/>
  </hyperlinks>
  <pageMargins left="0.7" right="0.7" top="0.75" bottom="0.75" header="0" footer="0"/>
  <pageSetup orientation="portrait"/>
  <drawing r:id="rId14"/>
  <legacyDrawing r:id="rId1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51</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367</v>
      </c>
      <c r="R1" s="80" t="s">
        <v>133</v>
      </c>
      <c r="S1" s="28" t="s">
        <v>134</v>
      </c>
      <c r="T1" s="28"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102</v>
      </c>
      <c r="B2" s="183" t="s">
        <v>53</v>
      </c>
      <c r="C2" s="183" t="s">
        <v>139</v>
      </c>
      <c r="D2" s="179" t="s">
        <v>140</v>
      </c>
      <c r="E2" s="179" t="s">
        <v>140</v>
      </c>
      <c r="F2" s="179" t="s">
        <v>140</v>
      </c>
      <c r="G2" s="182">
        <v>1</v>
      </c>
      <c r="H2" s="182">
        <v>160</v>
      </c>
      <c r="I2" s="183" t="s">
        <v>142</v>
      </c>
      <c r="J2" s="178">
        <v>0.66666666666666663</v>
      </c>
      <c r="K2" s="178">
        <v>1.5</v>
      </c>
      <c r="L2" s="178">
        <v>150</v>
      </c>
      <c r="M2" s="179" t="s">
        <v>371</v>
      </c>
      <c r="N2" s="188">
        <f>L2*K2*J2*H2</f>
        <v>24000</v>
      </c>
      <c r="O2" s="187">
        <v>1172</v>
      </c>
      <c r="P2" s="187" t="s">
        <v>356</v>
      </c>
      <c r="Q2" s="175">
        <f>N2/O2</f>
        <v>20.477815699658702</v>
      </c>
      <c r="R2" s="191">
        <v>4</v>
      </c>
      <c r="S2" s="14" t="s">
        <v>152</v>
      </c>
      <c r="T2" s="14" t="s">
        <v>374</v>
      </c>
      <c r="U2" s="85"/>
      <c r="V2" s="85"/>
      <c r="W2" s="85"/>
      <c r="X2" s="85"/>
      <c r="Y2" s="85"/>
      <c r="Z2" s="85"/>
      <c r="AA2" s="85"/>
      <c r="AB2" s="85"/>
      <c r="AC2" s="85"/>
      <c r="AD2" s="85"/>
      <c r="AE2" s="85"/>
      <c r="AF2" s="85"/>
      <c r="AG2" s="85"/>
      <c r="AH2" s="85"/>
      <c r="AI2" s="85"/>
      <c r="AJ2" s="85"/>
      <c r="AK2" s="85"/>
      <c r="AL2" s="85"/>
      <c r="AM2" s="85"/>
      <c r="AN2" s="85"/>
    </row>
    <row r="3" spans="1:40" ht="16.5" customHeight="1" x14ac:dyDescent="0.2">
      <c r="A3" s="181"/>
      <c r="B3" s="181"/>
      <c r="C3" s="181"/>
      <c r="D3" s="181"/>
      <c r="E3" s="181"/>
      <c r="F3" s="181"/>
      <c r="G3" s="181"/>
      <c r="H3" s="181"/>
      <c r="I3" s="181"/>
      <c r="J3" s="181"/>
      <c r="K3" s="181"/>
      <c r="L3" s="181"/>
      <c r="M3" s="181"/>
      <c r="N3" s="181"/>
      <c r="O3" s="181"/>
      <c r="P3" s="181"/>
      <c r="Q3" s="181"/>
      <c r="R3" s="181"/>
      <c r="S3" s="14" t="s">
        <v>149</v>
      </c>
      <c r="T3" s="14" t="s">
        <v>150</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81"/>
      <c r="C4" s="181"/>
      <c r="D4" s="176"/>
      <c r="E4" s="176"/>
      <c r="F4" s="176"/>
      <c r="G4" s="181"/>
      <c r="H4" s="181"/>
      <c r="I4" s="181"/>
      <c r="J4" s="181"/>
      <c r="K4" s="181"/>
      <c r="L4" s="176"/>
      <c r="M4" s="176"/>
      <c r="N4" s="176"/>
      <c r="O4" s="181"/>
      <c r="P4" s="181"/>
      <c r="Q4" s="176"/>
      <c r="R4" s="176"/>
      <c r="S4" s="14" t="s">
        <v>232</v>
      </c>
      <c r="T4" s="14" t="s">
        <v>233</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176"/>
      <c r="C5" s="176"/>
      <c r="D5" s="14" t="s">
        <v>154</v>
      </c>
      <c r="E5" s="14" t="s">
        <v>155</v>
      </c>
      <c r="F5" s="14" t="s">
        <v>156</v>
      </c>
      <c r="G5" s="176"/>
      <c r="H5" s="176"/>
      <c r="I5" s="176"/>
      <c r="J5" s="176"/>
      <c r="K5" s="176"/>
      <c r="L5" s="14">
        <v>5.25</v>
      </c>
      <c r="M5" s="14" t="s">
        <v>380</v>
      </c>
      <c r="N5" s="38">
        <f>L5*K2*J2*H2</f>
        <v>840</v>
      </c>
      <c r="O5" s="181"/>
      <c r="P5" s="181"/>
      <c r="Q5" s="19">
        <f>N5/$O$2</f>
        <v>0.71672354948805461</v>
      </c>
      <c r="R5" s="48">
        <v>4</v>
      </c>
      <c r="S5" s="14" t="s">
        <v>160</v>
      </c>
      <c r="T5" s="14" t="s">
        <v>382</v>
      </c>
      <c r="U5" s="85"/>
      <c r="V5" s="85"/>
      <c r="W5" s="85"/>
      <c r="X5" s="85"/>
      <c r="Y5" s="85"/>
      <c r="Z5" s="85"/>
      <c r="AA5" s="85"/>
      <c r="AB5" s="85"/>
      <c r="AC5" s="85"/>
      <c r="AD5" s="85"/>
      <c r="AE5" s="85"/>
      <c r="AF5" s="85"/>
      <c r="AG5" s="85"/>
      <c r="AH5" s="85"/>
      <c r="AI5" s="85"/>
      <c r="AJ5" s="85"/>
      <c r="AK5" s="85"/>
      <c r="AL5" s="85"/>
      <c r="AM5" s="85"/>
      <c r="AN5" s="85"/>
    </row>
    <row r="6" spans="1:40" ht="17.25" customHeight="1" x14ac:dyDescent="0.2">
      <c r="A6" s="181"/>
      <c r="B6" s="183" t="s">
        <v>164</v>
      </c>
      <c r="C6" s="183" t="s">
        <v>165</v>
      </c>
      <c r="D6" s="179" t="s">
        <v>140</v>
      </c>
      <c r="E6" s="179" t="s">
        <v>140</v>
      </c>
      <c r="F6" s="179" t="s">
        <v>140</v>
      </c>
      <c r="G6" s="182">
        <v>1</v>
      </c>
      <c r="H6" s="182">
        <v>1100</v>
      </c>
      <c r="I6" s="183" t="s">
        <v>166</v>
      </c>
      <c r="J6" s="175">
        <v>0.5</v>
      </c>
      <c r="K6" s="179" t="s">
        <v>27</v>
      </c>
      <c r="L6" s="178">
        <v>150</v>
      </c>
      <c r="M6" s="179" t="s">
        <v>386</v>
      </c>
      <c r="N6" s="180">
        <f>L6*J6*H6</f>
        <v>82500</v>
      </c>
      <c r="O6" s="181"/>
      <c r="P6" s="181"/>
      <c r="Q6" s="175">
        <f>N6/O2</f>
        <v>70.392491467576789</v>
      </c>
      <c r="R6" s="202">
        <v>5</v>
      </c>
      <c r="S6" s="14" t="s">
        <v>388</v>
      </c>
      <c r="T6" s="85" t="s">
        <v>389</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181"/>
      <c r="C7" s="181"/>
      <c r="D7" s="176"/>
      <c r="E7" s="176"/>
      <c r="F7" s="176"/>
      <c r="G7" s="181"/>
      <c r="H7" s="181"/>
      <c r="I7" s="181"/>
      <c r="J7" s="181"/>
      <c r="K7" s="181"/>
      <c r="L7" s="176"/>
      <c r="M7" s="176"/>
      <c r="N7" s="176"/>
      <c r="O7" s="181"/>
      <c r="P7" s="181"/>
      <c r="Q7" s="176"/>
      <c r="R7" s="176"/>
      <c r="S7" s="14" t="s">
        <v>191</v>
      </c>
      <c r="T7" s="85" t="s">
        <v>392</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176"/>
      <c r="C8" s="176"/>
      <c r="D8" s="14" t="s">
        <v>154</v>
      </c>
      <c r="E8" s="41" t="s">
        <v>155</v>
      </c>
      <c r="F8" s="41" t="s">
        <v>156</v>
      </c>
      <c r="G8" s="176"/>
      <c r="H8" s="176"/>
      <c r="I8" s="176"/>
      <c r="J8" s="176"/>
      <c r="K8" s="176"/>
      <c r="L8" s="14">
        <v>6</v>
      </c>
      <c r="M8" s="14" t="s">
        <v>394</v>
      </c>
      <c r="N8" s="38">
        <f>L8*J6*H6</f>
        <v>3300</v>
      </c>
      <c r="O8" s="181"/>
      <c r="P8" s="181"/>
      <c r="Q8" s="19">
        <f>N8/O2</f>
        <v>2.8156996587030716</v>
      </c>
      <c r="R8" s="49">
        <v>5</v>
      </c>
      <c r="S8" s="14" t="s">
        <v>174</v>
      </c>
      <c r="T8" s="85" t="s">
        <v>175</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187" t="s">
        <v>209</v>
      </c>
      <c r="C9" s="184" t="s">
        <v>363</v>
      </c>
      <c r="D9" s="179" t="s">
        <v>239</v>
      </c>
      <c r="E9" s="179" t="s">
        <v>155</v>
      </c>
      <c r="F9" s="179" t="s">
        <v>397</v>
      </c>
      <c r="G9" s="182">
        <v>1</v>
      </c>
      <c r="H9" s="182">
        <v>1408</v>
      </c>
      <c r="I9" s="183" t="s">
        <v>166</v>
      </c>
      <c r="J9" s="175">
        <v>3.3333333333333335E-3</v>
      </c>
      <c r="K9" s="179" t="s">
        <v>27</v>
      </c>
      <c r="L9" s="178">
        <v>1.6559999999999999</v>
      </c>
      <c r="M9" s="179" t="s">
        <v>400</v>
      </c>
      <c r="N9" s="195">
        <f>L9*H9</f>
        <v>2331.6479999999997</v>
      </c>
      <c r="O9" s="181"/>
      <c r="P9" s="181"/>
      <c r="Q9" s="175">
        <f>N9/O2</f>
        <v>1.989460750853242</v>
      </c>
      <c r="R9" s="190">
        <v>3</v>
      </c>
      <c r="S9" s="40" t="s">
        <v>365</v>
      </c>
      <c r="T9" s="85" t="s">
        <v>366</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181"/>
      <c r="C10" s="181"/>
      <c r="D10" s="181"/>
      <c r="E10" s="181"/>
      <c r="F10" s="181"/>
      <c r="G10" s="181"/>
      <c r="H10" s="181"/>
      <c r="I10" s="181"/>
      <c r="J10" s="181"/>
      <c r="K10" s="181"/>
      <c r="L10" s="181"/>
      <c r="M10" s="181"/>
      <c r="N10" s="181"/>
      <c r="O10" s="181"/>
      <c r="P10" s="181"/>
      <c r="Q10" s="181"/>
      <c r="R10" s="181"/>
      <c r="S10" s="14" t="s">
        <v>368</v>
      </c>
      <c r="T10" s="85" t="s">
        <v>369</v>
      </c>
      <c r="U10" s="85"/>
      <c r="V10" s="85"/>
      <c r="W10" s="85"/>
      <c r="X10" s="85"/>
      <c r="Y10" s="85"/>
      <c r="Z10" s="85"/>
      <c r="AA10" s="85"/>
      <c r="AB10" s="85"/>
      <c r="AC10" s="85"/>
      <c r="AD10" s="85"/>
      <c r="AE10" s="85"/>
      <c r="AF10" s="85"/>
      <c r="AG10" s="85"/>
      <c r="AH10" s="85"/>
      <c r="AI10" s="85"/>
      <c r="AJ10" s="85"/>
      <c r="AK10" s="85"/>
      <c r="AL10" s="85"/>
      <c r="AM10" s="85"/>
      <c r="AN10" s="85"/>
    </row>
    <row r="11" spans="1:40" ht="14.25" customHeight="1" x14ac:dyDescent="0.2">
      <c r="A11" s="181"/>
      <c r="B11" s="181"/>
      <c r="C11" s="181"/>
      <c r="D11" s="176"/>
      <c r="E11" s="176"/>
      <c r="F11" s="176"/>
      <c r="G11" s="176"/>
      <c r="H11" s="181"/>
      <c r="I11" s="181"/>
      <c r="J11" s="176"/>
      <c r="K11" s="176"/>
      <c r="L11" s="176"/>
      <c r="M11" s="176"/>
      <c r="N11" s="176"/>
      <c r="O11" s="181"/>
      <c r="P11" s="181"/>
      <c r="Q11" s="176"/>
      <c r="R11" s="176"/>
      <c r="S11" s="40" t="s">
        <v>370</v>
      </c>
      <c r="T11" s="85" t="s">
        <v>372</v>
      </c>
      <c r="U11" s="85"/>
      <c r="V11" s="85"/>
      <c r="W11" s="85"/>
      <c r="X11" s="85"/>
      <c r="Y11" s="85"/>
      <c r="Z11" s="85"/>
      <c r="AA11" s="85"/>
      <c r="AB11" s="85"/>
      <c r="AC11" s="85"/>
      <c r="AD11" s="85"/>
      <c r="AE11" s="85"/>
      <c r="AF11" s="85"/>
      <c r="AG11" s="85"/>
      <c r="AH11" s="85"/>
      <c r="AI11" s="85"/>
      <c r="AJ11" s="85"/>
      <c r="AK11" s="85"/>
      <c r="AL11" s="85"/>
      <c r="AM11" s="85"/>
      <c r="AN11" s="85"/>
    </row>
    <row r="12" spans="1:40" ht="14.25" customHeight="1" x14ac:dyDescent="0.2">
      <c r="A12" s="181"/>
      <c r="B12" s="181"/>
      <c r="C12" s="181"/>
      <c r="D12" s="179" t="s">
        <v>411</v>
      </c>
      <c r="E12" s="179" t="s">
        <v>155</v>
      </c>
      <c r="F12" s="179" t="s">
        <v>412</v>
      </c>
      <c r="G12" s="178">
        <v>28</v>
      </c>
      <c r="H12" s="181"/>
      <c r="I12" s="181"/>
      <c r="J12" s="175" t="s">
        <v>413</v>
      </c>
      <c r="K12" s="179">
        <v>8</v>
      </c>
      <c r="L12" s="178">
        <v>2.1</v>
      </c>
      <c r="M12" s="179" t="s">
        <v>376</v>
      </c>
      <c r="N12" s="180">
        <f>L12*K12*G12</f>
        <v>470.40000000000003</v>
      </c>
      <c r="O12" s="181"/>
      <c r="P12" s="181"/>
      <c r="Q12" s="175">
        <f>N12/O2</f>
        <v>0.40136518771331059</v>
      </c>
      <c r="R12" s="190">
        <v>1</v>
      </c>
      <c r="S12" s="14" t="s">
        <v>213</v>
      </c>
      <c r="T12" s="14" t="s">
        <v>416</v>
      </c>
      <c r="U12" s="85"/>
      <c r="V12" s="85"/>
      <c r="W12" s="85"/>
      <c r="X12" s="85"/>
      <c r="Y12" s="85"/>
      <c r="Z12" s="85"/>
      <c r="AA12" s="85"/>
      <c r="AB12" s="85"/>
      <c r="AC12" s="85"/>
      <c r="AD12" s="85"/>
      <c r="AE12" s="85"/>
      <c r="AF12" s="85"/>
      <c r="AG12" s="85"/>
      <c r="AH12" s="85"/>
      <c r="AI12" s="85"/>
      <c r="AJ12" s="85"/>
      <c r="AK12" s="85"/>
      <c r="AL12" s="85"/>
      <c r="AM12" s="85"/>
      <c r="AN12" s="85"/>
    </row>
    <row r="13" spans="1:40" ht="14.25" customHeight="1" x14ac:dyDescent="0.2">
      <c r="A13" s="181"/>
      <c r="B13" s="181"/>
      <c r="C13" s="181"/>
      <c r="D13" s="181"/>
      <c r="E13" s="181"/>
      <c r="F13" s="181"/>
      <c r="G13" s="181"/>
      <c r="H13" s="181"/>
      <c r="I13" s="181"/>
      <c r="J13" s="181"/>
      <c r="K13" s="181"/>
      <c r="L13" s="181"/>
      <c r="M13" s="181"/>
      <c r="N13" s="181"/>
      <c r="O13" s="181"/>
      <c r="P13" s="181"/>
      <c r="Q13" s="181"/>
      <c r="R13" s="181"/>
      <c r="S13" s="40" t="s">
        <v>420</v>
      </c>
      <c r="T13" s="14" t="s">
        <v>421</v>
      </c>
      <c r="U13" s="85"/>
      <c r="V13" s="85"/>
      <c r="W13" s="85"/>
      <c r="X13" s="85"/>
      <c r="Y13" s="85"/>
      <c r="Z13" s="85"/>
      <c r="AA13" s="85"/>
      <c r="AB13" s="85"/>
      <c r="AC13" s="85"/>
      <c r="AD13" s="85"/>
      <c r="AE13" s="85"/>
      <c r="AF13" s="85"/>
      <c r="AG13" s="85"/>
      <c r="AH13" s="85"/>
      <c r="AI13" s="85"/>
      <c r="AJ13" s="85"/>
      <c r="AK13" s="85"/>
      <c r="AL13" s="85"/>
      <c r="AM13" s="85"/>
      <c r="AN13" s="85"/>
    </row>
    <row r="14" spans="1:40" ht="14.25" customHeight="1" x14ac:dyDescent="0.2">
      <c r="A14" s="181"/>
      <c r="B14" s="181"/>
      <c r="C14" s="181"/>
      <c r="D14" s="181"/>
      <c r="E14" s="181"/>
      <c r="F14" s="181"/>
      <c r="G14" s="181"/>
      <c r="H14" s="181"/>
      <c r="I14" s="181"/>
      <c r="J14" s="181"/>
      <c r="K14" s="181"/>
      <c r="L14" s="181"/>
      <c r="M14" s="181"/>
      <c r="N14" s="181"/>
      <c r="O14" s="181"/>
      <c r="P14" s="181"/>
      <c r="Q14" s="181"/>
      <c r="R14" s="181"/>
      <c r="S14" s="40" t="s">
        <v>423</v>
      </c>
      <c r="T14" s="14" t="s">
        <v>425</v>
      </c>
      <c r="U14" s="85"/>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181"/>
      <c r="C15" s="181"/>
      <c r="D15" s="181"/>
      <c r="E15" s="181"/>
      <c r="F15" s="181"/>
      <c r="G15" s="181"/>
      <c r="H15" s="181"/>
      <c r="I15" s="181"/>
      <c r="J15" s="181"/>
      <c r="K15" s="181"/>
      <c r="L15" s="181"/>
      <c r="M15" s="181"/>
      <c r="N15" s="181"/>
      <c r="O15" s="181"/>
      <c r="P15" s="181"/>
      <c r="Q15" s="181"/>
      <c r="R15" s="181"/>
      <c r="S15" s="40" t="s">
        <v>427</v>
      </c>
      <c r="T15" s="14" t="s">
        <v>428</v>
      </c>
      <c r="U15" s="85"/>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181"/>
      <c r="C16" s="181"/>
      <c r="D16" s="181"/>
      <c r="E16" s="181"/>
      <c r="F16" s="181"/>
      <c r="G16" s="181"/>
      <c r="H16" s="181"/>
      <c r="I16" s="181"/>
      <c r="J16" s="181"/>
      <c r="K16" s="181"/>
      <c r="L16" s="181"/>
      <c r="M16" s="181"/>
      <c r="N16" s="181"/>
      <c r="O16" s="181"/>
      <c r="P16" s="181"/>
      <c r="Q16" s="181"/>
      <c r="R16" s="181"/>
      <c r="S16" s="40" t="s">
        <v>431</v>
      </c>
      <c r="T16" s="14" t="s">
        <v>432</v>
      </c>
      <c r="U16" s="85"/>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181"/>
      <c r="C17" s="181"/>
      <c r="D17" s="176"/>
      <c r="E17" s="176"/>
      <c r="F17" s="176"/>
      <c r="G17" s="176"/>
      <c r="H17" s="181"/>
      <c r="I17" s="181"/>
      <c r="J17" s="176"/>
      <c r="K17" s="176"/>
      <c r="L17" s="176"/>
      <c r="M17" s="176"/>
      <c r="N17" s="176"/>
      <c r="O17" s="181"/>
      <c r="P17" s="181"/>
      <c r="Q17" s="176"/>
      <c r="R17" s="176"/>
      <c r="S17" s="40" t="s">
        <v>436</v>
      </c>
      <c r="T17" s="14" t="s">
        <v>438</v>
      </c>
      <c r="U17" s="85"/>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181"/>
      <c r="C18" s="181"/>
      <c r="D18" s="179" t="s">
        <v>373</v>
      </c>
      <c r="E18" s="179" t="s">
        <v>155</v>
      </c>
      <c r="F18" s="179" t="s">
        <v>441</v>
      </c>
      <c r="G18" s="178">
        <v>6</v>
      </c>
      <c r="H18" s="181"/>
      <c r="I18" s="181"/>
      <c r="J18" s="175" t="s">
        <v>442</v>
      </c>
      <c r="K18" s="179">
        <v>25</v>
      </c>
      <c r="L18" s="178">
        <v>26</v>
      </c>
      <c r="M18" s="179" t="s">
        <v>385</v>
      </c>
      <c r="N18" s="180">
        <f>L18*K18*G18</f>
        <v>3900</v>
      </c>
      <c r="O18" s="181"/>
      <c r="P18" s="181"/>
      <c r="Q18" s="175">
        <f>N18/O2</f>
        <v>3.3276450511945392</v>
      </c>
      <c r="R18" s="190">
        <v>2</v>
      </c>
      <c r="S18" s="40" t="s">
        <v>445</v>
      </c>
      <c r="T18" s="14" t="s">
        <v>446</v>
      </c>
      <c r="U18" s="85"/>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181"/>
      <c r="C19" s="181"/>
      <c r="D19" s="181"/>
      <c r="E19" s="181"/>
      <c r="F19" s="181"/>
      <c r="G19" s="181"/>
      <c r="H19" s="181"/>
      <c r="I19" s="181"/>
      <c r="J19" s="181"/>
      <c r="K19" s="181"/>
      <c r="L19" s="181"/>
      <c r="M19" s="181"/>
      <c r="N19" s="181"/>
      <c r="O19" s="181"/>
      <c r="P19" s="181"/>
      <c r="Q19" s="181"/>
      <c r="R19" s="181"/>
      <c r="S19" s="40" t="s">
        <v>448</v>
      </c>
      <c r="T19" s="14" t="s">
        <v>450</v>
      </c>
      <c r="U19" s="85"/>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176"/>
      <c r="C20" s="197"/>
      <c r="D20" s="181"/>
      <c r="E20" s="181"/>
      <c r="F20" s="181"/>
      <c r="G20" s="181"/>
      <c r="H20" s="176"/>
      <c r="I20" s="176"/>
      <c r="J20" s="181"/>
      <c r="K20" s="181"/>
      <c r="L20" s="181"/>
      <c r="M20" s="181"/>
      <c r="N20" s="181"/>
      <c r="O20" s="181"/>
      <c r="P20" s="181"/>
      <c r="Q20" s="181"/>
      <c r="R20" s="197"/>
      <c r="S20" s="14" t="s">
        <v>229</v>
      </c>
      <c r="T20" s="14" t="s">
        <v>453</v>
      </c>
      <c r="U20" s="85"/>
      <c r="V20" s="85"/>
      <c r="W20" s="85"/>
      <c r="X20" s="85"/>
      <c r="Y20" s="85"/>
      <c r="Z20" s="85"/>
      <c r="AA20" s="85"/>
      <c r="AB20" s="85"/>
      <c r="AC20" s="85"/>
      <c r="AD20" s="85"/>
      <c r="AE20" s="85"/>
      <c r="AF20" s="85"/>
      <c r="AG20" s="85"/>
      <c r="AH20" s="85"/>
      <c r="AI20" s="85"/>
      <c r="AJ20" s="85"/>
      <c r="AK20" s="85"/>
      <c r="AL20" s="85"/>
      <c r="AM20" s="85"/>
      <c r="AN20" s="85"/>
    </row>
    <row r="21" spans="1:40" ht="15" customHeight="1" x14ac:dyDescent="0.2">
      <c r="A21" s="181"/>
      <c r="B21" s="183" t="s">
        <v>251</v>
      </c>
      <c r="C21" s="184" t="s">
        <v>252</v>
      </c>
      <c r="D21" s="179" t="s">
        <v>398</v>
      </c>
      <c r="E21" s="179" t="s">
        <v>140</v>
      </c>
      <c r="F21" s="179" t="s">
        <v>399</v>
      </c>
      <c r="G21" s="182">
        <v>1</v>
      </c>
      <c r="H21" s="182">
        <v>1500</v>
      </c>
      <c r="I21" s="183" t="s">
        <v>166</v>
      </c>
      <c r="J21" s="175">
        <v>0.66666666666666663</v>
      </c>
      <c r="K21" s="179" t="s">
        <v>27</v>
      </c>
      <c r="L21" s="178">
        <v>150</v>
      </c>
      <c r="M21" s="179" t="s">
        <v>457</v>
      </c>
      <c r="N21" s="180">
        <f>L21*H21*J21</f>
        <v>150000</v>
      </c>
      <c r="O21" s="181"/>
      <c r="P21" s="181"/>
      <c r="Q21" s="198">
        <f>N21/O2</f>
        <v>127.9863481228669</v>
      </c>
      <c r="R21" s="190">
        <v>4</v>
      </c>
      <c r="S21" s="40" t="s">
        <v>259</v>
      </c>
      <c r="T21" s="14" t="s">
        <v>260</v>
      </c>
      <c r="U21" s="61"/>
      <c r="V21" s="61"/>
      <c r="W21" s="61"/>
      <c r="X21" s="61"/>
      <c r="Y21" s="61"/>
      <c r="Z21" s="61"/>
      <c r="AA21" s="61"/>
      <c r="AB21" s="61"/>
      <c r="AC21" s="61"/>
      <c r="AD21" s="61"/>
      <c r="AE21" s="61"/>
      <c r="AF21" s="61"/>
      <c r="AG21" s="61"/>
      <c r="AH21" s="61"/>
      <c r="AI21" s="61"/>
      <c r="AJ21" s="61"/>
      <c r="AK21" s="61"/>
      <c r="AL21" s="61"/>
      <c r="AM21" s="85"/>
      <c r="AN21" s="85"/>
    </row>
    <row r="22" spans="1:40" ht="15" customHeight="1" x14ac:dyDescent="0.2">
      <c r="A22" s="181"/>
      <c r="B22" s="181"/>
      <c r="C22" s="181"/>
      <c r="D22" s="176"/>
      <c r="E22" s="176"/>
      <c r="F22" s="176"/>
      <c r="G22" s="181"/>
      <c r="H22" s="181"/>
      <c r="I22" s="181"/>
      <c r="J22" s="176"/>
      <c r="K22" s="176"/>
      <c r="L22" s="176"/>
      <c r="M22" s="176"/>
      <c r="N22" s="176"/>
      <c r="O22" s="181"/>
      <c r="P22" s="181"/>
      <c r="Q22" s="176"/>
      <c r="R22" s="176"/>
      <c r="S22" s="14" t="s">
        <v>191</v>
      </c>
      <c r="T22" s="14" t="s">
        <v>465</v>
      </c>
      <c r="U22" s="61"/>
      <c r="V22" s="61"/>
      <c r="W22" s="61"/>
      <c r="X22" s="61"/>
      <c r="Y22" s="61"/>
      <c r="Z22" s="61"/>
      <c r="AA22" s="61"/>
      <c r="AB22" s="61"/>
      <c r="AC22" s="61"/>
      <c r="AD22" s="61"/>
      <c r="AE22" s="61"/>
      <c r="AF22" s="61"/>
      <c r="AG22" s="61"/>
      <c r="AH22" s="61"/>
      <c r="AI22" s="61"/>
      <c r="AJ22" s="61"/>
      <c r="AK22" s="61"/>
      <c r="AL22" s="61"/>
      <c r="AM22" s="85"/>
      <c r="AN22" s="85"/>
    </row>
    <row r="23" spans="1:40" ht="15" customHeight="1" x14ac:dyDescent="0.2">
      <c r="A23" s="181"/>
      <c r="B23" s="197"/>
      <c r="C23" s="176"/>
      <c r="D23" s="50" t="s">
        <v>409</v>
      </c>
      <c r="E23" s="50" t="s">
        <v>155</v>
      </c>
      <c r="F23" s="50" t="s">
        <v>156</v>
      </c>
      <c r="G23" s="176"/>
      <c r="H23" s="176"/>
      <c r="I23" s="176"/>
      <c r="J23" s="51" t="s">
        <v>27</v>
      </c>
      <c r="K23" s="50" t="s">
        <v>27</v>
      </c>
      <c r="L23" s="53">
        <v>1.9</v>
      </c>
      <c r="M23" s="14" t="s">
        <v>469</v>
      </c>
      <c r="N23" s="54">
        <f>L23*H21</f>
        <v>2850</v>
      </c>
      <c r="O23" s="181"/>
      <c r="P23" s="181"/>
      <c r="Q23" s="57">
        <f>N23/O2</f>
        <v>2.4317406143344709</v>
      </c>
      <c r="R23" s="71">
        <v>3</v>
      </c>
      <c r="S23" s="40" t="s">
        <v>262</v>
      </c>
      <c r="T23" s="14" t="s">
        <v>407</v>
      </c>
      <c r="U23" s="61"/>
      <c r="V23" s="61"/>
      <c r="W23" s="61"/>
      <c r="X23" s="61"/>
      <c r="Y23" s="61"/>
      <c r="Z23" s="61"/>
      <c r="AA23" s="61"/>
      <c r="AB23" s="61"/>
      <c r="AC23" s="61"/>
      <c r="AD23" s="61"/>
      <c r="AE23" s="61"/>
      <c r="AF23" s="61"/>
      <c r="AG23" s="61"/>
      <c r="AH23" s="61"/>
      <c r="AI23" s="61"/>
      <c r="AJ23" s="61"/>
      <c r="AK23" s="61"/>
      <c r="AL23" s="61"/>
      <c r="AM23" s="85"/>
      <c r="AN23" s="85"/>
    </row>
    <row r="24" spans="1:40" ht="14.25" customHeight="1" x14ac:dyDescent="0.2">
      <c r="A24" s="181"/>
      <c r="B24" s="183" t="s">
        <v>417</v>
      </c>
      <c r="C24" s="183" t="s">
        <v>418</v>
      </c>
      <c r="D24" s="179" t="s">
        <v>419</v>
      </c>
      <c r="E24" s="179" t="s">
        <v>155</v>
      </c>
      <c r="F24" s="179" t="s">
        <v>397</v>
      </c>
      <c r="G24" s="182">
        <v>4</v>
      </c>
      <c r="H24" s="178">
        <v>16</v>
      </c>
      <c r="I24" s="179" t="s">
        <v>166</v>
      </c>
      <c r="J24" s="175" t="s">
        <v>27</v>
      </c>
      <c r="K24" s="179" t="s">
        <v>27</v>
      </c>
      <c r="L24" s="178">
        <v>2.75</v>
      </c>
      <c r="M24" s="179" t="s">
        <v>422</v>
      </c>
      <c r="N24" s="180">
        <f>L24*G24*H24</f>
        <v>176</v>
      </c>
      <c r="O24" s="181"/>
      <c r="P24" s="181"/>
      <c r="Q24" s="175">
        <f>N24/O2</f>
        <v>0.15017064846416384</v>
      </c>
      <c r="R24" s="190">
        <v>3</v>
      </c>
      <c r="S24" s="40" t="s">
        <v>424</v>
      </c>
      <c r="T24" s="14" t="s">
        <v>426</v>
      </c>
      <c r="U24" s="85"/>
      <c r="V24" s="85"/>
      <c r="W24" s="85"/>
      <c r="X24" s="85"/>
      <c r="Y24" s="85"/>
      <c r="Z24" s="85"/>
      <c r="AA24" s="85"/>
      <c r="AB24" s="85"/>
      <c r="AC24" s="85"/>
      <c r="AD24" s="85"/>
      <c r="AE24" s="85"/>
      <c r="AF24" s="85"/>
      <c r="AG24" s="85"/>
      <c r="AH24" s="85"/>
      <c r="AI24" s="85"/>
      <c r="AJ24" s="85"/>
      <c r="AK24" s="85"/>
      <c r="AL24" s="85"/>
      <c r="AM24" s="85"/>
      <c r="AN24" s="85"/>
    </row>
    <row r="25" spans="1:40" ht="14.25" customHeight="1" x14ac:dyDescent="0.2">
      <c r="A25" s="181"/>
      <c r="B25" s="181"/>
      <c r="C25" s="181"/>
      <c r="D25" s="181"/>
      <c r="E25" s="181"/>
      <c r="F25" s="181"/>
      <c r="G25" s="181"/>
      <c r="H25" s="181"/>
      <c r="I25" s="181"/>
      <c r="J25" s="181"/>
      <c r="K25" s="181"/>
      <c r="L25" s="181"/>
      <c r="M25" s="181"/>
      <c r="N25" s="181"/>
      <c r="O25" s="181"/>
      <c r="P25" s="181"/>
      <c r="Q25" s="181"/>
      <c r="R25" s="176"/>
      <c r="S25" s="14" t="s">
        <v>213</v>
      </c>
      <c r="T25" s="14" t="s">
        <v>493</v>
      </c>
      <c r="U25" s="85"/>
      <c r="V25" s="85"/>
      <c r="W25" s="85"/>
      <c r="X25" s="85"/>
      <c r="Y25" s="85"/>
      <c r="Z25" s="85"/>
      <c r="AA25" s="85"/>
      <c r="AB25" s="85"/>
      <c r="AC25" s="85"/>
      <c r="AD25" s="85"/>
      <c r="AE25" s="85"/>
      <c r="AF25" s="85"/>
      <c r="AG25" s="85"/>
      <c r="AH25" s="85"/>
      <c r="AI25" s="85"/>
      <c r="AJ25" s="85"/>
      <c r="AK25" s="85"/>
      <c r="AL25" s="85"/>
      <c r="AM25" s="85"/>
      <c r="AN25" s="85"/>
    </row>
    <row r="26" spans="1:40" ht="14.25" customHeight="1" x14ac:dyDescent="0.2">
      <c r="A26" s="181"/>
      <c r="B26" s="181"/>
      <c r="C26" s="181"/>
      <c r="D26" s="179" t="s">
        <v>433</v>
      </c>
      <c r="E26" s="179" t="s">
        <v>434</v>
      </c>
      <c r="F26" s="179" t="s">
        <v>435</v>
      </c>
      <c r="G26" s="181"/>
      <c r="H26" s="178">
        <v>16</v>
      </c>
      <c r="I26" s="179" t="s">
        <v>166</v>
      </c>
      <c r="J26" s="175">
        <v>2.0833333333333332E-2</v>
      </c>
      <c r="K26" s="193" t="s">
        <v>27</v>
      </c>
      <c r="L26" s="194">
        <v>158</v>
      </c>
      <c r="M26" s="193" t="s">
        <v>497</v>
      </c>
      <c r="N26" s="180">
        <f>L26*J26*H26*G24*2</f>
        <v>421.33333333333331</v>
      </c>
      <c r="O26" s="181"/>
      <c r="P26" s="181"/>
      <c r="Q26" s="175">
        <f>N26/O2</f>
        <v>0.35949943117178612</v>
      </c>
      <c r="R26" s="190">
        <v>3</v>
      </c>
      <c r="S26" s="14" t="s">
        <v>439</v>
      </c>
      <c r="T26" s="14" t="s">
        <v>440</v>
      </c>
      <c r="U26" s="85"/>
      <c r="V26" s="85"/>
      <c r="W26" s="85"/>
      <c r="X26" s="85"/>
      <c r="Y26" s="85"/>
      <c r="Z26" s="85"/>
      <c r="AA26" s="85"/>
      <c r="AB26" s="85"/>
      <c r="AC26" s="85"/>
      <c r="AD26" s="85"/>
      <c r="AE26" s="85"/>
      <c r="AF26" s="85"/>
      <c r="AG26" s="85"/>
      <c r="AH26" s="85"/>
      <c r="AI26" s="85"/>
      <c r="AJ26" s="85"/>
      <c r="AK26" s="85"/>
      <c r="AL26" s="85"/>
      <c r="AM26" s="85"/>
      <c r="AN26" s="85"/>
    </row>
    <row r="27" spans="1:40" ht="14.25" customHeight="1" x14ac:dyDescent="0.2">
      <c r="A27" s="181"/>
      <c r="B27" s="181"/>
      <c r="C27" s="181"/>
      <c r="D27" s="181"/>
      <c r="E27" s="181"/>
      <c r="F27" s="181"/>
      <c r="G27" s="181"/>
      <c r="H27" s="181"/>
      <c r="I27" s="181"/>
      <c r="J27" s="181"/>
      <c r="K27" s="181"/>
      <c r="L27" s="181"/>
      <c r="M27" s="181"/>
      <c r="N27" s="181"/>
      <c r="O27" s="181"/>
      <c r="P27" s="181"/>
      <c r="Q27" s="181"/>
      <c r="R27" s="181"/>
      <c r="S27" s="14" t="s">
        <v>443</v>
      </c>
      <c r="T27" s="14" t="s">
        <v>444</v>
      </c>
      <c r="U27" s="85"/>
      <c r="V27" s="85"/>
      <c r="W27" s="85"/>
      <c r="X27" s="85"/>
      <c r="Y27" s="85"/>
      <c r="Z27" s="85"/>
      <c r="AA27" s="85"/>
      <c r="AB27" s="85"/>
      <c r="AC27" s="85"/>
      <c r="AD27" s="85"/>
      <c r="AE27" s="85"/>
      <c r="AF27" s="85"/>
      <c r="AG27" s="85"/>
      <c r="AH27" s="85"/>
      <c r="AI27" s="85"/>
      <c r="AJ27" s="85"/>
      <c r="AK27" s="85"/>
      <c r="AL27" s="85"/>
      <c r="AM27" s="85"/>
      <c r="AN27" s="85"/>
    </row>
    <row r="28" spans="1:40" ht="14.25" customHeight="1" x14ac:dyDescent="0.2">
      <c r="A28" s="181"/>
      <c r="B28" s="181"/>
      <c r="C28" s="181"/>
      <c r="D28" s="181"/>
      <c r="E28" s="181"/>
      <c r="F28" s="181"/>
      <c r="G28" s="181"/>
      <c r="H28" s="181"/>
      <c r="I28" s="181"/>
      <c r="J28" s="181"/>
      <c r="K28" s="181"/>
      <c r="L28" s="181"/>
      <c r="M28" s="181"/>
      <c r="N28" s="181"/>
      <c r="O28" s="181"/>
      <c r="P28" s="181"/>
      <c r="Q28" s="181"/>
      <c r="R28" s="181"/>
      <c r="S28" s="40" t="s">
        <v>447</v>
      </c>
      <c r="T28" s="14" t="s">
        <v>449</v>
      </c>
      <c r="U28" s="85"/>
      <c r="V28" s="85"/>
      <c r="W28" s="85"/>
      <c r="X28" s="85"/>
      <c r="Y28" s="85"/>
      <c r="Z28" s="85"/>
      <c r="AA28" s="85"/>
      <c r="AB28" s="85"/>
      <c r="AC28" s="85"/>
      <c r="AD28" s="85"/>
      <c r="AE28" s="85"/>
      <c r="AF28" s="85"/>
      <c r="AG28" s="85"/>
      <c r="AH28" s="85"/>
      <c r="AI28" s="85"/>
      <c r="AJ28" s="85"/>
      <c r="AK28" s="85"/>
      <c r="AL28" s="85"/>
      <c r="AM28" s="85"/>
      <c r="AN28" s="85"/>
    </row>
    <row r="29" spans="1:40" ht="14.25" customHeight="1" x14ac:dyDescent="0.2">
      <c r="A29" s="181"/>
      <c r="B29" s="181"/>
      <c r="C29" s="181"/>
      <c r="D29" s="181"/>
      <c r="E29" s="181"/>
      <c r="F29" s="181"/>
      <c r="G29" s="181"/>
      <c r="H29" s="181"/>
      <c r="I29" s="181"/>
      <c r="J29" s="181"/>
      <c r="K29" s="181"/>
      <c r="L29" s="181"/>
      <c r="M29" s="181"/>
      <c r="N29" s="181"/>
      <c r="O29" s="181"/>
      <c r="P29" s="181"/>
      <c r="Q29" s="181"/>
      <c r="R29" s="181"/>
      <c r="S29" s="14" t="s">
        <v>451</v>
      </c>
      <c r="T29" s="14" t="s">
        <v>452</v>
      </c>
      <c r="U29" s="85"/>
      <c r="V29" s="85"/>
      <c r="W29" s="85"/>
      <c r="X29" s="85"/>
      <c r="Y29" s="85"/>
      <c r="Z29" s="85"/>
      <c r="AA29" s="85"/>
      <c r="AB29" s="85"/>
      <c r="AC29" s="85"/>
      <c r="AD29" s="85"/>
      <c r="AE29" s="85"/>
      <c r="AF29" s="85"/>
      <c r="AG29" s="85"/>
      <c r="AH29" s="85"/>
      <c r="AI29" s="85"/>
      <c r="AJ29" s="85"/>
      <c r="AK29" s="85"/>
      <c r="AL29" s="85"/>
      <c r="AM29" s="85"/>
      <c r="AN29" s="85"/>
    </row>
    <row r="30" spans="1:40" ht="14.25" customHeight="1" x14ac:dyDescent="0.2">
      <c r="A30" s="181"/>
      <c r="B30" s="181"/>
      <c r="C30" s="181"/>
      <c r="D30" s="181"/>
      <c r="E30" s="176"/>
      <c r="F30" s="176"/>
      <c r="G30" s="181"/>
      <c r="H30" s="181"/>
      <c r="I30" s="181"/>
      <c r="J30" s="176"/>
      <c r="K30" s="176"/>
      <c r="L30" s="176"/>
      <c r="M30" s="176"/>
      <c r="N30" s="176"/>
      <c r="O30" s="181"/>
      <c r="P30" s="181"/>
      <c r="Q30" s="176"/>
      <c r="R30" s="176"/>
      <c r="S30" s="14"/>
      <c r="T30" s="85" t="s">
        <v>454</v>
      </c>
      <c r="U30" s="85"/>
      <c r="V30" s="85"/>
      <c r="W30" s="85"/>
      <c r="X30" s="85"/>
      <c r="Y30" s="85"/>
      <c r="Z30" s="85"/>
      <c r="AA30" s="85"/>
      <c r="AB30" s="85"/>
      <c r="AC30" s="85"/>
      <c r="AD30" s="85"/>
      <c r="AE30" s="85"/>
      <c r="AF30" s="85"/>
      <c r="AG30" s="85"/>
      <c r="AH30" s="85"/>
      <c r="AI30" s="85"/>
      <c r="AJ30" s="85"/>
      <c r="AK30" s="85"/>
      <c r="AL30" s="85"/>
      <c r="AM30" s="85"/>
      <c r="AN30" s="85"/>
    </row>
    <row r="31" spans="1:40" ht="17.25" customHeight="1" x14ac:dyDescent="0.2">
      <c r="A31" s="181"/>
      <c r="B31" s="176"/>
      <c r="C31" s="176"/>
      <c r="D31" s="181"/>
      <c r="E31" s="34" t="s">
        <v>287</v>
      </c>
      <c r="F31" s="34" t="s">
        <v>19</v>
      </c>
      <c r="G31" s="176"/>
      <c r="H31" s="176"/>
      <c r="I31" s="176"/>
      <c r="J31" s="36">
        <v>2.5000000000000001E-3</v>
      </c>
      <c r="K31" s="34" t="s">
        <v>27</v>
      </c>
      <c r="L31" s="35">
        <v>0.17</v>
      </c>
      <c r="M31" s="34" t="s">
        <v>520</v>
      </c>
      <c r="N31" s="55">
        <f>L31*H26*G24*2</f>
        <v>21.76</v>
      </c>
      <c r="O31" s="181"/>
      <c r="P31" s="181"/>
      <c r="Q31" s="36">
        <f>N31/O2</f>
        <v>1.8566552901023891E-2</v>
      </c>
      <c r="R31" s="62">
        <v>3</v>
      </c>
      <c r="S31" s="40" t="s">
        <v>460</v>
      </c>
      <c r="T31" s="14" t="s">
        <v>461</v>
      </c>
      <c r="U31" s="85"/>
      <c r="V31" s="85"/>
      <c r="W31" s="85"/>
      <c r="X31" s="85"/>
      <c r="Y31" s="85"/>
      <c r="Z31" s="85"/>
      <c r="AA31" s="85"/>
      <c r="AB31" s="85"/>
      <c r="AC31" s="85"/>
      <c r="AD31" s="85"/>
      <c r="AE31" s="85"/>
      <c r="AF31" s="85"/>
      <c r="AG31" s="85"/>
      <c r="AH31" s="85"/>
      <c r="AI31" s="85"/>
      <c r="AJ31" s="85"/>
      <c r="AK31" s="85"/>
      <c r="AL31" s="85"/>
      <c r="AM31" s="85"/>
      <c r="AN31" s="85"/>
    </row>
    <row r="32" spans="1:40" ht="14.25" customHeight="1" x14ac:dyDescent="0.2">
      <c r="A32" s="181"/>
      <c r="B32" s="68" t="s">
        <v>463</v>
      </c>
      <c r="C32" s="68" t="s">
        <v>300</v>
      </c>
      <c r="D32" s="50" t="s">
        <v>301</v>
      </c>
      <c r="E32" s="50" t="s">
        <v>27</v>
      </c>
      <c r="F32" s="50" t="s">
        <v>27</v>
      </c>
      <c r="G32" s="70">
        <v>4</v>
      </c>
      <c r="H32" s="59">
        <v>21</v>
      </c>
      <c r="I32" s="53" t="s">
        <v>166</v>
      </c>
      <c r="J32" s="51" t="s">
        <v>27</v>
      </c>
      <c r="K32" s="53" t="s">
        <v>27</v>
      </c>
      <c r="L32" s="53" t="s">
        <v>27</v>
      </c>
      <c r="M32" s="50" t="s">
        <v>304</v>
      </c>
      <c r="N32" s="72">
        <f>G32*H32</f>
        <v>84</v>
      </c>
      <c r="O32" s="181"/>
      <c r="P32" s="181"/>
      <c r="Q32" s="51">
        <f t="shared" ref="Q32:Q33" si="0">N32/$O$2</f>
        <v>7.1672354948805458E-2</v>
      </c>
      <c r="R32" s="71">
        <v>4</v>
      </c>
      <c r="S32" s="44" t="s">
        <v>307</v>
      </c>
      <c r="T32" s="44" t="s">
        <v>308</v>
      </c>
      <c r="U32" s="85"/>
      <c r="V32" s="85"/>
      <c r="W32" s="85"/>
      <c r="X32" s="85"/>
      <c r="Y32" s="85"/>
      <c r="Z32" s="85"/>
      <c r="AA32" s="85"/>
      <c r="AB32" s="85"/>
      <c r="AC32" s="85"/>
      <c r="AD32" s="85"/>
      <c r="AE32" s="85"/>
      <c r="AF32" s="85"/>
      <c r="AG32" s="85"/>
      <c r="AH32" s="85"/>
      <c r="AI32" s="85"/>
      <c r="AJ32" s="85"/>
      <c r="AK32" s="85"/>
      <c r="AL32" s="85"/>
      <c r="AM32" s="85"/>
      <c r="AN32" s="85"/>
    </row>
    <row r="33" spans="1:40" ht="14.25" customHeight="1" x14ac:dyDescent="0.2">
      <c r="A33" s="181"/>
      <c r="B33" s="183" t="s">
        <v>321</v>
      </c>
      <c r="C33" s="184" t="s">
        <v>484</v>
      </c>
      <c r="D33" s="179" t="s">
        <v>286</v>
      </c>
      <c r="E33" s="179" t="s">
        <v>287</v>
      </c>
      <c r="F33" s="179" t="s">
        <v>10</v>
      </c>
      <c r="G33" s="178">
        <v>2</v>
      </c>
      <c r="H33" s="182">
        <v>1408</v>
      </c>
      <c r="I33" s="183" t="s">
        <v>166</v>
      </c>
      <c r="J33" s="175">
        <v>0.21666666666666667</v>
      </c>
      <c r="K33" s="179" t="s">
        <v>27</v>
      </c>
      <c r="L33" s="178">
        <v>2.5</v>
      </c>
      <c r="M33" s="179" t="s">
        <v>585</v>
      </c>
      <c r="N33" s="180">
        <f>H33*L33*J33*G33</f>
        <v>1525.3333333333335</v>
      </c>
      <c r="O33" s="181"/>
      <c r="P33" s="181"/>
      <c r="Q33" s="175">
        <f t="shared" si="0"/>
        <v>1.3014789533560867</v>
      </c>
      <c r="R33" s="192">
        <v>3</v>
      </c>
      <c r="S33" s="14" t="s">
        <v>347</v>
      </c>
      <c r="T33" s="85" t="s">
        <v>490</v>
      </c>
      <c r="U33" s="85"/>
      <c r="V33" s="85"/>
      <c r="W33" s="85"/>
      <c r="X33" s="85"/>
      <c r="Y33" s="85"/>
      <c r="Z33" s="85"/>
      <c r="AA33" s="85"/>
      <c r="AB33" s="85"/>
      <c r="AC33" s="85"/>
      <c r="AD33" s="85"/>
      <c r="AE33" s="85"/>
      <c r="AF33" s="85"/>
      <c r="AG33" s="85"/>
      <c r="AH33" s="85"/>
      <c r="AI33" s="85"/>
      <c r="AJ33" s="85"/>
      <c r="AK33" s="85"/>
      <c r="AL33" s="85"/>
      <c r="AM33" s="85"/>
      <c r="AN33" s="85"/>
    </row>
    <row r="34" spans="1:40" ht="14.25" customHeight="1" x14ac:dyDescent="0.2">
      <c r="A34" s="181"/>
      <c r="B34" s="181"/>
      <c r="C34" s="181"/>
      <c r="D34" s="181"/>
      <c r="E34" s="181"/>
      <c r="F34" s="181"/>
      <c r="G34" s="181"/>
      <c r="H34" s="181"/>
      <c r="I34" s="181"/>
      <c r="J34" s="181"/>
      <c r="K34" s="181"/>
      <c r="L34" s="181"/>
      <c r="M34" s="181"/>
      <c r="N34" s="181"/>
      <c r="O34" s="181"/>
      <c r="P34" s="181"/>
      <c r="Q34" s="181"/>
      <c r="R34" s="181"/>
      <c r="S34" s="14" t="s">
        <v>349</v>
      </c>
      <c r="T34" s="85" t="s">
        <v>350</v>
      </c>
      <c r="U34" s="85"/>
      <c r="V34" s="85"/>
      <c r="W34" s="85"/>
      <c r="X34" s="85"/>
      <c r="Y34" s="85"/>
      <c r="Z34" s="85"/>
      <c r="AA34" s="85"/>
      <c r="AB34" s="85"/>
      <c r="AC34" s="85"/>
      <c r="AD34" s="85"/>
      <c r="AE34" s="85"/>
      <c r="AF34" s="85"/>
      <c r="AG34" s="85"/>
      <c r="AH34" s="85"/>
      <c r="AI34" s="85"/>
      <c r="AJ34" s="85"/>
      <c r="AK34" s="85"/>
      <c r="AL34" s="85"/>
      <c r="AM34" s="85"/>
      <c r="AN34" s="85"/>
    </row>
    <row r="35" spans="1:40" ht="14.25" customHeight="1" x14ac:dyDescent="0.2">
      <c r="A35" s="181"/>
      <c r="B35" s="181"/>
      <c r="C35" s="181"/>
      <c r="D35" s="176"/>
      <c r="E35" s="176"/>
      <c r="F35" s="176"/>
      <c r="G35" s="176"/>
      <c r="H35" s="181"/>
      <c r="I35" s="181"/>
      <c r="J35" s="176"/>
      <c r="K35" s="176"/>
      <c r="L35" s="176"/>
      <c r="M35" s="176"/>
      <c r="N35" s="176"/>
      <c r="O35" s="181"/>
      <c r="P35" s="181"/>
      <c r="Q35" s="176"/>
      <c r="R35" s="176"/>
      <c r="S35" s="44" t="s">
        <v>191</v>
      </c>
      <c r="T35" s="44" t="s">
        <v>593</v>
      </c>
      <c r="U35" s="85"/>
      <c r="V35" s="85"/>
      <c r="W35" s="85"/>
      <c r="X35" s="85"/>
      <c r="Y35" s="85"/>
      <c r="Z35" s="85"/>
      <c r="AA35" s="85"/>
      <c r="AB35" s="85"/>
      <c r="AC35" s="85"/>
      <c r="AD35" s="85"/>
      <c r="AE35" s="85"/>
      <c r="AF35" s="85"/>
      <c r="AG35" s="85"/>
      <c r="AH35" s="85"/>
      <c r="AI35" s="85"/>
      <c r="AJ35" s="85"/>
      <c r="AK35" s="85"/>
      <c r="AL35" s="85"/>
      <c r="AM35" s="85"/>
      <c r="AN35" s="85"/>
    </row>
    <row r="36" spans="1:40" ht="14.25" customHeight="1" x14ac:dyDescent="0.2">
      <c r="A36" s="181"/>
      <c r="B36" s="181"/>
      <c r="C36" s="181"/>
      <c r="D36" s="179" t="s">
        <v>498</v>
      </c>
      <c r="E36" s="179" t="s">
        <v>294</v>
      </c>
      <c r="F36" s="196" t="s">
        <v>12</v>
      </c>
      <c r="G36" s="178">
        <v>1</v>
      </c>
      <c r="H36" s="181"/>
      <c r="I36" s="181"/>
      <c r="J36" s="193">
        <v>4.1666666666666664E-2</v>
      </c>
      <c r="K36" s="179" t="s">
        <v>27</v>
      </c>
      <c r="L36" s="178">
        <v>2</v>
      </c>
      <c r="M36" s="179" t="s">
        <v>594</v>
      </c>
      <c r="N36" s="201">
        <f>H33*L36</f>
        <v>2816</v>
      </c>
      <c r="O36" s="181"/>
      <c r="P36" s="181"/>
      <c r="Q36" s="175">
        <f>N36/$O$2</f>
        <v>2.4027303754266214</v>
      </c>
      <c r="R36" s="191">
        <v>1</v>
      </c>
      <c r="S36" s="14" t="s">
        <v>503</v>
      </c>
      <c r="T36" s="85" t="s">
        <v>504</v>
      </c>
      <c r="U36" s="85"/>
      <c r="V36" s="85"/>
      <c r="W36" s="85"/>
      <c r="X36" s="85"/>
      <c r="Y36" s="85"/>
      <c r="Z36" s="85"/>
      <c r="AA36" s="85"/>
      <c r="AB36" s="85"/>
      <c r="AC36" s="85"/>
      <c r="AD36" s="85"/>
      <c r="AE36" s="85"/>
      <c r="AF36" s="85"/>
      <c r="AG36" s="85"/>
      <c r="AH36" s="85"/>
      <c r="AI36" s="85"/>
      <c r="AJ36" s="85"/>
      <c r="AK36" s="85"/>
      <c r="AL36" s="85"/>
      <c r="AM36" s="85"/>
      <c r="AN36" s="85"/>
    </row>
    <row r="37" spans="1:40" ht="14.25" customHeight="1" x14ac:dyDescent="0.2">
      <c r="A37" s="181"/>
      <c r="B37" s="181"/>
      <c r="C37" s="181"/>
      <c r="D37" s="181"/>
      <c r="E37" s="181"/>
      <c r="F37" s="181"/>
      <c r="G37" s="181"/>
      <c r="H37" s="181"/>
      <c r="I37" s="181"/>
      <c r="J37" s="181"/>
      <c r="K37" s="181"/>
      <c r="L37" s="181"/>
      <c r="M37" s="181"/>
      <c r="N37" s="181"/>
      <c r="O37" s="181"/>
      <c r="P37" s="181"/>
      <c r="Q37" s="181"/>
      <c r="R37" s="181"/>
      <c r="S37" s="14" t="s">
        <v>508</v>
      </c>
      <c r="T37" s="85" t="s">
        <v>509</v>
      </c>
      <c r="U37" s="85"/>
      <c r="V37" s="85"/>
      <c r="W37" s="85"/>
      <c r="X37" s="85"/>
      <c r="Y37" s="85"/>
      <c r="Z37" s="85"/>
      <c r="AA37" s="85"/>
      <c r="AB37" s="85"/>
      <c r="AC37" s="85"/>
      <c r="AD37" s="85"/>
      <c r="AE37" s="85"/>
      <c r="AF37" s="85"/>
      <c r="AG37" s="85"/>
      <c r="AH37" s="85"/>
      <c r="AI37" s="85"/>
      <c r="AJ37" s="85"/>
      <c r="AK37" s="85"/>
      <c r="AL37" s="85"/>
      <c r="AM37" s="85"/>
      <c r="AN37" s="85"/>
    </row>
    <row r="38" spans="1:40" ht="14.25" customHeight="1" x14ac:dyDescent="0.2">
      <c r="A38" s="181"/>
      <c r="B38" s="181"/>
      <c r="C38" s="181"/>
      <c r="D38" s="176"/>
      <c r="E38" s="176"/>
      <c r="F38" s="176"/>
      <c r="G38" s="176"/>
      <c r="H38" s="181"/>
      <c r="I38" s="181"/>
      <c r="J38" s="176"/>
      <c r="K38" s="176"/>
      <c r="L38" s="176"/>
      <c r="M38" s="176"/>
      <c r="N38" s="176"/>
      <c r="O38" s="181"/>
      <c r="P38" s="181"/>
      <c r="Q38" s="176"/>
      <c r="R38" s="176"/>
      <c r="S38" s="40" t="s">
        <v>510</v>
      </c>
      <c r="T38" s="85" t="s">
        <v>512</v>
      </c>
      <c r="U38" s="85"/>
      <c r="V38" s="85"/>
      <c r="W38" s="85"/>
      <c r="X38" s="85"/>
      <c r="Y38" s="85"/>
      <c r="Z38" s="85"/>
      <c r="AA38" s="85"/>
      <c r="AB38" s="85"/>
      <c r="AC38" s="85"/>
      <c r="AD38" s="85"/>
      <c r="AE38" s="85"/>
      <c r="AF38" s="85"/>
      <c r="AG38" s="85"/>
      <c r="AH38" s="85"/>
      <c r="AI38" s="85"/>
      <c r="AJ38" s="85"/>
      <c r="AK38" s="85"/>
      <c r="AL38" s="85"/>
      <c r="AM38" s="85"/>
      <c r="AN38" s="85"/>
    </row>
    <row r="39" spans="1:40" ht="15" customHeight="1" x14ac:dyDescent="0.2">
      <c r="A39" s="181"/>
      <c r="B39" s="181"/>
      <c r="C39" s="181"/>
      <c r="D39" s="179" t="s">
        <v>515</v>
      </c>
      <c r="E39" s="179" t="s">
        <v>516</v>
      </c>
      <c r="F39" s="179" t="s">
        <v>517</v>
      </c>
      <c r="G39" s="178">
        <v>1</v>
      </c>
      <c r="H39" s="181"/>
      <c r="I39" s="181"/>
      <c r="J39" s="175" t="s">
        <v>27</v>
      </c>
      <c r="K39" s="179" t="s">
        <v>27</v>
      </c>
      <c r="L39" s="178">
        <v>6.3</v>
      </c>
      <c r="M39" s="179" t="s">
        <v>602</v>
      </c>
      <c r="N39" s="180">
        <f>L39*H33</f>
        <v>8870.4</v>
      </c>
      <c r="O39" s="181"/>
      <c r="P39" s="181"/>
      <c r="Q39" s="175">
        <f>N39/$O$2</f>
        <v>7.5686006825938561</v>
      </c>
      <c r="R39" s="191">
        <v>1</v>
      </c>
      <c r="S39" s="14" t="s">
        <v>521</v>
      </c>
      <c r="T39" s="85" t="s">
        <v>522</v>
      </c>
      <c r="U39" s="85"/>
      <c r="V39" s="85"/>
      <c r="W39" s="85"/>
      <c r="X39" s="85"/>
      <c r="Y39" s="85"/>
      <c r="Z39" s="85"/>
      <c r="AA39" s="85"/>
      <c r="AB39" s="85"/>
      <c r="AC39" s="85"/>
      <c r="AD39" s="85"/>
      <c r="AE39" s="85"/>
      <c r="AF39" s="85"/>
      <c r="AG39" s="85"/>
      <c r="AH39" s="85"/>
      <c r="AI39" s="85"/>
      <c r="AJ39" s="85"/>
      <c r="AK39" s="85"/>
      <c r="AL39" s="85"/>
      <c r="AM39" s="85"/>
      <c r="AN39" s="85"/>
    </row>
    <row r="40" spans="1:40" ht="14.25" customHeight="1" x14ac:dyDescent="0.2">
      <c r="A40" s="181"/>
      <c r="B40" s="181"/>
      <c r="C40" s="181"/>
      <c r="D40" s="176"/>
      <c r="E40" s="176"/>
      <c r="F40" s="176"/>
      <c r="G40" s="176"/>
      <c r="H40" s="181"/>
      <c r="I40" s="176"/>
      <c r="J40" s="176"/>
      <c r="K40" s="176"/>
      <c r="L40" s="176"/>
      <c r="M40" s="176"/>
      <c r="N40" s="176"/>
      <c r="O40" s="181"/>
      <c r="P40" s="181"/>
      <c r="Q40" s="176"/>
      <c r="R40" s="176"/>
      <c r="S40" s="14" t="s">
        <v>524</v>
      </c>
      <c r="T40" s="85" t="s">
        <v>525</v>
      </c>
      <c r="U40" s="85"/>
      <c r="V40" s="85"/>
      <c r="W40" s="85"/>
      <c r="X40" s="85"/>
      <c r="Y40" s="85"/>
      <c r="Z40" s="85"/>
      <c r="AA40" s="85"/>
      <c r="AB40" s="85"/>
      <c r="AC40" s="85"/>
      <c r="AD40" s="85"/>
      <c r="AE40" s="85"/>
      <c r="AF40" s="85"/>
      <c r="AG40" s="85"/>
      <c r="AH40" s="85"/>
      <c r="AI40" s="85"/>
      <c r="AJ40" s="85"/>
      <c r="AK40" s="85"/>
      <c r="AL40" s="85"/>
      <c r="AM40" s="85"/>
      <c r="AN40" s="85"/>
    </row>
    <row r="41" spans="1:40" ht="17.25" customHeight="1" x14ac:dyDescent="0.2">
      <c r="A41" s="181"/>
      <c r="B41" s="181"/>
      <c r="C41" s="181"/>
      <c r="D41" s="179" t="s">
        <v>526</v>
      </c>
      <c r="E41" s="179" t="s">
        <v>527</v>
      </c>
      <c r="F41" s="179" t="s">
        <v>23</v>
      </c>
      <c r="G41" s="182">
        <v>1</v>
      </c>
      <c r="H41" s="181"/>
      <c r="I41" s="183" t="s">
        <v>166</v>
      </c>
      <c r="J41" s="175" t="s">
        <v>27</v>
      </c>
      <c r="K41" s="179" t="s">
        <v>27</v>
      </c>
      <c r="L41" s="178">
        <v>1</v>
      </c>
      <c r="M41" s="179" t="s">
        <v>615</v>
      </c>
      <c r="N41" s="180">
        <f>L41*H33</f>
        <v>1408</v>
      </c>
      <c r="O41" s="181"/>
      <c r="P41" s="181"/>
      <c r="Q41" s="175">
        <f>N41/$O$2</f>
        <v>1.2013651877133107</v>
      </c>
      <c r="R41" s="191">
        <v>1</v>
      </c>
      <c r="S41" s="40" t="s">
        <v>530</v>
      </c>
      <c r="T41" s="85" t="s">
        <v>531</v>
      </c>
      <c r="U41" s="85"/>
      <c r="V41" s="85"/>
      <c r="W41" s="85"/>
      <c r="X41" s="85"/>
      <c r="Y41" s="85"/>
      <c r="Z41" s="85"/>
      <c r="AA41" s="85"/>
      <c r="AB41" s="85"/>
      <c r="AC41" s="85"/>
      <c r="AD41" s="85"/>
      <c r="AE41" s="85"/>
      <c r="AF41" s="85"/>
      <c r="AG41" s="85"/>
      <c r="AH41" s="85"/>
      <c r="AI41" s="85"/>
      <c r="AJ41" s="85"/>
      <c r="AK41" s="85"/>
      <c r="AL41" s="85"/>
      <c r="AM41" s="85"/>
      <c r="AN41" s="85"/>
    </row>
    <row r="42" spans="1:40" ht="14.25" customHeight="1" x14ac:dyDescent="0.2">
      <c r="A42" s="181"/>
      <c r="B42" s="181"/>
      <c r="C42" s="181"/>
      <c r="D42" s="181"/>
      <c r="E42" s="181"/>
      <c r="F42" s="181"/>
      <c r="G42" s="181"/>
      <c r="H42" s="181"/>
      <c r="I42" s="181"/>
      <c r="J42" s="181"/>
      <c r="K42" s="181"/>
      <c r="L42" s="181"/>
      <c r="M42" s="181"/>
      <c r="N42" s="181"/>
      <c r="O42" s="181"/>
      <c r="P42" s="181"/>
      <c r="Q42" s="181"/>
      <c r="R42" s="181"/>
      <c r="S42" s="44" t="s">
        <v>191</v>
      </c>
      <c r="T42" s="44" t="s">
        <v>534</v>
      </c>
      <c r="U42" s="85"/>
      <c r="V42" s="85"/>
      <c r="W42" s="85"/>
      <c r="X42" s="85"/>
      <c r="Y42" s="85"/>
      <c r="Z42" s="85"/>
      <c r="AA42" s="85"/>
      <c r="AB42" s="85"/>
      <c r="AC42" s="85"/>
      <c r="AD42" s="85"/>
      <c r="AE42" s="85"/>
      <c r="AF42" s="85"/>
      <c r="AG42" s="85"/>
      <c r="AH42" s="85"/>
      <c r="AI42" s="85"/>
      <c r="AJ42" s="85"/>
      <c r="AK42" s="85"/>
      <c r="AL42" s="85"/>
      <c r="AM42" s="85"/>
      <c r="AN42" s="85"/>
    </row>
    <row r="43" spans="1:40" ht="14.25" customHeight="1" x14ac:dyDescent="0.2">
      <c r="A43" s="176"/>
      <c r="B43" s="176"/>
      <c r="C43" s="176"/>
      <c r="D43" s="176"/>
      <c r="E43" s="176"/>
      <c r="F43" s="176"/>
      <c r="G43" s="176"/>
      <c r="H43" s="176"/>
      <c r="I43" s="176"/>
      <c r="J43" s="176"/>
      <c r="K43" s="176"/>
      <c r="L43" s="176"/>
      <c r="M43" s="176"/>
      <c r="N43" s="176"/>
      <c r="O43" s="197"/>
      <c r="P43" s="197"/>
      <c r="Q43" s="176"/>
      <c r="R43" s="176"/>
      <c r="S43" s="14" t="s">
        <v>536</v>
      </c>
      <c r="T43" s="85" t="s">
        <v>537</v>
      </c>
      <c r="U43" s="85"/>
      <c r="V43" s="85"/>
      <c r="W43" s="85"/>
      <c r="X43" s="85"/>
      <c r="Y43" s="85"/>
      <c r="Z43" s="85"/>
      <c r="AA43" s="85"/>
      <c r="AB43" s="85"/>
      <c r="AC43" s="85"/>
      <c r="AD43" s="85"/>
      <c r="AE43" s="85"/>
      <c r="AF43" s="85"/>
      <c r="AG43" s="85"/>
      <c r="AH43" s="85"/>
      <c r="AI43" s="85"/>
      <c r="AJ43" s="85"/>
      <c r="AK43" s="85"/>
      <c r="AL43" s="85"/>
      <c r="AM43" s="85"/>
      <c r="AN43" s="85"/>
    </row>
    <row r="44" spans="1:40" ht="14.25" customHeight="1" x14ac:dyDescent="0.2">
      <c r="T44" s="84"/>
    </row>
    <row r="45" spans="1:40" ht="14.25" customHeight="1" x14ac:dyDescent="0.2">
      <c r="T45" s="84"/>
    </row>
    <row r="46" spans="1:40" ht="14.25" customHeight="1" x14ac:dyDescent="0.2">
      <c r="F46" s="28" t="s">
        <v>121</v>
      </c>
      <c r="G46" s="28" t="s">
        <v>128</v>
      </c>
      <c r="H46" s="28" t="s">
        <v>629</v>
      </c>
      <c r="T46" s="84"/>
    </row>
    <row r="47" spans="1:40" ht="14.25" customHeight="1" x14ac:dyDescent="0.2">
      <c r="F47" s="50" t="s">
        <v>140</v>
      </c>
      <c r="G47" s="72">
        <f t="shared" ref="G47:G58" si="1">SUMIF($F$2:$F$43,F47,N$2:N$43)</f>
        <v>106500</v>
      </c>
      <c r="H47" s="73">
        <f t="shared" ref="H47:H58" si="2">SUMIF($F$2:$F$43,F47,Q$2:Q$43)</f>
        <v>90.870307167235495</v>
      </c>
      <c r="T47" s="84"/>
    </row>
    <row r="48" spans="1:40" ht="14.25" customHeight="1" x14ac:dyDescent="0.2">
      <c r="F48" s="14" t="s">
        <v>156</v>
      </c>
      <c r="G48" s="72">
        <f t="shared" si="1"/>
        <v>6990</v>
      </c>
      <c r="H48" s="73">
        <f t="shared" si="2"/>
        <v>5.9641638225255971</v>
      </c>
      <c r="T48" s="84"/>
    </row>
    <row r="49" spans="6:20" ht="14.25" customHeight="1" x14ac:dyDescent="0.2">
      <c r="F49" s="50" t="s">
        <v>412</v>
      </c>
      <c r="G49" s="72">
        <f t="shared" si="1"/>
        <v>470.40000000000003</v>
      </c>
      <c r="H49" s="73">
        <f t="shared" si="2"/>
        <v>0.40136518771331059</v>
      </c>
      <c r="T49" s="84"/>
    </row>
    <row r="50" spans="6:20" ht="14.25" customHeight="1" x14ac:dyDescent="0.2">
      <c r="F50" s="34" t="s">
        <v>441</v>
      </c>
      <c r="G50" s="72">
        <f t="shared" si="1"/>
        <v>3900</v>
      </c>
      <c r="H50" s="73">
        <f t="shared" si="2"/>
        <v>3.3276450511945392</v>
      </c>
      <c r="T50" s="84"/>
    </row>
    <row r="51" spans="6:20" ht="14.25" customHeight="1" x14ac:dyDescent="0.2">
      <c r="F51" s="50" t="s">
        <v>399</v>
      </c>
      <c r="G51" s="72">
        <f t="shared" si="1"/>
        <v>150000</v>
      </c>
      <c r="H51" s="73">
        <f t="shared" si="2"/>
        <v>127.9863481228669</v>
      </c>
      <c r="T51" s="84"/>
    </row>
    <row r="52" spans="6:20" ht="14.25" customHeight="1" x14ac:dyDescent="0.2">
      <c r="F52" s="34" t="s">
        <v>397</v>
      </c>
      <c r="G52" s="72">
        <f t="shared" si="1"/>
        <v>2507.6479999999997</v>
      </c>
      <c r="H52" s="73">
        <f t="shared" si="2"/>
        <v>2.1396313993174059</v>
      </c>
      <c r="T52" s="84"/>
    </row>
    <row r="53" spans="6:20" ht="14.25" customHeight="1" x14ac:dyDescent="0.2">
      <c r="F53" s="50" t="s">
        <v>435</v>
      </c>
      <c r="G53" s="72">
        <f t="shared" si="1"/>
        <v>421.33333333333331</v>
      </c>
      <c r="H53" s="73">
        <f t="shared" si="2"/>
        <v>0.35949943117178612</v>
      </c>
      <c r="T53" s="84"/>
    </row>
    <row r="54" spans="6:20" ht="14.25" customHeight="1" x14ac:dyDescent="0.2">
      <c r="F54" s="34" t="s">
        <v>19</v>
      </c>
      <c r="G54" s="72">
        <f t="shared" si="1"/>
        <v>21.76</v>
      </c>
      <c r="H54" s="73">
        <f t="shared" si="2"/>
        <v>1.8566552901023891E-2</v>
      </c>
      <c r="T54" s="84"/>
    </row>
    <row r="55" spans="6:20" ht="14.25" customHeight="1" x14ac:dyDescent="0.2">
      <c r="F55" s="50" t="s">
        <v>10</v>
      </c>
      <c r="G55" s="72">
        <f t="shared" si="1"/>
        <v>1525.3333333333335</v>
      </c>
      <c r="H55" s="73">
        <f t="shared" si="2"/>
        <v>1.3014789533560867</v>
      </c>
      <c r="T55" s="84"/>
    </row>
    <row r="56" spans="6:20" ht="14.25" customHeight="1" x14ac:dyDescent="0.2">
      <c r="F56" s="92" t="s">
        <v>12</v>
      </c>
      <c r="G56" s="72">
        <f t="shared" si="1"/>
        <v>2816</v>
      </c>
      <c r="H56" s="73">
        <f t="shared" si="2"/>
        <v>2.4027303754266214</v>
      </c>
      <c r="T56" s="84"/>
    </row>
    <row r="57" spans="6:20" ht="14.25" customHeight="1" x14ac:dyDescent="0.2">
      <c r="F57" s="50" t="s">
        <v>517</v>
      </c>
      <c r="G57" s="72">
        <f t="shared" si="1"/>
        <v>8870.4</v>
      </c>
      <c r="H57" s="73">
        <f t="shared" si="2"/>
        <v>7.5686006825938561</v>
      </c>
      <c r="T57" s="84"/>
    </row>
    <row r="58" spans="6:20" ht="14.25" customHeight="1" x14ac:dyDescent="0.2">
      <c r="F58" s="50" t="s">
        <v>23</v>
      </c>
      <c r="G58" s="72">
        <f t="shared" si="1"/>
        <v>1408</v>
      </c>
      <c r="H58" s="73">
        <f t="shared" si="2"/>
        <v>1.2013651877133107</v>
      </c>
      <c r="T58" s="84"/>
    </row>
    <row r="59" spans="6:20" ht="14.25" customHeight="1" x14ac:dyDescent="0.2">
      <c r="T59" s="84"/>
    </row>
    <row r="60" spans="6:20" ht="14.25" customHeight="1" x14ac:dyDescent="0.2">
      <c r="T60" s="84"/>
    </row>
    <row r="61" spans="6:20" ht="14.25" customHeight="1" x14ac:dyDescent="0.2">
      <c r="F61" s="93" t="s">
        <v>631</v>
      </c>
      <c r="G61" s="28" t="s">
        <v>128</v>
      </c>
      <c r="H61" s="28" t="s">
        <v>633</v>
      </c>
      <c r="T61" s="84"/>
    </row>
    <row r="62" spans="6:20" ht="14.25" customHeight="1" x14ac:dyDescent="0.2">
      <c r="F62" s="50" t="s">
        <v>140</v>
      </c>
      <c r="G62" s="72">
        <f t="shared" ref="G62:G68" si="3">SUMIF($E$2:$E$43,F62,$N$2:$N$43)</f>
        <v>256500</v>
      </c>
      <c r="H62" s="73">
        <f t="shared" ref="H62:H68" si="4">SUMIF($E$2:$E$43,F62,Q$2:Q$43)</f>
        <v>218.8566552901024</v>
      </c>
      <c r="T62" s="84"/>
    </row>
    <row r="63" spans="6:20" ht="14.25" customHeight="1" x14ac:dyDescent="0.2">
      <c r="F63" s="14" t="s">
        <v>155</v>
      </c>
      <c r="G63" s="72">
        <f t="shared" si="3"/>
        <v>13868.047999999999</v>
      </c>
      <c r="H63" s="73">
        <f t="shared" si="4"/>
        <v>11.832805460750853</v>
      </c>
      <c r="T63" s="84"/>
    </row>
    <row r="64" spans="6:20" ht="14.25" customHeight="1" x14ac:dyDescent="0.2">
      <c r="F64" s="50" t="s">
        <v>434</v>
      </c>
      <c r="G64" s="72">
        <f t="shared" si="3"/>
        <v>421.33333333333331</v>
      </c>
      <c r="H64" s="73">
        <f t="shared" si="4"/>
        <v>0.35949943117178612</v>
      </c>
      <c r="T64" s="84"/>
    </row>
    <row r="65" spans="6:20" ht="14.25" customHeight="1" x14ac:dyDescent="0.2">
      <c r="F65" s="34" t="s">
        <v>287</v>
      </c>
      <c r="G65" s="72">
        <f t="shared" si="3"/>
        <v>1547.0933333333335</v>
      </c>
      <c r="H65" s="73">
        <f t="shared" si="4"/>
        <v>1.3200455062571106</v>
      </c>
      <c r="T65" s="84"/>
    </row>
    <row r="66" spans="6:20" ht="14.25" customHeight="1" x14ac:dyDescent="0.2">
      <c r="F66" s="50" t="s">
        <v>294</v>
      </c>
      <c r="G66" s="72">
        <f t="shared" si="3"/>
        <v>2816</v>
      </c>
      <c r="H66" s="73">
        <f t="shared" si="4"/>
        <v>2.4027303754266214</v>
      </c>
      <c r="T66" s="84"/>
    </row>
    <row r="67" spans="6:20" ht="14.25" customHeight="1" x14ac:dyDescent="0.2">
      <c r="F67" s="50" t="s">
        <v>516</v>
      </c>
      <c r="G67" s="72">
        <f t="shared" si="3"/>
        <v>8870.4</v>
      </c>
      <c r="H67" s="73">
        <f t="shared" si="4"/>
        <v>7.5686006825938561</v>
      </c>
      <c r="T67" s="84"/>
    </row>
    <row r="68" spans="6:20" ht="14.25" customHeight="1" x14ac:dyDescent="0.2">
      <c r="F68" s="50" t="s">
        <v>527</v>
      </c>
      <c r="G68" s="72">
        <f t="shared" si="3"/>
        <v>1408</v>
      </c>
      <c r="H68" s="73">
        <f t="shared" si="4"/>
        <v>1.2013651877133107</v>
      </c>
      <c r="T68" s="84"/>
    </row>
    <row r="69" spans="6:20" ht="14.25" customHeight="1" x14ac:dyDescent="0.2">
      <c r="T69" s="84"/>
    </row>
    <row r="70" spans="6:20" ht="14.25" customHeight="1" x14ac:dyDescent="0.2">
      <c r="T70" s="84"/>
    </row>
    <row r="71" spans="6:20" ht="14.25" customHeight="1" x14ac:dyDescent="0.2">
      <c r="T71" s="84"/>
    </row>
    <row r="72" spans="6:20" ht="14.25" customHeight="1" x14ac:dyDescent="0.2">
      <c r="T72" s="84"/>
    </row>
    <row r="73" spans="6:20" ht="14.25" customHeight="1" x14ac:dyDescent="0.2">
      <c r="T73" s="84"/>
    </row>
    <row r="74" spans="6:20" ht="14.25" customHeight="1" x14ac:dyDescent="0.2">
      <c r="T74" s="84"/>
    </row>
    <row r="75" spans="6:20" ht="14.25" customHeight="1" x14ac:dyDescent="0.2">
      <c r="T75" s="84"/>
    </row>
    <row r="76" spans="6:20" ht="14.25" customHeight="1" x14ac:dyDescent="0.2">
      <c r="T76" s="84"/>
    </row>
    <row r="77" spans="6:20" ht="14.25" customHeight="1" x14ac:dyDescent="0.2">
      <c r="T77" s="84"/>
    </row>
    <row r="78" spans="6:20" ht="14.25" customHeight="1" x14ac:dyDescent="0.2">
      <c r="T78" s="84"/>
    </row>
    <row r="79" spans="6:20" ht="14.25" customHeight="1" x14ac:dyDescent="0.2">
      <c r="T79" s="84"/>
    </row>
    <row r="80" spans="6:20" ht="14.25" customHeight="1" x14ac:dyDescent="0.2">
      <c r="T80" s="84"/>
    </row>
    <row r="81" spans="20:20" ht="14.25" customHeight="1" x14ac:dyDescent="0.2">
      <c r="T81" s="84"/>
    </row>
    <row r="82" spans="20:20" ht="14.25" customHeight="1" x14ac:dyDescent="0.2">
      <c r="T82" s="84"/>
    </row>
    <row r="83" spans="20:20" ht="14.25" customHeight="1" x14ac:dyDescent="0.2">
      <c r="T83" s="84"/>
    </row>
    <row r="84" spans="20:20" ht="14.25" customHeight="1" x14ac:dyDescent="0.2">
      <c r="T84" s="84"/>
    </row>
    <row r="85" spans="20:20" ht="14.25" customHeight="1" x14ac:dyDescent="0.2">
      <c r="T85" s="84"/>
    </row>
    <row r="86" spans="20:20" ht="14.25" customHeight="1" x14ac:dyDescent="0.2">
      <c r="T86" s="84"/>
    </row>
    <row r="87" spans="20:20" ht="14.25" customHeight="1" x14ac:dyDescent="0.2">
      <c r="T87" s="84"/>
    </row>
    <row r="88" spans="20:20" ht="14.25" customHeight="1" x14ac:dyDescent="0.2">
      <c r="T88" s="84"/>
    </row>
    <row r="89" spans="20:20" ht="14.25" customHeight="1" x14ac:dyDescent="0.2">
      <c r="T89" s="84"/>
    </row>
    <row r="90" spans="20:20" ht="14.25" customHeight="1" x14ac:dyDescent="0.2">
      <c r="T90" s="84"/>
    </row>
    <row r="91" spans="20:20" ht="14.25" customHeight="1" x14ac:dyDescent="0.2">
      <c r="T91" s="84"/>
    </row>
    <row r="92" spans="20:20" ht="14.25" customHeight="1" x14ac:dyDescent="0.2">
      <c r="T92" s="84"/>
    </row>
    <row r="93" spans="20:20" ht="14.25" customHeight="1" x14ac:dyDescent="0.2">
      <c r="T93" s="84"/>
    </row>
    <row r="94" spans="20:20" ht="14.25" customHeight="1" x14ac:dyDescent="0.2">
      <c r="T94" s="84"/>
    </row>
    <row r="95" spans="20:20" ht="14.25" customHeight="1" x14ac:dyDescent="0.2">
      <c r="T95" s="84"/>
    </row>
    <row r="96" spans="20:20" ht="14.25" customHeight="1" x14ac:dyDescent="0.2">
      <c r="T96" s="84"/>
    </row>
    <row r="97" spans="20:20" ht="14.25" customHeight="1" x14ac:dyDescent="0.2">
      <c r="T97" s="84"/>
    </row>
    <row r="98" spans="20:20" ht="14.25" customHeight="1" x14ac:dyDescent="0.2">
      <c r="T98" s="84"/>
    </row>
    <row r="99" spans="20:20" ht="14.25" customHeight="1" x14ac:dyDescent="0.2">
      <c r="T99" s="84"/>
    </row>
    <row r="100" spans="20:20" ht="14.25" customHeight="1" x14ac:dyDescent="0.2">
      <c r="T100" s="84"/>
    </row>
    <row r="101" spans="20:20" ht="14.25" customHeight="1" x14ac:dyDescent="0.2">
      <c r="T101" s="84"/>
    </row>
    <row r="102" spans="20:20" ht="14.25" customHeight="1" x14ac:dyDescent="0.2">
      <c r="T102" s="84"/>
    </row>
    <row r="103" spans="20:20" ht="14.25" customHeight="1" x14ac:dyDescent="0.2">
      <c r="T103" s="84"/>
    </row>
    <row r="104" spans="20:20" ht="14.25" customHeight="1" x14ac:dyDescent="0.2">
      <c r="T104" s="84"/>
    </row>
    <row r="105" spans="20:20" ht="14.25" customHeight="1" x14ac:dyDescent="0.2">
      <c r="T105" s="84"/>
    </row>
    <row r="106" spans="20:20" ht="14.25" customHeight="1" x14ac:dyDescent="0.2">
      <c r="T106" s="84"/>
    </row>
    <row r="107" spans="20:20" ht="14.25" customHeight="1" x14ac:dyDescent="0.2">
      <c r="T107" s="84"/>
    </row>
    <row r="108" spans="20:20" ht="14.25" customHeight="1" x14ac:dyDescent="0.2">
      <c r="T108" s="84"/>
    </row>
    <row r="109" spans="20:20" ht="14.25" customHeight="1" x14ac:dyDescent="0.2">
      <c r="T109" s="84"/>
    </row>
    <row r="110" spans="20:20" ht="14.25" customHeight="1" x14ac:dyDescent="0.2">
      <c r="T110" s="84"/>
    </row>
    <row r="111" spans="20:20" ht="14.25" customHeight="1" x14ac:dyDescent="0.2">
      <c r="T111" s="84"/>
    </row>
    <row r="112" spans="20:20" ht="14.25" customHeight="1" x14ac:dyDescent="0.2">
      <c r="T112" s="84"/>
    </row>
    <row r="113" spans="20:20" ht="14.25" customHeight="1" x14ac:dyDescent="0.2">
      <c r="T113" s="84"/>
    </row>
    <row r="114" spans="20:20" ht="14.25" customHeight="1" x14ac:dyDescent="0.2">
      <c r="T114" s="84"/>
    </row>
    <row r="115" spans="20:20" ht="14.25" customHeight="1" x14ac:dyDescent="0.2">
      <c r="T115" s="84"/>
    </row>
    <row r="116" spans="20:20" ht="14.25" customHeight="1" x14ac:dyDescent="0.2">
      <c r="T116" s="84"/>
    </row>
    <row r="117" spans="20:20" ht="14.25" customHeight="1" x14ac:dyDescent="0.2">
      <c r="T117" s="84"/>
    </row>
    <row r="118" spans="20:20" ht="14.25" customHeight="1" x14ac:dyDescent="0.2">
      <c r="T118" s="84"/>
    </row>
    <row r="119" spans="20:20" ht="14.25" customHeight="1" x14ac:dyDescent="0.2">
      <c r="T119" s="84"/>
    </row>
    <row r="120" spans="20:20" ht="14.25" customHeight="1" x14ac:dyDescent="0.2">
      <c r="T120" s="84"/>
    </row>
    <row r="121" spans="20:20" ht="14.25" customHeight="1" x14ac:dyDescent="0.2">
      <c r="T121" s="84"/>
    </row>
    <row r="122" spans="20:20" ht="14.25" customHeight="1" x14ac:dyDescent="0.2">
      <c r="T122" s="84"/>
    </row>
    <row r="123" spans="20:20" ht="14.25" customHeight="1" x14ac:dyDescent="0.2">
      <c r="T123" s="84"/>
    </row>
    <row r="124" spans="20:20" ht="14.25" customHeight="1" x14ac:dyDescent="0.2">
      <c r="T124" s="84"/>
    </row>
    <row r="125" spans="20:20" ht="14.25" customHeight="1" x14ac:dyDescent="0.2">
      <c r="T125" s="84"/>
    </row>
    <row r="126" spans="20:20" ht="14.25" customHeight="1" x14ac:dyDescent="0.2">
      <c r="T126" s="84"/>
    </row>
    <row r="127" spans="20:20" ht="14.25" customHeight="1" x14ac:dyDescent="0.2">
      <c r="T127" s="84"/>
    </row>
    <row r="128" spans="20: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161">
    <mergeCell ref="F41:F43"/>
    <mergeCell ref="B9:B20"/>
    <mergeCell ref="C9:C20"/>
    <mergeCell ref="B24:B31"/>
    <mergeCell ref="C24:C31"/>
    <mergeCell ref="D24:D25"/>
    <mergeCell ref="E24:E25"/>
    <mergeCell ref="B33:B43"/>
    <mergeCell ref="C33:C43"/>
    <mergeCell ref="D33:D35"/>
    <mergeCell ref="E33:E35"/>
    <mergeCell ref="D9:D11"/>
    <mergeCell ref="E9:E11"/>
    <mergeCell ref="N26:N30"/>
    <mergeCell ref="N33:N35"/>
    <mergeCell ref="N36:N38"/>
    <mergeCell ref="J24:J25"/>
    <mergeCell ref="K24:K25"/>
    <mergeCell ref="L24:L25"/>
    <mergeCell ref="M24:M25"/>
    <mergeCell ref="N24:N25"/>
    <mergeCell ref="J26:J30"/>
    <mergeCell ref="K26:K30"/>
    <mergeCell ref="L33:L35"/>
    <mergeCell ref="M33:M35"/>
    <mergeCell ref="J33:J35"/>
    <mergeCell ref="J36:J38"/>
    <mergeCell ref="K36:K38"/>
    <mergeCell ref="L36:L38"/>
    <mergeCell ref="L26:L30"/>
    <mergeCell ref="M26:M30"/>
    <mergeCell ref="K41:K43"/>
    <mergeCell ref="L41:L43"/>
    <mergeCell ref="M41:M43"/>
    <mergeCell ref="N41:N43"/>
    <mergeCell ref="J39:J40"/>
    <mergeCell ref="K39:K40"/>
    <mergeCell ref="L39:L40"/>
    <mergeCell ref="M39:M40"/>
    <mergeCell ref="N39:N40"/>
    <mergeCell ref="I41:I43"/>
    <mergeCell ref="J41:J43"/>
    <mergeCell ref="O2:O43"/>
    <mergeCell ref="P2:P43"/>
    <mergeCell ref="B6:B8"/>
    <mergeCell ref="C6:C8"/>
    <mergeCell ref="D6:D7"/>
    <mergeCell ref="E6:E7"/>
    <mergeCell ref="F39:F40"/>
    <mergeCell ref="G39:G40"/>
    <mergeCell ref="G41:G43"/>
    <mergeCell ref="M6:M7"/>
    <mergeCell ref="N6:N7"/>
    <mergeCell ref="H2:H5"/>
    <mergeCell ref="I2:I5"/>
    <mergeCell ref="J2:J5"/>
    <mergeCell ref="K2:K5"/>
    <mergeCell ref="L2:L4"/>
    <mergeCell ref="M2:M4"/>
    <mergeCell ref="N2:N4"/>
    <mergeCell ref="G2:G5"/>
    <mergeCell ref="G6:G8"/>
    <mergeCell ref="I6:I8"/>
    <mergeCell ref="G9:G11"/>
    <mergeCell ref="Q6:Q7"/>
    <mergeCell ref="R6:R7"/>
    <mergeCell ref="J9:J11"/>
    <mergeCell ref="K9:K11"/>
    <mergeCell ref="J12:J17"/>
    <mergeCell ref="K12:K17"/>
    <mergeCell ref="L12:L17"/>
    <mergeCell ref="M12:M17"/>
    <mergeCell ref="N12:N17"/>
    <mergeCell ref="L9:L11"/>
    <mergeCell ref="M9:M11"/>
    <mergeCell ref="N9:N11"/>
    <mergeCell ref="J6:J8"/>
    <mergeCell ref="K6:K8"/>
    <mergeCell ref="L6:L7"/>
    <mergeCell ref="Q41:Q43"/>
    <mergeCell ref="R39:R40"/>
    <mergeCell ref="R41:R43"/>
    <mergeCell ref="R21:R22"/>
    <mergeCell ref="R24:R25"/>
    <mergeCell ref="Q26:Q30"/>
    <mergeCell ref="R26:R30"/>
    <mergeCell ref="Q33:Q35"/>
    <mergeCell ref="R33:R35"/>
    <mergeCell ref="R36:R38"/>
    <mergeCell ref="Q2:Q4"/>
    <mergeCell ref="R2:R4"/>
    <mergeCell ref="Q9:Q11"/>
    <mergeCell ref="R9:R11"/>
    <mergeCell ref="Q12:Q17"/>
    <mergeCell ref="R12:R17"/>
    <mergeCell ref="R18:R20"/>
    <mergeCell ref="G21:G23"/>
    <mergeCell ref="G24:G31"/>
    <mergeCell ref="H26:H31"/>
    <mergeCell ref="I26:I31"/>
    <mergeCell ref="H24:H25"/>
    <mergeCell ref="I24:I25"/>
    <mergeCell ref="H6:H8"/>
    <mergeCell ref="H9:H20"/>
    <mergeCell ref="I9:I20"/>
    <mergeCell ref="G12:G17"/>
    <mergeCell ref="G18:G20"/>
    <mergeCell ref="H21:H23"/>
    <mergeCell ref="I21:I23"/>
    <mergeCell ref="L21:L22"/>
    <mergeCell ref="M21:M22"/>
    <mergeCell ref="J18:J20"/>
    <mergeCell ref="K18:K20"/>
    <mergeCell ref="I33:I40"/>
    <mergeCell ref="K33:K35"/>
    <mergeCell ref="G36:G38"/>
    <mergeCell ref="M36:M38"/>
    <mergeCell ref="F24:F25"/>
    <mergeCell ref="D26:D31"/>
    <mergeCell ref="E26:E30"/>
    <mergeCell ref="F26:F30"/>
    <mergeCell ref="Q18:Q20"/>
    <mergeCell ref="Q21:Q22"/>
    <mergeCell ref="Q24:Q25"/>
    <mergeCell ref="L18:L20"/>
    <mergeCell ref="M18:M20"/>
    <mergeCell ref="N18:N20"/>
    <mergeCell ref="J21:J22"/>
    <mergeCell ref="K21:K22"/>
    <mergeCell ref="N21:N22"/>
    <mergeCell ref="D18:D20"/>
    <mergeCell ref="E18:E20"/>
    <mergeCell ref="D21:D22"/>
    <mergeCell ref="E21:E22"/>
    <mergeCell ref="F21:F22"/>
    <mergeCell ref="Q36:Q38"/>
    <mergeCell ref="Q39:Q40"/>
    <mergeCell ref="A2:A43"/>
    <mergeCell ref="C2:C5"/>
    <mergeCell ref="E2:E4"/>
    <mergeCell ref="F2:F4"/>
    <mergeCell ref="F6:F7"/>
    <mergeCell ref="F9:F11"/>
    <mergeCell ref="F18:F20"/>
    <mergeCell ref="G33:G35"/>
    <mergeCell ref="H33:H43"/>
    <mergeCell ref="D2:D4"/>
    <mergeCell ref="D12:D17"/>
    <mergeCell ref="E12:E17"/>
    <mergeCell ref="F12:F17"/>
    <mergeCell ref="B2:B5"/>
    <mergeCell ref="B21:B23"/>
    <mergeCell ref="C21:C23"/>
    <mergeCell ref="F33:F35"/>
    <mergeCell ref="D36:D38"/>
    <mergeCell ref="E36:E38"/>
    <mergeCell ref="F36:F38"/>
    <mergeCell ref="D39:D40"/>
    <mergeCell ref="E39:E40"/>
    <mergeCell ref="D41:D43"/>
    <mergeCell ref="E41:E43"/>
  </mergeCells>
  <conditionalFormatting sqref="R2:R5">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2:R23 R33:R43">
    <cfRule type="colorScale" priority="9">
      <colorScale>
        <cfvo type="min"/>
        <cfvo type="percentile" val="50"/>
        <cfvo type="max"/>
        <color rgb="FFF8696B"/>
        <color rgb="FFFFEB84"/>
        <color rgb="FF63BE7B"/>
      </colorScale>
    </cfRule>
  </conditionalFormatting>
  <conditionalFormatting sqref="R2:R43">
    <cfRule type="colorScale" priority="3">
      <colorScale>
        <cfvo type="min"/>
        <cfvo type="percentile" val="50"/>
        <cfvo type="max"/>
        <color rgb="FFF8696B"/>
        <color rgb="FFFFEB84"/>
        <color rgb="FF63BE7B"/>
      </colorScale>
    </cfRule>
  </conditionalFormatting>
  <conditionalFormatting sqref="R8:R15 R6 R21 R23">
    <cfRule type="colorScale" priority="4">
      <colorScale>
        <cfvo type="min"/>
        <cfvo type="percentile" val="50"/>
        <cfvo type="max"/>
        <color rgb="FFF8696B"/>
        <color rgb="FFFFEB84"/>
        <color rgb="FF63BE7B"/>
      </colorScale>
    </cfRule>
  </conditionalFormatting>
  <conditionalFormatting sqref="R8:R15 R6 R21:R23">
    <cfRule type="colorScale" priority="5">
      <colorScale>
        <cfvo type="min"/>
        <cfvo type="percentile" val="50"/>
        <cfvo type="max"/>
        <color rgb="FFF8696B"/>
        <color rgb="FFFFEB84"/>
        <color rgb="FF63BE7B"/>
      </colorScale>
    </cfRule>
  </conditionalFormatting>
  <conditionalFormatting sqref="R24:R31">
    <cfRule type="colorScale" priority="6">
      <colorScale>
        <cfvo type="min"/>
        <cfvo type="percentile" val="50"/>
        <cfvo type="max"/>
        <color rgb="FFF8696B"/>
        <color rgb="FFFFEB84"/>
        <color rgb="FF63BE7B"/>
      </colorScale>
    </cfRule>
  </conditionalFormatting>
  <conditionalFormatting sqref="R32">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R33:R36 R39:R43">
    <cfRule type="colorScale" priority="11">
      <colorScale>
        <cfvo type="min"/>
        <cfvo type="percentile" val="50"/>
        <cfvo type="max"/>
        <color rgb="FFF8696B"/>
        <color rgb="FFFFEB84"/>
        <color rgb="FF63BE7B"/>
      </colorScale>
    </cfRule>
  </conditionalFormatting>
  <conditionalFormatting sqref="R33:R43">
    <cfRule type="colorScale" priority="10">
      <colorScale>
        <cfvo type="min"/>
        <cfvo type="percentile" val="50"/>
        <cfvo type="max"/>
        <color rgb="FFF8696B"/>
        <color rgb="FFFFEB84"/>
        <color rgb="FF63BE7B"/>
      </colorScale>
    </cfRule>
  </conditionalFormatting>
  <hyperlinks>
    <hyperlink ref="S9" r:id="rId1" xr:uid="{00000000-0004-0000-0900-000000000000}"/>
    <hyperlink ref="S11" r:id="rId2" xr:uid="{00000000-0004-0000-0900-000001000000}"/>
    <hyperlink ref="S16" r:id="rId3" xr:uid="{00000000-0004-0000-0900-000002000000}"/>
    <hyperlink ref="S17" r:id="rId4" xr:uid="{00000000-0004-0000-0900-000003000000}"/>
    <hyperlink ref="S18" r:id="rId5" xr:uid="{00000000-0004-0000-0900-000004000000}"/>
    <hyperlink ref="S19" r:id="rId6" xr:uid="{00000000-0004-0000-0900-000005000000}"/>
    <hyperlink ref="S21" r:id="rId7" xr:uid="{00000000-0004-0000-0900-000006000000}"/>
    <hyperlink ref="S23" r:id="rId8" location=":~:text=The%20minimum%20thickness%20for%20commercial,to%202.5%20psf%20of%20reinforcing). " xr:uid="{00000000-0004-0000-0900-000007000000}"/>
    <hyperlink ref="S24" r:id="rId9" location=" " xr:uid="{00000000-0004-0000-0900-000008000000}"/>
    <hyperlink ref="S28" r:id="rId10" xr:uid="{00000000-0004-0000-0900-000009000000}"/>
    <hyperlink ref="S38" r:id="rId11" xr:uid="{00000000-0004-0000-0900-00000A000000}"/>
    <hyperlink ref="S41" r:id="rId12" xr:uid="{00000000-0004-0000-0900-00000B000000}"/>
  </hyperlinks>
  <pageMargins left="0.7" right="0.7" top="0.75" bottom="0.75" header="0" footer="0"/>
  <pageSetup orientation="portrait"/>
  <drawing r:id="rId13"/>
  <legacyDrawing r:id="rId1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38" width="8.6640625" customWidth="1"/>
  </cols>
  <sheetData>
    <row r="1" spans="1:38"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391</v>
      </c>
      <c r="R1" s="28" t="s">
        <v>133</v>
      </c>
      <c r="S1" s="28" t="s">
        <v>134</v>
      </c>
      <c r="T1" s="31" t="s">
        <v>135</v>
      </c>
      <c r="U1" s="32"/>
      <c r="V1" s="33"/>
      <c r="W1" s="33"/>
      <c r="X1" s="33"/>
      <c r="Y1" s="33"/>
      <c r="Z1" s="33"/>
      <c r="AA1" s="33"/>
      <c r="AB1" s="33"/>
      <c r="AC1" s="33"/>
      <c r="AD1" s="33"/>
      <c r="AE1" s="33"/>
      <c r="AF1" s="33"/>
      <c r="AG1" s="33"/>
      <c r="AH1" s="33"/>
      <c r="AI1" s="33"/>
      <c r="AJ1" s="33"/>
      <c r="AK1" s="33"/>
      <c r="AL1" s="33"/>
    </row>
    <row r="2" spans="1:38" ht="16.5" customHeight="1" x14ac:dyDescent="0.2">
      <c r="A2" s="185" t="s">
        <v>163</v>
      </c>
      <c r="B2" s="183" t="s">
        <v>53</v>
      </c>
      <c r="C2" s="183" t="s">
        <v>139</v>
      </c>
      <c r="D2" s="179" t="s">
        <v>140</v>
      </c>
      <c r="E2" s="179" t="s">
        <v>140</v>
      </c>
      <c r="F2" s="179" t="s">
        <v>140</v>
      </c>
      <c r="G2" s="182">
        <v>1</v>
      </c>
      <c r="H2" s="182">
        <v>1300</v>
      </c>
      <c r="I2" s="183" t="s">
        <v>142</v>
      </c>
      <c r="J2" s="178">
        <v>0.66666666666666663</v>
      </c>
      <c r="K2" s="178">
        <v>1.5</v>
      </c>
      <c r="L2" s="178">
        <v>150</v>
      </c>
      <c r="M2" s="179" t="s">
        <v>395</v>
      </c>
      <c r="N2" s="188">
        <f>L2*K2*J2*H2</f>
        <v>195000</v>
      </c>
      <c r="O2" s="186">
        <v>41874</v>
      </c>
      <c r="P2" s="183" t="s">
        <v>396</v>
      </c>
      <c r="Q2" s="175">
        <f>N2/O2</f>
        <v>4.6568276257343459</v>
      </c>
      <c r="R2" s="191">
        <v>4</v>
      </c>
      <c r="S2" s="14" t="s">
        <v>149</v>
      </c>
      <c r="T2" s="14" t="s">
        <v>150</v>
      </c>
    </row>
    <row r="3" spans="1:38" ht="14.25" customHeight="1" x14ac:dyDescent="0.2">
      <c r="A3" s="181"/>
      <c r="B3" s="181"/>
      <c r="C3" s="181"/>
      <c r="D3" s="176"/>
      <c r="E3" s="176"/>
      <c r="F3" s="176"/>
      <c r="G3" s="181"/>
      <c r="H3" s="181"/>
      <c r="I3" s="181"/>
      <c r="J3" s="181"/>
      <c r="K3" s="181"/>
      <c r="L3" s="176"/>
      <c r="M3" s="176"/>
      <c r="N3" s="176"/>
      <c r="O3" s="181"/>
      <c r="P3" s="181"/>
      <c r="Q3" s="176"/>
      <c r="R3" s="176"/>
      <c r="S3" s="14" t="s">
        <v>401</v>
      </c>
      <c r="T3" s="14" t="s">
        <v>402</v>
      </c>
    </row>
    <row r="4" spans="1:38" ht="14.25" customHeight="1" x14ac:dyDescent="0.2">
      <c r="A4" s="181"/>
      <c r="B4" s="176"/>
      <c r="C4" s="176"/>
      <c r="D4" s="14" t="s">
        <v>154</v>
      </c>
      <c r="E4" s="14" t="s">
        <v>155</v>
      </c>
      <c r="F4" s="14" t="s">
        <v>156</v>
      </c>
      <c r="G4" s="176"/>
      <c r="H4" s="176"/>
      <c r="I4" s="176"/>
      <c r="J4" s="176"/>
      <c r="K4" s="176"/>
      <c r="L4" s="14">
        <v>5.25</v>
      </c>
      <c r="M4" s="14" t="s">
        <v>404</v>
      </c>
      <c r="N4" s="38">
        <f>L4*K2*J2*H2</f>
        <v>6825</v>
      </c>
      <c r="O4" s="181"/>
      <c r="P4" s="181"/>
      <c r="Q4" s="19">
        <f t="shared" ref="Q4:Q6" si="0">N4/$O$2</f>
        <v>0.16298896690070211</v>
      </c>
      <c r="R4" s="48">
        <v>4</v>
      </c>
      <c r="S4" s="40" t="s">
        <v>240</v>
      </c>
      <c r="T4" s="14" t="s">
        <v>405</v>
      </c>
    </row>
    <row r="5" spans="1:38" ht="14.25" customHeight="1" x14ac:dyDescent="0.2">
      <c r="A5" s="181"/>
      <c r="B5" s="183" t="s">
        <v>164</v>
      </c>
      <c r="C5" s="183" t="s">
        <v>165</v>
      </c>
      <c r="D5" s="14" t="s">
        <v>140</v>
      </c>
      <c r="E5" s="41" t="s">
        <v>140</v>
      </c>
      <c r="F5" s="41" t="s">
        <v>140</v>
      </c>
      <c r="G5" s="182">
        <v>1</v>
      </c>
      <c r="H5" s="182">
        <v>41150</v>
      </c>
      <c r="I5" s="183" t="s">
        <v>166</v>
      </c>
      <c r="J5" s="175">
        <v>0.5</v>
      </c>
      <c r="K5" s="179" t="s">
        <v>27</v>
      </c>
      <c r="L5" s="14">
        <v>150</v>
      </c>
      <c r="M5" s="14" t="s">
        <v>406</v>
      </c>
      <c r="N5" s="38">
        <f>L5*J5*H5</f>
        <v>3086250</v>
      </c>
      <c r="O5" s="181"/>
      <c r="P5" s="181"/>
      <c r="Q5" s="19">
        <f t="shared" si="0"/>
        <v>73.703252614987818</v>
      </c>
      <c r="R5" s="49">
        <v>5</v>
      </c>
      <c r="S5" s="14" t="s">
        <v>169</v>
      </c>
      <c r="T5" s="14"/>
    </row>
    <row r="6" spans="1:38" ht="14.25" customHeight="1" x14ac:dyDescent="0.2">
      <c r="A6" s="181"/>
      <c r="B6" s="176"/>
      <c r="C6" s="176"/>
      <c r="D6" s="14" t="s">
        <v>154</v>
      </c>
      <c r="E6" s="41" t="s">
        <v>155</v>
      </c>
      <c r="F6" s="41" t="s">
        <v>156</v>
      </c>
      <c r="G6" s="176"/>
      <c r="H6" s="176"/>
      <c r="I6" s="176"/>
      <c r="J6" s="176"/>
      <c r="K6" s="176"/>
      <c r="L6" s="14">
        <v>6</v>
      </c>
      <c r="M6" s="14" t="s">
        <v>408</v>
      </c>
      <c r="N6" s="38">
        <f>L6*J5*H5</f>
        <v>123450</v>
      </c>
      <c r="O6" s="181"/>
      <c r="P6" s="181"/>
      <c r="Q6" s="19">
        <f t="shared" si="0"/>
        <v>2.948130104599513</v>
      </c>
      <c r="R6" s="49">
        <v>5</v>
      </c>
      <c r="S6" s="14" t="s">
        <v>174</v>
      </c>
      <c r="T6" s="14" t="s">
        <v>175</v>
      </c>
    </row>
    <row r="7" spans="1:38" ht="14.25" customHeight="1" x14ac:dyDescent="0.2">
      <c r="A7" s="181"/>
      <c r="B7" s="183" t="s">
        <v>455</v>
      </c>
      <c r="C7" s="183" t="s">
        <v>456</v>
      </c>
      <c r="D7" s="179" t="s">
        <v>140</v>
      </c>
      <c r="E7" s="179" t="s">
        <v>140</v>
      </c>
      <c r="F7" s="179" t="s">
        <v>140</v>
      </c>
      <c r="G7" s="182">
        <v>1</v>
      </c>
      <c r="H7" s="182">
        <v>1731</v>
      </c>
      <c r="I7" s="182" t="s">
        <v>142</v>
      </c>
      <c r="J7" s="175">
        <v>0.625</v>
      </c>
      <c r="K7" s="178">
        <v>7</v>
      </c>
      <c r="L7" s="178">
        <v>150</v>
      </c>
      <c r="M7" s="179" t="s">
        <v>459</v>
      </c>
      <c r="N7" s="207">
        <f>L7*K7*J7*H7</f>
        <v>1135968.75</v>
      </c>
      <c r="O7" s="181"/>
      <c r="P7" s="181"/>
      <c r="Q7" s="204">
        <f>N7/O2</f>
        <v>27.128259779338013</v>
      </c>
      <c r="R7" s="205">
        <v>3</v>
      </c>
      <c r="S7" s="14" t="s">
        <v>462</v>
      </c>
      <c r="T7" s="14" t="s">
        <v>464</v>
      </c>
    </row>
    <row r="8" spans="1:38" ht="14.25" customHeight="1" x14ac:dyDescent="0.2">
      <c r="A8" s="181"/>
      <c r="B8" s="181"/>
      <c r="C8" s="181"/>
      <c r="D8" s="176"/>
      <c r="E8" s="176"/>
      <c r="F8" s="176"/>
      <c r="G8" s="181"/>
      <c r="H8" s="181"/>
      <c r="I8" s="181"/>
      <c r="J8" s="181"/>
      <c r="K8" s="181"/>
      <c r="L8" s="176"/>
      <c r="M8" s="176"/>
      <c r="N8" s="176"/>
      <c r="O8" s="181"/>
      <c r="P8" s="181"/>
      <c r="Q8" s="176"/>
      <c r="R8" s="197"/>
      <c r="S8" s="14" t="s">
        <v>466</v>
      </c>
      <c r="T8" s="14" t="s">
        <v>467</v>
      </c>
    </row>
    <row r="9" spans="1:38" ht="14.25" customHeight="1" x14ac:dyDescent="0.2">
      <c r="A9" s="181"/>
      <c r="B9" s="176"/>
      <c r="C9" s="176"/>
      <c r="D9" s="14" t="s">
        <v>154</v>
      </c>
      <c r="E9" s="41" t="s">
        <v>155</v>
      </c>
      <c r="F9" s="41" t="s">
        <v>156</v>
      </c>
      <c r="G9" s="176"/>
      <c r="H9" s="176"/>
      <c r="I9" s="176"/>
      <c r="J9" s="176"/>
      <c r="K9" s="176"/>
      <c r="L9" s="14">
        <v>6</v>
      </c>
      <c r="M9" s="14" t="s">
        <v>468</v>
      </c>
      <c r="N9" s="38">
        <f>L9*K7*J7*H7</f>
        <v>45438.75</v>
      </c>
      <c r="O9" s="181"/>
      <c r="P9" s="181"/>
      <c r="Q9" s="19">
        <f>N9/O2</f>
        <v>1.0851303911735206</v>
      </c>
      <c r="R9" s="88">
        <v>2</v>
      </c>
      <c r="S9" s="40" t="s">
        <v>262</v>
      </c>
      <c r="T9" s="14" t="s">
        <v>471</v>
      </c>
    </row>
    <row r="10" spans="1:38" ht="14.25" customHeight="1" x14ac:dyDescent="0.2">
      <c r="A10" s="181"/>
      <c r="B10" s="183" t="s">
        <v>176</v>
      </c>
      <c r="C10" s="184" t="s">
        <v>473</v>
      </c>
      <c r="D10" s="179" t="s">
        <v>255</v>
      </c>
      <c r="E10" s="50" t="s">
        <v>140</v>
      </c>
      <c r="F10" s="14" t="s">
        <v>140</v>
      </c>
      <c r="G10" s="182">
        <v>1</v>
      </c>
      <c r="H10" s="182">
        <v>40706</v>
      </c>
      <c r="I10" s="183" t="s">
        <v>166</v>
      </c>
      <c r="J10" s="178">
        <v>0.5</v>
      </c>
      <c r="K10" s="179" t="s">
        <v>27</v>
      </c>
      <c r="L10" s="14">
        <v>150</v>
      </c>
      <c r="M10" s="14" t="s">
        <v>475</v>
      </c>
      <c r="N10" s="38">
        <f>L10*J10*H10</f>
        <v>3052950</v>
      </c>
      <c r="O10" s="181"/>
      <c r="P10" s="181"/>
      <c r="Q10" s="89">
        <f t="shared" ref="Q10:Q16" si="1">N10/$O$2</f>
        <v>72.90800974351626</v>
      </c>
      <c r="R10" s="62">
        <v>2</v>
      </c>
      <c r="S10" s="14" t="s">
        <v>181</v>
      </c>
      <c r="T10" s="14" t="s">
        <v>478</v>
      </c>
    </row>
    <row r="11" spans="1:38" ht="14.25" customHeight="1" x14ac:dyDescent="0.2">
      <c r="A11" s="181"/>
      <c r="B11" s="181"/>
      <c r="C11" s="181"/>
      <c r="D11" s="176"/>
      <c r="E11" s="50" t="s">
        <v>155</v>
      </c>
      <c r="F11" s="14" t="s">
        <v>156</v>
      </c>
      <c r="G11" s="176"/>
      <c r="H11" s="176"/>
      <c r="I11" s="176"/>
      <c r="J11" s="176"/>
      <c r="K11" s="176"/>
      <c r="L11" s="14">
        <v>6</v>
      </c>
      <c r="M11" s="14" t="s">
        <v>479</v>
      </c>
      <c r="N11" s="38">
        <f>L11*J10*H10</f>
        <v>122118</v>
      </c>
      <c r="O11" s="181"/>
      <c r="P11" s="181"/>
      <c r="Q11" s="89">
        <f t="shared" si="1"/>
        <v>2.9163203897406507</v>
      </c>
      <c r="R11" s="62">
        <v>2</v>
      </c>
      <c r="S11" s="40" t="s">
        <v>240</v>
      </c>
      <c r="T11" s="14" t="s">
        <v>405</v>
      </c>
    </row>
    <row r="12" spans="1:38" ht="14.25" customHeight="1" x14ac:dyDescent="0.2">
      <c r="A12" s="181"/>
      <c r="B12" s="181"/>
      <c r="C12" s="181"/>
      <c r="D12" s="179" t="s">
        <v>480</v>
      </c>
      <c r="E12" s="50" t="s">
        <v>140</v>
      </c>
      <c r="F12" s="14" t="s">
        <v>140</v>
      </c>
      <c r="G12" s="178" t="s">
        <v>27</v>
      </c>
      <c r="H12" s="178">
        <v>3530</v>
      </c>
      <c r="I12" s="179" t="s">
        <v>142</v>
      </c>
      <c r="J12" s="178">
        <v>0.83333333333333337</v>
      </c>
      <c r="K12" s="178">
        <v>1.6666666666666667</v>
      </c>
      <c r="L12" s="14">
        <v>150</v>
      </c>
      <c r="M12" s="14" t="s">
        <v>483</v>
      </c>
      <c r="N12" s="38">
        <f>H12*J12*K12*L12</f>
        <v>735416.66666666674</v>
      </c>
      <c r="O12" s="181"/>
      <c r="P12" s="181"/>
      <c r="Q12" s="89">
        <f t="shared" si="1"/>
        <v>17.56260846030154</v>
      </c>
      <c r="R12" s="62">
        <v>2</v>
      </c>
      <c r="S12" s="206" t="s">
        <v>485</v>
      </c>
      <c r="T12" s="179" t="s">
        <v>486</v>
      </c>
    </row>
    <row r="13" spans="1:38" ht="14.25" customHeight="1" x14ac:dyDescent="0.2">
      <c r="A13" s="181"/>
      <c r="B13" s="181"/>
      <c r="C13" s="181"/>
      <c r="D13" s="176"/>
      <c r="E13" s="50" t="s">
        <v>155</v>
      </c>
      <c r="F13" s="14" t="s">
        <v>156</v>
      </c>
      <c r="G13" s="176"/>
      <c r="H13" s="176"/>
      <c r="I13" s="176"/>
      <c r="J13" s="176"/>
      <c r="K13" s="176"/>
      <c r="L13" s="14">
        <v>19</v>
      </c>
      <c r="M13" s="14" t="s">
        <v>488</v>
      </c>
      <c r="N13" s="38">
        <f>H12*J12*K12*L13</f>
        <v>93152.777777777781</v>
      </c>
      <c r="O13" s="181"/>
      <c r="P13" s="181"/>
      <c r="Q13" s="89">
        <f t="shared" si="1"/>
        <v>2.2245970716381951</v>
      </c>
      <c r="R13" s="62">
        <v>2</v>
      </c>
      <c r="S13" s="181"/>
      <c r="T13" s="181"/>
    </row>
    <row r="14" spans="1:38" ht="14.25" customHeight="1" x14ac:dyDescent="0.2">
      <c r="A14" s="181"/>
      <c r="B14" s="181"/>
      <c r="C14" s="181"/>
      <c r="D14" s="179" t="s">
        <v>489</v>
      </c>
      <c r="E14" s="50" t="s">
        <v>140</v>
      </c>
      <c r="F14" s="14" t="s">
        <v>140</v>
      </c>
      <c r="G14" s="178">
        <v>79</v>
      </c>
      <c r="H14" s="178">
        <v>7</v>
      </c>
      <c r="I14" s="179" t="s">
        <v>142</v>
      </c>
      <c r="J14" s="178">
        <v>1</v>
      </c>
      <c r="K14" s="178">
        <v>1</v>
      </c>
      <c r="L14" s="14">
        <v>150</v>
      </c>
      <c r="M14" s="14" t="s">
        <v>491</v>
      </c>
      <c r="N14" s="38">
        <f>G14*H14*J14*K14*L14</f>
        <v>82950</v>
      </c>
      <c r="O14" s="181"/>
      <c r="P14" s="181"/>
      <c r="Q14" s="89">
        <f t="shared" si="1"/>
        <v>1.9809428284854564</v>
      </c>
      <c r="R14" s="62">
        <v>2</v>
      </c>
      <c r="S14" s="181"/>
      <c r="T14" s="181"/>
    </row>
    <row r="15" spans="1:38" ht="14.25" customHeight="1" x14ac:dyDescent="0.2">
      <c r="A15" s="181"/>
      <c r="B15" s="176"/>
      <c r="C15" s="176"/>
      <c r="D15" s="176"/>
      <c r="E15" s="50" t="s">
        <v>155</v>
      </c>
      <c r="F15" s="14" t="s">
        <v>156</v>
      </c>
      <c r="G15" s="176"/>
      <c r="H15" s="176"/>
      <c r="I15" s="176"/>
      <c r="J15" s="176"/>
      <c r="K15" s="176"/>
      <c r="L15" s="14">
        <v>20.2</v>
      </c>
      <c r="M15" s="14" t="s">
        <v>492</v>
      </c>
      <c r="N15" s="38">
        <f>G14*H14*J14*K14*L15</f>
        <v>11170.6</v>
      </c>
      <c r="O15" s="181"/>
      <c r="P15" s="181"/>
      <c r="Q15" s="89">
        <f t="shared" si="1"/>
        <v>0.26676696756937479</v>
      </c>
      <c r="R15" s="62">
        <v>2</v>
      </c>
      <c r="S15" s="176"/>
      <c r="T15" s="176"/>
    </row>
    <row r="16" spans="1:38" ht="15" customHeight="1" x14ac:dyDescent="0.2">
      <c r="A16" s="181"/>
      <c r="B16" s="183" t="s">
        <v>209</v>
      </c>
      <c r="C16" s="184" t="s">
        <v>210</v>
      </c>
      <c r="D16" s="179" t="s">
        <v>373</v>
      </c>
      <c r="E16" s="179" t="s">
        <v>155</v>
      </c>
      <c r="F16" s="179" t="s">
        <v>8</v>
      </c>
      <c r="G16" s="178">
        <v>2</v>
      </c>
      <c r="H16" s="182">
        <v>2600</v>
      </c>
      <c r="I16" s="183" t="s">
        <v>166</v>
      </c>
      <c r="J16" s="175" t="s">
        <v>496</v>
      </c>
      <c r="K16" s="179">
        <v>40</v>
      </c>
      <c r="L16" s="178">
        <v>40</v>
      </c>
      <c r="M16" s="179" t="s">
        <v>180</v>
      </c>
      <c r="N16" s="180">
        <f>L16*K16*G16</f>
        <v>3200</v>
      </c>
      <c r="O16" s="181"/>
      <c r="P16" s="181"/>
      <c r="Q16" s="175">
        <f t="shared" si="1"/>
        <v>7.6419735396666189E-2</v>
      </c>
      <c r="R16" s="190">
        <v>2</v>
      </c>
      <c r="S16" s="14" t="s">
        <v>181</v>
      </c>
      <c r="T16" s="14" t="s">
        <v>499</v>
      </c>
    </row>
    <row r="17" spans="1:20" ht="14.25" customHeight="1" x14ac:dyDescent="0.2">
      <c r="A17" s="181"/>
      <c r="B17" s="181"/>
      <c r="C17" s="181"/>
      <c r="D17" s="181"/>
      <c r="E17" s="181"/>
      <c r="F17" s="181"/>
      <c r="G17" s="181"/>
      <c r="H17" s="181"/>
      <c r="I17" s="181"/>
      <c r="J17" s="181"/>
      <c r="K17" s="181"/>
      <c r="L17" s="181"/>
      <c r="M17" s="181"/>
      <c r="N17" s="181"/>
      <c r="O17" s="181"/>
      <c r="P17" s="181"/>
      <c r="Q17" s="181"/>
      <c r="R17" s="181"/>
      <c r="S17" s="14" t="s">
        <v>181</v>
      </c>
      <c r="T17" s="14" t="s">
        <v>500</v>
      </c>
    </row>
    <row r="18" spans="1:20" ht="14.25" customHeight="1" x14ac:dyDescent="0.2">
      <c r="A18" s="181"/>
      <c r="B18" s="181"/>
      <c r="C18" s="181"/>
      <c r="D18" s="181"/>
      <c r="E18" s="181"/>
      <c r="F18" s="181"/>
      <c r="G18" s="181"/>
      <c r="H18" s="181"/>
      <c r="I18" s="181"/>
      <c r="J18" s="181"/>
      <c r="K18" s="181"/>
      <c r="L18" s="181"/>
      <c r="M18" s="181"/>
      <c r="N18" s="181"/>
      <c r="O18" s="181"/>
      <c r="P18" s="181"/>
      <c r="Q18" s="181"/>
      <c r="R18" s="181"/>
      <c r="S18" s="40" t="s">
        <v>445</v>
      </c>
      <c r="T18" s="14" t="s">
        <v>502</v>
      </c>
    </row>
    <row r="19" spans="1:20" ht="14.25" customHeight="1" x14ac:dyDescent="0.2">
      <c r="A19" s="181"/>
      <c r="B19" s="181"/>
      <c r="C19" s="181"/>
      <c r="D19" s="176"/>
      <c r="E19" s="176"/>
      <c r="F19" s="176"/>
      <c r="G19" s="176"/>
      <c r="H19" s="181"/>
      <c r="I19" s="181"/>
      <c r="J19" s="176"/>
      <c r="K19" s="176"/>
      <c r="L19" s="176"/>
      <c r="M19" s="176"/>
      <c r="N19" s="176"/>
      <c r="O19" s="181"/>
      <c r="P19" s="181"/>
      <c r="Q19" s="176"/>
      <c r="R19" s="176"/>
      <c r="S19" s="14" t="s">
        <v>505</v>
      </c>
      <c r="T19" s="14" t="s">
        <v>506</v>
      </c>
    </row>
    <row r="20" spans="1:20" ht="14.25" customHeight="1" x14ac:dyDescent="0.2">
      <c r="A20" s="181"/>
      <c r="B20" s="181"/>
      <c r="C20" s="181"/>
      <c r="D20" s="179" t="s">
        <v>411</v>
      </c>
      <c r="E20" s="179" t="s">
        <v>155</v>
      </c>
      <c r="F20" s="179" t="s">
        <v>9</v>
      </c>
      <c r="G20" s="178">
        <v>27</v>
      </c>
      <c r="H20" s="181"/>
      <c r="I20" s="181"/>
      <c r="J20" s="203" t="s">
        <v>507</v>
      </c>
      <c r="K20" s="179">
        <v>21.666666666666668</v>
      </c>
      <c r="L20" s="178">
        <v>3.27</v>
      </c>
      <c r="M20" s="179" t="s">
        <v>221</v>
      </c>
      <c r="N20" s="180">
        <f>L20*K20*G20</f>
        <v>1912.9500000000003</v>
      </c>
      <c r="O20" s="181"/>
      <c r="P20" s="181"/>
      <c r="Q20" s="175">
        <f>N20/$O$2</f>
        <v>4.5683479008453938E-2</v>
      </c>
      <c r="R20" s="190">
        <v>2</v>
      </c>
      <c r="S20" s="40" t="s">
        <v>420</v>
      </c>
      <c r="T20" s="14" t="s">
        <v>421</v>
      </c>
    </row>
    <row r="21" spans="1:20" ht="14.25" customHeight="1" x14ac:dyDescent="0.2">
      <c r="A21" s="181"/>
      <c r="B21" s="181"/>
      <c r="C21" s="181"/>
      <c r="D21" s="181"/>
      <c r="E21" s="181"/>
      <c r="F21" s="181"/>
      <c r="G21" s="181"/>
      <c r="H21" s="181"/>
      <c r="I21" s="181"/>
      <c r="J21" s="181"/>
      <c r="K21" s="181"/>
      <c r="L21" s="181"/>
      <c r="M21" s="181"/>
      <c r="N21" s="181"/>
      <c r="O21" s="181"/>
      <c r="P21" s="181"/>
      <c r="Q21" s="181"/>
      <c r="R21" s="181"/>
      <c r="S21" s="40" t="s">
        <v>423</v>
      </c>
      <c r="T21" s="14" t="s">
        <v>511</v>
      </c>
    </row>
    <row r="22" spans="1:20" ht="14.25" customHeight="1" x14ac:dyDescent="0.2">
      <c r="A22" s="181"/>
      <c r="B22" s="181"/>
      <c r="C22" s="181"/>
      <c r="D22" s="181"/>
      <c r="E22" s="181"/>
      <c r="F22" s="181"/>
      <c r="G22" s="181"/>
      <c r="H22" s="181"/>
      <c r="I22" s="181"/>
      <c r="J22" s="181"/>
      <c r="K22" s="181"/>
      <c r="L22" s="181"/>
      <c r="M22" s="181"/>
      <c r="N22" s="181"/>
      <c r="O22" s="181"/>
      <c r="P22" s="181"/>
      <c r="Q22" s="181"/>
      <c r="R22" s="181"/>
      <c r="S22" s="40" t="s">
        <v>513</v>
      </c>
      <c r="T22" s="14" t="s">
        <v>514</v>
      </c>
    </row>
    <row r="23" spans="1:20" ht="14.25" customHeight="1" x14ac:dyDescent="0.2">
      <c r="A23" s="181"/>
      <c r="B23" s="181"/>
      <c r="C23" s="181"/>
      <c r="D23" s="181"/>
      <c r="E23" s="181"/>
      <c r="F23" s="181"/>
      <c r="G23" s="181"/>
      <c r="H23" s="181"/>
      <c r="I23" s="181"/>
      <c r="J23" s="181"/>
      <c r="K23" s="181"/>
      <c r="L23" s="181"/>
      <c r="M23" s="181"/>
      <c r="N23" s="181"/>
      <c r="O23" s="181"/>
      <c r="P23" s="181"/>
      <c r="Q23" s="181"/>
      <c r="R23" s="181"/>
      <c r="S23" s="40" t="s">
        <v>431</v>
      </c>
      <c r="T23" s="14" t="s">
        <v>432</v>
      </c>
    </row>
    <row r="24" spans="1:20" ht="14.25" customHeight="1" x14ac:dyDescent="0.2">
      <c r="A24" s="181"/>
      <c r="B24" s="181"/>
      <c r="C24" s="181"/>
      <c r="D24" s="176"/>
      <c r="E24" s="176"/>
      <c r="F24" s="176"/>
      <c r="G24" s="176"/>
      <c r="H24" s="181"/>
      <c r="I24" s="181"/>
      <c r="J24" s="176"/>
      <c r="K24" s="176"/>
      <c r="L24" s="176"/>
      <c r="M24" s="176"/>
      <c r="N24" s="176"/>
      <c r="O24" s="181"/>
      <c r="P24" s="181"/>
      <c r="Q24" s="176"/>
      <c r="R24" s="176"/>
      <c r="S24" s="40" t="s">
        <v>436</v>
      </c>
      <c r="T24" s="14" t="s">
        <v>519</v>
      </c>
    </row>
    <row r="25" spans="1:20" ht="14.25" customHeight="1" x14ac:dyDescent="0.2">
      <c r="A25" s="181"/>
      <c r="B25" s="181"/>
      <c r="C25" s="181"/>
      <c r="D25" s="179" t="s">
        <v>239</v>
      </c>
      <c r="E25" s="179" t="s">
        <v>155</v>
      </c>
      <c r="F25" s="179" t="s">
        <v>7</v>
      </c>
      <c r="G25" s="182">
        <v>1</v>
      </c>
      <c r="H25" s="181"/>
      <c r="I25" s="181"/>
      <c r="J25" s="175">
        <v>3.3333333333333335E-3</v>
      </c>
      <c r="K25" s="179" t="s">
        <v>27</v>
      </c>
      <c r="L25" s="178">
        <v>1.6559999999999999</v>
      </c>
      <c r="M25" s="179" t="s">
        <v>523</v>
      </c>
      <c r="N25" s="180">
        <f>L25*H16</f>
        <v>4305.5999999999995</v>
      </c>
      <c r="O25" s="181"/>
      <c r="P25" s="181"/>
      <c r="Q25" s="175">
        <f>N25/$O$2</f>
        <v>0.10282275397621435</v>
      </c>
      <c r="R25" s="191">
        <v>4</v>
      </c>
      <c r="S25" s="14" t="s">
        <v>243</v>
      </c>
      <c r="T25" s="14" t="s">
        <v>244</v>
      </c>
    </row>
    <row r="26" spans="1:20" ht="14.25" customHeight="1" x14ac:dyDescent="0.2">
      <c r="A26" s="181"/>
      <c r="B26" s="181"/>
      <c r="C26" s="181"/>
      <c r="D26" s="181"/>
      <c r="E26" s="181"/>
      <c r="F26" s="181"/>
      <c r="G26" s="181"/>
      <c r="H26" s="181"/>
      <c r="I26" s="181"/>
      <c r="J26" s="181"/>
      <c r="K26" s="181"/>
      <c r="L26" s="181"/>
      <c r="M26" s="181"/>
      <c r="N26" s="181"/>
      <c r="O26" s="181"/>
      <c r="P26" s="181"/>
      <c r="Q26" s="181"/>
      <c r="R26" s="181"/>
      <c r="S26" s="40" t="s">
        <v>246</v>
      </c>
      <c r="T26" s="14" t="s">
        <v>247</v>
      </c>
    </row>
    <row r="27" spans="1:20" ht="14.25" customHeight="1" x14ac:dyDescent="0.2">
      <c r="A27" s="181"/>
      <c r="B27" s="181"/>
      <c r="C27" s="197"/>
      <c r="D27" s="176"/>
      <c r="E27" s="176"/>
      <c r="F27" s="176"/>
      <c r="G27" s="176"/>
      <c r="H27" s="197"/>
      <c r="I27" s="197"/>
      <c r="J27" s="176"/>
      <c r="K27" s="176"/>
      <c r="L27" s="176"/>
      <c r="M27" s="176"/>
      <c r="N27" s="176"/>
      <c r="O27" s="181"/>
      <c r="P27" s="181"/>
      <c r="Q27" s="176"/>
      <c r="R27" s="176"/>
      <c r="S27" s="14" t="s">
        <v>249</v>
      </c>
      <c r="T27" s="14" t="s">
        <v>250</v>
      </c>
    </row>
    <row r="28" spans="1:20" ht="14.25" customHeight="1" x14ac:dyDescent="0.2">
      <c r="A28" s="181"/>
      <c r="B28" s="181"/>
      <c r="C28" s="184" t="s">
        <v>473</v>
      </c>
      <c r="D28" s="179" t="s">
        <v>529</v>
      </c>
      <c r="E28" s="50" t="s">
        <v>140</v>
      </c>
      <c r="F28" s="14" t="s">
        <v>140</v>
      </c>
      <c r="G28" s="182">
        <v>1</v>
      </c>
      <c r="H28" s="182">
        <v>42000</v>
      </c>
      <c r="I28" s="183" t="s">
        <v>166</v>
      </c>
      <c r="J28" s="178">
        <v>0.5</v>
      </c>
      <c r="K28" s="179" t="s">
        <v>27</v>
      </c>
      <c r="L28" s="14">
        <v>150</v>
      </c>
      <c r="M28" s="14" t="s">
        <v>532</v>
      </c>
      <c r="N28" s="38">
        <f>L28*J28*H28</f>
        <v>3150000</v>
      </c>
      <c r="O28" s="181"/>
      <c r="P28" s="181"/>
      <c r="Q28" s="91">
        <f t="shared" ref="Q28:Q34" si="2">N28/$O$2</f>
        <v>75.225677031093284</v>
      </c>
      <c r="R28" s="62">
        <v>2</v>
      </c>
      <c r="S28" s="14" t="s">
        <v>181</v>
      </c>
      <c r="T28" s="14" t="s">
        <v>478</v>
      </c>
    </row>
    <row r="29" spans="1:20" ht="14.25" customHeight="1" x14ac:dyDescent="0.2">
      <c r="A29" s="181"/>
      <c r="B29" s="181"/>
      <c r="C29" s="181"/>
      <c r="D29" s="176"/>
      <c r="E29" s="50" t="s">
        <v>155</v>
      </c>
      <c r="F29" s="14" t="s">
        <v>156</v>
      </c>
      <c r="G29" s="176"/>
      <c r="H29" s="176"/>
      <c r="I29" s="176"/>
      <c r="J29" s="176"/>
      <c r="K29" s="176"/>
      <c r="L29" s="14">
        <v>6</v>
      </c>
      <c r="M29" s="14" t="s">
        <v>533</v>
      </c>
      <c r="N29" s="38">
        <f>L29*J28*H28</f>
        <v>126000</v>
      </c>
      <c r="O29" s="181"/>
      <c r="P29" s="181"/>
      <c r="Q29" s="91">
        <f t="shared" si="2"/>
        <v>3.009027081243731</v>
      </c>
      <c r="R29" s="62">
        <v>2</v>
      </c>
      <c r="S29" s="40" t="s">
        <v>240</v>
      </c>
      <c r="T29" s="14" t="s">
        <v>405</v>
      </c>
    </row>
    <row r="30" spans="1:20" ht="14.25" customHeight="1" x14ac:dyDescent="0.2">
      <c r="A30" s="181"/>
      <c r="B30" s="181"/>
      <c r="C30" s="181"/>
      <c r="D30" s="179" t="s">
        <v>480</v>
      </c>
      <c r="E30" s="50" t="s">
        <v>140</v>
      </c>
      <c r="F30" s="14" t="s">
        <v>140</v>
      </c>
      <c r="G30" s="178" t="s">
        <v>27</v>
      </c>
      <c r="H30" s="178">
        <v>3530</v>
      </c>
      <c r="I30" s="179" t="s">
        <v>142</v>
      </c>
      <c r="J30" s="178">
        <v>0.83333333333333337</v>
      </c>
      <c r="K30" s="178">
        <v>1.6666666666666667</v>
      </c>
      <c r="L30" s="14">
        <v>150</v>
      </c>
      <c r="M30" s="14" t="s">
        <v>538</v>
      </c>
      <c r="N30" s="38">
        <f>H30*J30*K30*L30</f>
        <v>735416.66666666674</v>
      </c>
      <c r="O30" s="181"/>
      <c r="P30" s="181"/>
      <c r="Q30" s="91">
        <f t="shared" si="2"/>
        <v>17.56260846030154</v>
      </c>
      <c r="R30" s="62">
        <v>2</v>
      </c>
      <c r="S30" s="206" t="s">
        <v>485</v>
      </c>
      <c r="T30" s="179" t="s">
        <v>486</v>
      </c>
    </row>
    <row r="31" spans="1:20" ht="14.25" customHeight="1" x14ac:dyDescent="0.2">
      <c r="A31" s="181"/>
      <c r="B31" s="181"/>
      <c r="C31" s="181"/>
      <c r="D31" s="176"/>
      <c r="E31" s="50" t="s">
        <v>155</v>
      </c>
      <c r="F31" s="14" t="s">
        <v>156</v>
      </c>
      <c r="G31" s="176"/>
      <c r="H31" s="176"/>
      <c r="I31" s="176"/>
      <c r="J31" s="176"/>
      <c r="K31" s="176"/>
      <c r="L31" s="14">
        <v>19</v>
      </c>
      <c r="M31" s="14" t="s">
        <v>540</v>
      </c>
      <c r="N31" s="38">
        <f>H30*J30*K30*L31</f>
        <v>93152.777777777781</v>
      </c>
      <c r="O31" s="181"/>
      <c r="P31" s="181"/>
      <c r="Q31" s="91">
        <f t="shared" si="2"/>
        <v>2.2245970716381951</v>
      </c>
      <c r="R31" s="62">
        <v>2</v>
      </c>
      <c r="S31" s="181"/>
      <c r="T31" s="181"/>
    </row>
    <row r="32" spans="1:20" ht="14.25" customHeight="1" x14ac:dyDescent="0.2">
      <c r="A32" s="181"/>
      <c r="B32" s="181"/>
      <c r="C32" s="181"/>
      <c r="D32" s="179" t="s">
        <v>489</v>
      </c>
      <c r="E32" s="50" t="s">
        <v>140</v>
      </c>
      <c r="F32" s="14" t="s">
        <v>140</v>
      </c>
      <c r="G32" s="178">
        <v>79</v>
      </c>
      <c r="H32" s="178">
        <v>18</v>
      </c>
      <c r="I32" s="179" t="s">
        <v>142</v>
      </c>
      <c r="J32" s="178">
        <v>1</v>
      </c>
      <c r="K32" s="178">
        <v>1</v>
      </c>
      <c r="L32" s="14">
        <v>150</v>
      </c>
      <c r="M32" s="14" t="s">
        <v>542</v>
      </c>
      <c r="N32" s="38">
        <f>G32*H32*J32*K32*L32</f>
        <v>213300</v>
      </c>
      <c r="O32" s="181"/>
      <c r="P32" s="181"/>
      <c r="Q32" s="91">
        <f t="shared" si="2"/>
        <v>5.0938529875340306</v>
      </c>
      <c r="R32" s="62">
        <v>2</v>
      </c>
      <c r="S32" s="176"/>
      <c r="T32" s="176"/>
    </row>
    <row r="33" spans="1:38" ht="14.25" customHeight="1" x14ac:dyDescent="0.2">
      <c r="A33" s="181"/>
      <c r="B33" s="176"/>
      <c r="C33" s="176"/>
      <c r="D33" s="176"/>
      <c r="E33" s="50" t="s">
        <v>155</v>
      </c>
      <c r="F33" s="14" t="s">
        <v>156</v>
      </c>
      <c r="G33" s="176"/>
      <c r="H33" s="176"/>
      <c r="I33" s="176"/>
      <c r="J33" s="176"/>
      <c r="K33" s="176"/>
      <c r="L33" s="14">
        <v>20.2</v>
      </c>
      <c r="M33" s="14" t="s">
        <v>544</v>
      </c>
      <c r="N33" s="38">
        <f>G32*H32*J32*K32*L33</f>
        <v>28724.399999999998</v>
      </c>
      <c r="O33" s="181"/>
      <c r="P33" s="181"/>
      <c r="Q33" s="91">
        <f t="shared" si="2"/>
        <v>0.68597220232124945</v>
      </c>
      <c r="R33" s="62">
        <v>2</v>
      </c>
      <c r="S33" s="14" t="s">
        <v>213</v>
      </c>
      <c r="T33" s="14" t="s">
        <v>545</v>
      </c>
    </row>
    <row r="34" spans="1:38" ht="16.5" customHeight="1" x14ac:dyDescent="0.2">
      <c r="A34" s="181"/>
      <c r="B34" s="183" t="s">
        <v>251</v>
      </c>
      <c r="C34" s="184" t="s">
        <v>285</v>
      </c>
      <c r="D34" s="179" t="s">
        <v>140</v>
      </c>
      <c r="E34" s="179" t="s">
        <v>140</v>
      </c>
      <c r="F34" s="179" t="s">
        <v>140</v>
      </c>
      <c r="G34" s="182">
        <v>1</v>
      </c>
      <c r="H34" s="182">
        <v>21000</v>
      </c>
      <c r="I34" s="183" t="s">
        <v>166</v>
      </c>
      <c r="J34" s="175">
        <v>0.60416666666666663</v>
      </c>
      <c r="K34" s="179" t="s">
        <v>27</v>
      </c>
      <c r="L34" s="178">
        <v>150</v>
      </c>
      <c r="M34" s="179" t="s">
        <v>547</v>
      </c>
      <c r="N34" s="180">
        <f>H34*L34*J34</f>
        <v>1903124.9999999998</v>
      </c>
      <c r="O34" s="181"/>
      <c r="P34" s="181"/>
      <c r="Q34" s="175">
        <f t="shared" si="2"/>
        <v>45.448846539618849</v>
      </c>
      <c r="R34" s="190">
        <v>3</v>
      </c>
      <c r="S34" s="14" t="s">
        <v>549</v>
      </c>
      <c r="T34" s="14" t="s">
        <v>550</v>
      </c>
    </row>
    <row r="35" spans="1:38" ht="16.5" customHeight="1" x14ac:dyDescent="0.2">
      <c r="A35" s="181"/>
      <c r="B35" s="181"/>
      <c r="C35" s="181"/>
      <c r="D35" s="181"/>
      <c r="E35" s="181"/>
      <c r="F35" s="181"/>
      <c r="G35" s="181"/>
      <c r="H35" s="181"/>
      <c r="I35" s="181"/>
      <c r="J35" s="181"/>
      <c r="K35" s="181"/>
      <c r="L35" s="181"/>
      <c r="M35" s="181"/>
      <c r="N35" s="181"/>
      <c r="O35" s="181"/>
      <c r="P35" s="181"/>
      <c r="Q35" s="181"/>
      <c r="R35" s="181"/>
      <c r="S35" s="14" t="s">
        <v>270</v>
      </c>
      <c r="T35" s="14" t="s">
        <v>271</v>
      </c>
    </row>
    <row r="36" spans="1:38" ht="16.5" customHeight="1" x14ac:dyDescent="0.2">
      <c r="A36" s="181"/>
      <c r="B36" s="181"/>
      <c r="C36" s="181"/>
      <c r="D36" s="181"/>
      <c r="E36" s="181"/>
      <c r="F36" s="181"/>
      <c r="G36" s="181"/>
      <c r="H36" s="181"/>
      <c r="I36" s="181"/>
      <c r="J36" s="181"/>
      <c r="K36" s="181"/>
      <c r="L36" s="181"/>
      <c r="M36" s="181"/>
      <c r="N36" s="181"/>
      <c r="O36" s="181"/>
      <c r="P36" s="181"/>
      <c r="Q36" s="181"/>
      <c r="R36" s="181"/>
      <c r="S36" s="14" t="s">
        <v>552</v>
      </c>
      <c r="T36" s="14" t="s">
        <v>553</v>
      </c>
    </row>
    <row r="37" spans="1:38" ht="16.5" customHeight="1" x14ac:dyDescent="0.2">
      <c r="A37" s="181"/>
      <c r="B37" s="181"/>
      <c r="C37" s="181"/>
      <c r="D37" s="176"/>
      <c r="E37" s="176"/>
      <c r="F37" s="176"/>
      <c r="G37" s="181"/>
      <c r="H37" s="181"/>
      <c r="I37" s="181"/>
      <c r="J37" s="176"/>
      <c r="K37" s="176"/>
      <c r="L37" s="176"/>
      <c r="M37" s="176"/>
      <c r="N37" s="176"/>
      <c r="O37" s="181"/>
      <c r="P37" s="181"/>
      <c r="Q37" s="176"/>
      <c r="R37" s="176"/>
      <c r="S37" s="40" t="s">
        <v>262</v>
      </c>
      <c r="T37" s="14" t="s">
        <v>471</v>
      </c>
    </row>
    <row r="38" spans="1:38" ht="15" customHeight="1" x14ac:dyDescent="0.2">
      <c r="A38" s="181"/>
      <c r="B38" s="181"/>
      <c r="C38" s="176"/>
      <c r="D38" s="41" t="s">
        <v>154</v>
      </c>
      <c r="E38" s="41" t="s">
        <v>155</v>
      </c>
      <c r="F38" s="41" t="s">
        <v>156</v>
      </c>
      <c r="G38" s="176"/>
      <c r="H38" s="176"/>
      <c r="I38" s="176"/>
      <c r="J38" s="51" t="s">
        <v>27</v>
      </c>
      <c r="K38" s="41" t="s">
        <v>27</v>
      </c>
      <c r="L38" s="53">
        <v>1.9</v>
      </c>
      <c r="M38" s="14" t="s">
        <v>555</v>
      </c>
      <c r="N38" s="54">
        <f>L38*H34</f>
        <v>39900</v>
      </c>
      <c r="O38" s="181"/>
      <c r="P38" s="181"/>
      <c r="Q38" s="57">
        <f t="shared" ref="Q38:Q42" si="3">N38/$O$2</f>
        <v>0.95285857572718158</v>
      </c>
      <c r="R38" s="62">
        <v>3</v>
      </c>
      <c r="S38" s="14" t="s">
        <v>280</v>
      </c>
      <c r="T38" s="14" t="s">
        <v>281</v>
      </c>
      <c r="U38" s="63"/>
      <c r="V38" s="63"/>
      <c r="W38" s="63"/>
      <c r="X38" s="63"/>
      <c r="Y38" s="63"/>
      <c r="Z38" s="63"/>
      <c r="AA38" s="63"/>
      <c r="AB38" s="63"/>
      <c r="AC38" s="63"/>
      <c r="AD38" s="63"/>
      <c r="AE38" s="63"/>
      <c r="AF38" s="63"/>
      <c r="AG38" s="63"/>
      <c r="AH38" s="63"/>
      <c r="AI38" s="63"/>
      <c r="AJ38" s="63"/>
      <c r="AK38" s="63"/>
      <c r="AL38" s="63"/>
    </row>
    <row r="39" spans="1:38" ht="15" customHeight="1" x14ac:dyDescent="0.2">
      <c r="A39" s="181"/>
      <c r="B39" s="181"/>
      <c r="C39" s="184" t="s">
        <v>252</v>
      </c>
      <c r="D39" s="50" t="s">
        <v>253</v>
      </c>
      <c r="E39" s="50" t="s">
        <v>140</v>
      </c>
      <c r="F39" s="50" t="s">
        <v>557</v>
      </c>
      <c r="G39" s="182">
        <v>1</v>
      </c>
      <c r="H39" s="182">
        <v>1600</v>
      </c>
      <c r="I39" s="183" t="s">
        <v>166</v>
      </c>
      <c r="J39" s="51">
        <v>0.66666666666666663</v>
      </c>
      <c r="K39" s="50" t="s">
        <v>27</v>
      </c>
      <c r="L39" s="53">
        <v>150</v>
      </c>
      <c r="M39" s="14" t="s">
        <v>559</v>
      </c>
      <c r="N39" s="54">
        <f>L39*J39*H39</f>
        <v>160000</v>
      </c>
      <c r="O39" s="181"/>
      <c r="P39" s="181"/>
      <c r="Q39" s="57">
        <f t="shared" si="3"/>
        <v>3.8209867698333095</v>
      </c>
      <c r="R39" s="71">
        <v>3</v>
      </c>
      <c r="S39" s="40" t="s">
        <v>259</v>
      </c>
      <c r="T39" s="14" t="s">
        <v>260</v>
      </c>
      <c r="U39" s="63"/>
      <c r="V39" s="63"/>
      <c r="W39" s="63"/>
      <c r="X39" s="63"/>
      <c r="Y39" s="63"/>
      <c r="Z39" s="63"/>
      <c r="AA39" s="63"/>
      <c r="AB39" s="63"/>
      <c r="AC39" s="63"/>
      <c r="AD39" s="63"/>
      <c r="AE39" s="63"/>
      <c r="AF39" s="63"/>
      <c r="AG39" s="63"/>
      <c r="AH39" s="63"/>
      <c r="AI39" s="63"/>
      <c r="AJ39" s="63"/>
      <c r="AK39" s="63"/>
      <c r="AL39" s="63"/>
    </row>
    <row r="40" spans="1:38" ht="15" customHeight="1" x14ac:dyDescent="0.2">
      <c r="A40" s="181"/>
      <c r="B40" s="176"/>
      <c r="C40" s="176"/>
      <c r="D40" s="50" t="s">
        <v>154</v>
      </c>
      <c r="E40" s="50" t="s">
        <v>155</v>
      </c>
      <c r="F40" s="50" t="s">
        <v>156</v>
      </c>
      <c r="G40" s="176"/>
      <c r="H40" s="176"/>
      <c r="I40" s="176"/>
      <c r="J40" s="51" t="s">
        <v>27</v>
      </c>
      <c r="K40" s="50" t="s">
        <v>27</v>
      </c>
      <c r="L40" s="53">
        <v>1.9</v>
      </c>
      <c r="M40" s="14" t="s">
        <v>562</v>
      </c>
      <c r="N40" s="54">
        <f>L40*H39</f>
        <v>3040</v>
      </c>
      <c r="O40" s="181"/>
      <c r="P40" s="181"/>
      <c r="Q40" s="57">
        <f t="shared" si="3"/>
        <v>7.2598748626832882E-2</v>
      </c>
      <c r="R40" s="71">
        <v>3</v>
      </c>
      <c r="S40" s="40" t="s">
        <v>262</v>
      </c>
      <c r="T40" s="14" t="s">
        <v>267</v>
      </c>
      <c r="U40" s="63"/>
      <c r="V40" s="63"/>
      <c r="W40" s="63"/>
      <c r="X40" s="63"/>
      <c r="Y40" s="63"/>
      <c r="Z40" s="63"/>
      <c r="AA40" s="63"/>
      <c r="AB40" s="63"/>
      <c r="AC40" s="63"/>
      <c r="AD40" s="63"/>
      <c r="AE40" s="63"/>
      <c r="AF40" s="63"/>
      <c r="AG40" s="63"/>
      <c r="AH40" s="63"/>
      <c r="AI40" s="63"/>
      <c r="AJ40" s="63"/>
      <c r="AK40" s="63"/>
      <c r="AL40" s="63"/>
    </row>
    <row r="41" spans="1:38" ht="14.25" customHeight="1" x14ac:dyDescent="0.2">
      <c r="A41" s="181"/>
      <c r="B41" s="68" t="s">
        <v>299</v>
      </c>
      <c r="C41" s="69" t="s">
        <v>300</v>
      </c>
      <c r="D41" s="50" t="s">
        <v>301</v>
      </c>
      <c r="E41" s="50" t="s">
        <v>27</v>
      </c>
      <c r="F41" s="50" t="s">
        <v>27</v>
      </c>
      <c r="G41" s="70">
        <v>10</v>
      </c>
      <c r="H41" s="53">
        <v>21</v>
      </c>
      <c r="I41" s="50" t="s">
        <v>166</v>
      </c>
      <c r="J41" s="51" t="s">
        <v>27</v>
      </c>
      <c r="K41" s="50" t="s">
        <v>27</v>
      </c>
      <c r="L41" s="53" t="s">
        <v>27</v>
      </c>
      <c r="M41" s="50" t="s">
        <v>304</v>
      </c>
      <c r="N41" s="54">
        <f t="shared" ref="N41:N43" si="4">H41*G41</f>
        <v>210</v>
      </c>
      <c r="O41" s="181"/>
      <c r="P41" s="181"/>
      <c r="Q41" s="51">
        <f t="shared" si="3"/>
        <v>5.0150451354062184E-3</v>
      </c>
      <c r="R41" s="71">
        <v>4</v>
      </c>
      <c r="S41" s="14" t="s">
        <v>307</v>
      </c>
      <c r="T41" s="14" t="s">
        <v>308</v>
      </c>
    </row>
    <row r="42" spans="1:38" ht="16.5" customHeight="1" x14ac:dyDescent="0.2">
      <c r="A42" s="181"/>
      <c r="B42" s="94" t="s">
        <v>310</v>
      </c>
      <c r="C42" s="94" t="s">
        <v>566</v>
      </c>
      <c r="D42" s="34" t="s">
        <v>567</v>
      </c>
      <c r="E42" s="34" t="s">
        <v>27</v>
      </c>
      <c r="F42" s="34" t="s">
        <v>27</v>
      </c>
      <c r="G42" s="95">
        <v>8</v>
      </c>
      <c r="H42" s="35">
        <v>21</v>
      </c>
      <c r="I42" s="34" t="s">
        <v>166</v>
      </c>
      <c r="J42" s="36" t="s">
        <v>27</v>
      </c>
      <c r="K42" s="34" t="s">
        <v>27</v>
      </c>
      <c r="L42" s="35" t="s">
        <v>27</v>
      </c>
      <c r="M42" s="34" t="s">
        <v>570</v>
      </c>
      <c r="N42" s="47">
        <f t="shared" si="4"/>
        <v>168</v>
      </c>
      <c r="O42" s="181"/>
      <c r="P42" s="181"/>
      <c r="Q42" s="36">
        <f t="shared" si="3"/>
        <v>4.0120361083249749E-3</v>
      </c>
      <c r="R42" s="56">
        <v>3</v>
      </c>
      <c r="S42" s="40" t="s">
        <v>571</v>
      </c>
      <c r="T42" s="14" t="s">
        <v>308</v>
      </c>
    </row>
    <row r="43" spans="1:38" ht="16.5" customHeight="1" x14ac:dyDescent="0.2">
      <c r="A43" s="181"/>
      <c r="B43" s="69" t="s">
        <v>573</v>
      </c>
      <c r="C43" s="69" t="s">
        <v>574</v>
      </c>
      <c r="D43" s="50" t="s">
        <v>575</v>
      </c>
      <c r="E43" s="50" t="s">
        <v>27</v>
      </c>
      <c r="F43" s="50" t="s">
        <v>27</v>
      </c>
      <c r="G43" s="70">
        <v>11</v>
      </c>
      <c r="H43" s="35">
        <v>21</v>
      </c>
      <c r="I43" s="34" t="s">
        <v>166</v>
      </c>
      <c r="J43" s="51" t="s">
        <v>27</v>
      </c>
      <c r="K43" s="50" t="s">
        <v>27</v>
      </c>
      <c r="L43" s="53" t="s">
        <v>27</v>
      </c>
      <c r="M43" s="50" t="s">
        <v>27</v>
      </c>
      <c r="N43" s="54">
        <f t="shared" si="4"/>
        <v>231</v>
      </c>
      <c r="O43" s="181"/>
      <c r="P43" s="181"/>
      <c r="Q43" s="51">
        <f>N43/O2</f>
        <v>5.5165496489468406E-3</v>
      </c>
      <c r="R43" s="56">
        <v>4</v>
      </c>
      <c r="S43" s="14" t="s">
        <v>307</v>
      </c>
      <c r="T43" s="14" t="s">
        <v>308</v>
      </c>
    </row>
    <row r="44" spans="1:38" ht="14.25" customHeight="1" x14ac:dyDescent="0.2">
      <c r="A44" s="181"/>
      <c r="B44" s="183" t="s">
        <v>417</v>
      </c>
      <c r="C44" s="183" t="s">
        <v>418</v>
      </c>
      <c r="D44" s="179" t="s">
        <v>419</v>
      </c>
      <c r="E44" s="179" t="s">
        <v>155</v>
      </c>
      <c r="F44" s="179" t="s">
        <v>7</v>
      </c>
      <c r="G44" s="182">
        <v>275</v>
      </c>
      <c r="H44" s="178">
        <v>9.5</v>
      </c>
      <c r="I44" s="179" t="s">
        <v>142</v>
      </c>
      <c r="J44" s="175" t="s">
        <v>27</v>
      </c>
      <c r="K44" s="179" t="s">
        <v>27</v>
      </c>
      <c r="L44" s="178">
        <v>2.75</v>
      </c>
      <c r="M44" s="179" t="s">
        <v>180</v>
      </c>
      <c r="N44" s="180">
        <f>L44*H44*G44</f>
        <v>7184.375</v>
      </c>
      <c r="O44" s="181"/>
      <c r="P44" s="181"/>
      <c r="Q44" s="175">
        <f>N44/$O$2</f>
        <v>0.1715712614032574</v>
      </c>
      <c r="R44" s="190">
        <v>3</v>
      </c>
      <c r="S44" s="40" t="s">
        <v>424</v>
      </c>
      <c r="T44" s="14" t="s">
        <v>426</v>
      </c>
    </row>
    <row r="45" spans="1:38" ht="14.25" customHeight="1" x14ac:dyDescent="0.2">
      <c r="A45" s="181"/>
      <c r="B45" s="181"/>
      <c r="C45" s="181"/>
      <c r="D45" s="176"/>
      <c r="E45" s="176"/>
      <c r="F45" s="176"/>
      <c r="G45" s="181"/>
      <c r="H45" s="176"/>
      <c r="I45" s="176"/>
      <c r="J45" s="176"/>
      <c r="K45" s="176"/>
      <c r="L45" s="176"/>
      <c r="M45" s="176"/>
      <c r="N45" s="176"/>
      <c r="O45" s="181"/>
      <c r="P45" s="181"/>
      <c r="Q45" s="176"/>
      <c r="R45" s="176"/>
      <c r="S45" s="40" t="s">
        <v>588</v>
      </c>
      <c r="T45" s="14" t="s">
        <v>590</v>
      </c>
    </row>
    <row r="46" spans="1:38" ht="14.25" customHeight="1" x14ac:dyDescent="0.2">
      <c r="A46" s="181"/>
      <c r="B46" s="181"/>
      <c r="C46" s="181"/>
      <c r="D46" s="179" t="s">
        <v>433</v>
      </c>
      <c r="E46" s="179" t="s">
        <v>434</v>
      </c>
      <c r="F46" s="179" t="s">
        <v>435</v>
      </c>
      <c r="G46" s="181"/>
      <c r="H46" s="200">
        <v>4.5555555555555554</v>
      </c>
      <c r="I46" s="179" t="s">
        <v>166</v>
      </c>
      <c r="J46" s="175">
        <v>2.0833333333333332E-2</v>
      </c>
      <c r="K46" s="193" t="s">
        <v>27</v>
      </c>
      <c r="L46" s="194">
        <v>158</v>
      </c>
      <c r="M46" s="193" t="s">
        <v>592</v>
      </c>
      <c r="N46" s="180">
        <f>L46*J46*H46*G44*2</f>
        <v>8247.4537037037026</v>
      </c>
      <c r="O46" s="181"/>
      <c r="P46" s="181"/>
      <c r="Q46" s="175">
        <f>N46/$O$2</f>
        <v>0.19695882179165358</v>
      </c>
      <c r="R46" s="190">
        <v>3</v>
      </c>
      <c r="S46" s="14" t="s">
        <v>439</v>
      </c>
      <c r="T46" s="14" t="s">
        <v>440</v>
      </c>
    </row>
    <row r="47" spans="1:38" ht="14.25" customHeight="1" x14ac:dyDescent="0.2">
      <c r="A47" s="181"/>
      <c r="B47" s="181"/>
      <c r="C47" s="181"/>
      <c r="D47" s="181"/>
      <c r="E47" s="181"/>
      <c r="F47" s="181"/>
      <c r="G47" s="181"/>
      <c r="H47" s="181"/>
      <c r="I47" s="181"/>
      <c r="J47" s="181"/>
      <c r="K47" s="181"/>
      <c r="L47" s="181"/>
      <c r="M47" s="181"/>
      <c r="N47" s="181"/>
      <c r="O47" s="181"/>
      <c r="P47" s="181"/>
      <c r="Q47" s="181"/>
      <c r="R47" s="181"/>
      <c r="S47" s="14" t="s">
        <v>443</v>
      </c>
      <c r="T47" s="14" t="s">
        <v>444</v>
      </c>
    </row>
    <row r="48" spans="1:38" ht="14.25" customHeight="1" x14ac:dyDescent="0.2">
      <c r="A48" s="181"/>
      <c r="B48" s="181"/>
      <c r="C48" s="181"/>
      <c r="D48" s="181"/>
      <c r="E48" s="181"/>
      <c r="F48" s="181"/>
      <c r="G48" s="181"/>
      <c r="H48" s="181"/>
      <c r="I48" s="181"/>
      <c r="J48" s="181"/>
      <c r="K48" s="181"/>
      <c r="L48" s="181"/>
      <c r="M48" s="181"/>
      <c r="N48" s="181"/>
      <c r="O48" s="181"/>
      <c r="P48" s="181"/>
      <c r="Q48" s="181"/>
      <c r="R48" s="181"/>
      <c r="S48" s="14" t="s">
        <v>451</v>
      </c>
      <c r="T48" s="14" t="s">
        <v>452</v>
      </c>
    </row>
    <row r="49" spans="1:20" ht="14.25" customHeight="1" x14ac:dyDescent="0.2">
      <c r="A49" s="181"/>
      <c r="B49" s="181"/>
      <c r="C49" s="181"/>
      <c r="D49" s="181"/>
      <c r="E49" s="176"/>
      <c r="F49" s="176"/>
      <c r="G49" s="181"/>
      <c r="H49" s="181"/>
      <c r="I49" s="181"/>
      <c r="J49" s="176"/>
      <c r="K49" s="176"/>
      <c r="L49" s="176"/>
      <c r="M49" s="176"/>
      <c r="N49" s="176"/>
      <c r="O49" s="181"/>
      <c r="P49" s="181"/>
      <c r="Q49" s="176"/>
      <c r="R49" s="176"/>
      <c r="S49" s="40" t="s">
        <v>447</v>
      </c>
      <c r="T49" s="14" t="s">
        <v>449</v>
      </c>
    </row>
    <row r="50" spans="1:20" ht="14.25" customHeight="1" x14ac:dyDescent="0.2">
      <c r="A50" s="181"/>
      <c r="B50" s="176"/>
      <c r="C50" s="176"/>
      <c r="D50" s="176"/>
      <c r="E50" s="14" t="s">
        <v>287</v>
      </c>
      <c r="F50" s="14" t="s">
        <v>19</v>
      </c>
      <c r="G50" s="176"/>
      <c r="H50" s="176"/>
      <c r="I50" s="176"/>
      <c r="J50" s="51">
        <v>2.5000000000000001E-3</v>
      </c>
      <c r="K50" s="50" t="s">
        <v>27</v>
      </c>
      <c r="L50" s="53">
        <v>0.17</v>
      </c>
      <c r="M50" s="14" t="s">
        <v>596</v>
      </c>
      <c r="N50" s="54">
        <f>L50*H46*G44*2</f>
        <v>425.94444444444446</v>
      </c>
      <c r="O50" s="181"/>
      <c r="P50" s="181"/>
      <c r="Q50" s="51">
        <f t="shared" ref="Q50:Q51" si="5">N50/$O$2</f>
        <v>1.0172050543163884E-2</v>
      </c>
      <c r="R50" s="62">
        <v>3</v>
      </c>
      <c r="S50" s="40" t="s">
        <v>460</v>
      </c>
      <c r="T50" s="14" t="s">
        <v>461</v>
      </c>
    </row>
    <row r="51" spans="1:20" ht="14.25" customHeight="1" x14ac:dyDescent="0.2">
      <c r="A51" s="181"/>
      <c r="B51" s="183" t="s">
        <v>321</v>
      </c>
      <c r="C51" s="184" t="s">
        <v>597</v>
      </c>
      <c r="D51" s="179" t="s">
        <v>598</v>
      </c>
      <c r="E51" s="179" t="s">
        <v>287</v>
      </c>
      <c r="F51" s="179" t="s">
        <v>17</v>
      </c>
      <c r="G51" s="182">
        <v>1</v>
      </c>
      <c r="H51" s="182">
        <v>42000</v>
      </c>
      <c r="I51" s="183" t="s">
        <v>166</v>
      </c>
      <c r="J51" s="175">
        <v>5.8333333333333336E-3</v>
      </c>
      <c r="K51" s="179" t="s">
        <v>27</v>
      </c>
      <c r="L51" s="178">
        <v>0.35</v>
      </c>
      <c r="M51" s="179" t="s">
        <v>601</v>
      </c>
      <c r="N51" s="180">
        <f>H51*L51</f>
        <v>14699.999999999998</v>
      </c>
      <c r="O51" s="181"/>
      <c r="P51" s="181"/>
      <c r="Q51" s="175">
        <f t="shared" si="5"/>
        <v>0.35105315947843524</v>
      </c>
      <c r="R51" s="192">
        <v>3</v>
      </c>
      <c r="S51" s="40" t="s">
        <v>530</v>
      </c>
      <c r="T51" s="14" t="s">
        <v>603</v>
      </c>
    </row>
    <row r="52" spans="1:20" ht="14.25" customHeight="1" x14ac:dyDescent="0.2">
      <c r="A52" s="181"/>
      <c r="B52" s="181"/>
      <c r="C52" s="181"/>
      <c r="D52" s="181"/>
      <c r="E52" s="181"/>
      <c r="F52" s="181"/>
      <c r="G52" s="181"/>
      <c r="H52" s="181"/>
      <c r="I52" s="181"/>
      <c r="J52" s="181"/>
      <c r="K52" s="181"/>
      <c r="L52" s="181"/>
      <c r="M52" s="181"/>
      <c r="N52" s="181"/>
      <c r="O52" s="181"/>
      <c r="P52" s="181"/>
      <c r="Q52" s="181"/>
      <c r="R52" s="181"/>
      <c r="S52" s="14" t="s">
        <v>604</v>
      </c>
      <c r="T52" s="14" t="s">
        <v>605</v>
      </c>
    </row>
    <row r="53" spans="1:20" ht="14.25" customHeight="1" x14ac:dyDescent="0.2">
      <c r="A53" s="181"/>
      <c r="B53" s="181"/>
      <c r="C53" s="181"/>
      <c r="D53" s="176"/>
      <c r="E53" s="176"/>
      <c r="F53" s="176"/>
      <c r="G53" s="176"/>
      <c r="H53" s="181"/>
      <c r="I53" s="181"/>
      <c r="J53" s="176"/>
      <c r="K53" s="176"/>
      <c r="L53" s="176"/>
      <c r="M53" s="176"/>
      <c r="N53" s="176"/>
      <c r="O53" s="181"/>
      <c r="P53" s="181"/>
      <c r="Q53" s="176"/>
      <c r="R53" s="176"/>
      <c r="S53" s="14" t="s">
        <v>606</v>
      </c>
      <c r="T53" s="14" t="s">
        <v>607</v>
      </c>
    </row>
    <row r="54" spans="1:20" ht="14.25" customHeight="1" x14ac:dyDescent="0.2">
      <c r="A54" s="181"/>
      <c r="B54" s="181"/>
      <c r="C54" s="181"/>
      <c r="D54" s="179" t="s">
        <v>498</v>
      </c>
      <c r="E54" s="179" t="s">
        <v>294</v>
      </c>
      <c r="F54" s="196" t="s">
        <v>12</v>
      </c>
      <c r="G54" s="182">
        <v>1</v>
      </c>
      <c r="H54" s="181"/>
      <c r="I54" s="181"/>
      <c r="J54" s="175">
        <v>4.1666666666666664E-2</v>
      </c>
      <c r="K54" s="179" t="s">
        <v>27</v>
      </c>
      <c r="L54" s="178">
        <v>2</v>
      </c>
      <c r="M54" s="179" t="s">
        <v>609</v>
      </c>
      <c r="N54" s="180">
        <f>H51*L54</f>
        <v>84000</v>
      </c>
      <c r="O54" s="181"/>
      <c r="P54" s="181"/>
      <c r="Q54" s="175">
        <f>N54/$O$2</f>
        <v>2.0060180541624875</v>
      </c>
      <c r="R54" s="192">
        <v>3</v>
      </c>
      <c r="S54" s="14" t="s">
        <v>503</v>
      </c>
      <c r="T54" s="14" t="s">
        <v>504</v>
      </c>
    </row>
    <row r="55" spans="1:20" ht="15" customHeight="1" x14ac:dyDescent="0.2">
      <c r="A55" s="181"/>
      <c r="B55" s="181"/>
      <c r="C55" s="181"/>
      <c r="D55" s="181"/>
      <c r="E55" s="181"/>
      <c r="F55" s="181"/>
      <c r="G55" s="181"/>
      <c r="H55" s="181"/>
      <c r="I55" s="181"/>
      <c r="J55" s="181"/>
      <c r="K55" s="181"/>
      <c r="L55" s="181"/>
      <c r="M55" s="181"/>
      <c r="N55" s="181"/>
      <c r="O55" s="181"/>
      <c r="P55" s="181"/>
      <c r="Q55" s="181"/>
      <c r="R55" s="181"/>
      <c r="S55" s="14" t="s">
        <v>508</v>
      </c>
      <c r="T55" s="14" t="s">
        <v>509</v>
      </c>
    </row>
    <row r="56" spans="1:20" ht="14.25" customHeight="1" x14ac:dyDescent="0.2">
      <c r="A56" s="181"/>
      <c r="B56" s="181"/>
      <c r="C56" s="181"/>
      <c r="D56" s="176"/>
      <c r="E56" s="176"/>
      <c r="F56" s="176"/>
      <c r="G56" s="176"/>
      <c r="H56" s="181"/>
      <c r="I56" s="181"/>
      <c r="J56" s="176"/>
      <c r="K56" s="176"/>
      <c r="L56" s="176"/>
      <c r="M56" s="176"/>
      <c r="N56" s="176"/>
      <c r="O56" s="181"/>
      <c r="P56" s="181"/>
      <c r="Q56" s="176"/>
      <c r="R56" s="176"/>
      <c r="S56" s="40" t="s">
        <v>510</v>
      </c>
      <c r="T56" s="14" t="s">
        <v>614</v>
      </c>
    </row>
    <row r="57" spans="1:20" ht="17.25" customHeight="1" x14ac:dyDescent="0.2">
      <c r="A57" s="181"/>
      <c r="B57" s="181"/>
      <c r="C57" s="181"/>
      <c r="D57" s="179" t="s">
        <v>286</v>
      </c>
      <c r="E57" s="179" t="s">
        <v>287</v>
      </c>
      <c r="F57" s="179" t="s">
        <v>10</v>
      </c>
      <c r="G57" s="182">
        <v>2</v>
      </c>
      <c r="H57" s="181"/>
      <c r="I57" s="181"/>
      <c r="J57" s="175">
        <v>0.125</v>
      </c>
      <c r="K57" s="179" t="s">
        <v>27</v>
      </c>
      <c r="L57" s="178">
        <v>2.5</v>
      </c>
      <c r="M57" s="179" t="s">
        <v>618</v>
      </c>
      <c r="N57" s="180">
        <f>L57*H51*(J57)*G57</f>
        <v>26250</v>
      </c>
      <c r="O57" s="181"/>
      <c r="P57" s="181"/>
      <c r="Q57" s="175">
        <f>N57/$O$2</f>
        <v>0.6268806419257773</v>
      </c>
      <c r="R57" s="191">
        <v>3</v>
      </c>
      <c r="S57" s="14" t="s">
        <v>343</v>
      </c>
      <c r="T57" s="14" t="s">
        <v>344</v>
      </c>
    </row>
    <row r="58" spans="1:20" ht="14.25" customHeight="1" x14ac:dyDescent="0.2">
      <c r="A58" s="181"/>
      <c r="B58" s="181"/>
      <c r="C58" s="181"/>
      <c r="D58" s="181"/>
      <c r="E58" s="181"/>
      <c r="F58" s="181"/>
      <c r="G58" s="181"/>
      <c r="H58" s="181"/>
      <c r="I58" s="181"/>
      <c r="J58" s="181"/>
      <c r="K58" s="181"/>
      <c r="L58" s="181"/>
      <c r="M58" s="181"/>
      <c r="N58" s="181"/>
      <c r="O58" s="181"/>
      <c r="P58" s="181"/>
      <c r="Q58" s="181"/>
      <c r="R58" s="181"/>
      <c r="S58" s="97" t="s">
        <v>345</v>
      </c>
      <c r="T58" s="44" t="s">
        <v>346</v>
      </c>
    </row>
    <row r="59" spans="1:20" ht="14.25" customHeight="1" x14ac:dyDescent="0.2">
      <c r="A59" s="181"/>
      <c r="B59" s="181"/>
      <c r="C59" s="181"/>
      <c r="D59" s="181"/>
      <c r="E59" s="181"/>
      <c r="F59" s="181"/>
      <c r="G59" s="181"/>
      <c r="H59" s="181"/>
      <c r="I59" s="181"/>
      <c r="J59" s="181"/>
      <c r="K59" s="181"/>
      <c r="L59" s="181"/>
      <c r="M59" s="181"/>
      <c r="N59" s="181"/>
      <c r="O59" s="181"/>
      <c r="P59" s="181"/>
      <c r="Q59" s="181"/>
      <c r="R59" s="181"/>
      <c r="S59" s="14" t="s">
        <v>347</v>
      </c>
      <c r="T59" s="14" t="s">
        <v>348</v>
      </c>
    </row>
    <row r="60" spans="1:20" ht="14.25" customHeight="1" x14ac:dyDescent="0.2">
      <c r="A60" s="176"/>
      <c r="B60" s="176"/>
      <c r="C60" s="176"/>
      <c r="D60" s="176"/>
      <c r="E60" s="176"/>
      <c r="F60" s="176"/>
      <c r="G60" s="176"/>
      <c r="H60" s="176"/>
      <c r="I60" s="176"/>
      <c r="J60" s="176"/>
      <c r="K60" s="176"/>
      <c r="L60" s="176"/>
      <c r="M60" s="176"/>
      <c r="N60" s="176"/>
      <c r="O60" s="176"/>
      <c r="P60" s="176"/>
      <c r="Q60" s="176"/>
      <c r="R60" s="176"/>
      <c r="S60" s="14" t="s">
        <v>349</v>
      </c>
      <c r="T60" s="14" t="s">
        <v>350</v>
      </c>
    </row>
    <row r="61" spans="1:20" ht="14.25" customHeight="1" x14ac:dyDescent="0.2"/>
    <row r="62" spans="1:20" ht="14.25" customHeight="1" x14ac:dyDescent="0.2"/>
    <row r="63" spans="1:20" ht="14.25" customHeight="1" x14ac:dyDescent="0.2">
      <c r="F63" s="28" t="s">
        <v>309</v>
      </c>
      <c r="G63" s="28" t="s">
        <v>128</v>
      </c>
      <c r="H63" s="28" t="s">
        <v>622</v>
      </c>
    </row>
    <row r="64" spans="1:20" ht="14.25" customHeight="1" x14ac:dyDescent="0.2">
      <c r="F64" s="50" t="s">
        <v>140</v>
      </c>
      <c r="G64" s="72">
        <f t="shared" ref="G64:G74" si="6">SUMIF($F$2:$F$60,$F64,N$2:N$60)</f>
        <v>14290377.083333334</v>
      </c>
      <c r="H64" s="98">
        <f t="shared" ref="H64:H74" si="7">SUMIF($F$2:$F$60,$F64,Q$2:Q$60)</f>
        <v>341.2708860709111</v>
      </c>
    </row>
    <row r="65" spans="6:8" ht="14.25" customHeight="1" x14ac:dyDescent="0.2">
      <c r="F65" s="14" t="s">
        <v>156</v>
      </c>
      <c r="G65" s="72">
        <f t="shared" si="6"/>
        <v>692972.3055555555</v>
      </c>
      <c r="H65" s="98">
        <f t="shared" si="7"/>
        <v>16.548987571179147</v>
      </c>
    </row>
    <row r="66" spans="6:8" ht="14.25" customHeight="1" x14ac:dyDescent="0.2">
      <c r="F66" s="50" t="s">
        <v>8</v>
      </c>
      <c r="G66" s="72">
        <f t="shared" si="6"/>
        <v>3200</v>
      </c>
      <c r="H66" s="98">
        <f t="shared" si="7"/>
        <v>7.6419735396666189E-2</v>
      </c>
    </row>
    <row r="67" spans="6:8" ht="14.25" customHeight="1" x14ac:dyDescent="0.2">
      <c r="F67" s="50" t="s">
        <v>9</v>
      </c>
      <c r="G67" s="72">
        <f t="shared" si="6"/>
        <v>1912.9500000000003</v>
      </c>
      <c r="H67" s="98">
        <f t="shared" si="7"/>
        <v>4.5683479008453938E-2</v>
      </c>
    </row>
    <row r="68" spans="6:8" ht="14.25" customHeight="1" x14ac:dyDescent="0.2">
      <c r="F68" s="50" t="s">
        <v>7</v>
      </c>
      <c r="G68" s="72">
        <f t="shared" si="6"/>
        <v>11489.974999999999</v>
      </c>
      <c r="H68" s="98">
        <f t="shared" si="7"/>
        <v>0.27439401537947172</v>
      </c>
    </row>
    <row r="69" spans="6:8" ht="14.25" customHeight="1" x14ac:dyDescent="0.2">
      <c r="F69" s="50" t="s">
        <v>435</v>
      </c>
      <c r="G69" s="72">
        <f t="shared" si="6"/>
        <v>8247.4537037037026</v>
      </c>
      <c r="H69" s="98">
        <f t="shared" si="7"/>
        <v>0.19695882179165358</v>
      </c>
    </row>
    <row r="70" spans="6:8" ht="14.25" customHeight="1" x14ac:dyDescent="0.2">
      <c r="F70" s="14" t="s">
        <v>19</v>
      </c>
      <c r="G70" s="72">
        <f t="shared" si="6"/>
        <v>425.94444444444446</v>
      </c>
      <c r="H70" s="98">
        <f t="shared" si="7"/>
        <v>1.0172050543163884E-2</v>
      </c>
    </row>
    <row r="71" spans="6:8" ht="14.25" customHeight="1" x14ac:dyDescent="0.2">
      <c r="F71" s="50" t="s">
        <v>17</v>
      </c>
      <c r="G71" s="72">
        <f t="shared" si="6"/>
        <v>14699.999999999998</v>
      </c>
      <c r="H71" s="98">
        <f t="shared" si="7"/>
        <v>0.35105315947843524</v>
      </c>
    </row>
    <row r="72" spans="6:8" ht="14.25" customHeight="1" x14ac:dyDescent="0.2">
      <c r="F72" s="92" t="s">
        <v>12</v>
      </c>
      <c r="G72" s="72">
        <f t="shared" si="6"/>
        <v>84000</v>
      </c>
      <c r="H72" s="98">
        <f t="shared" si="7"/>
        <v>2.0060180541624875</v>
      </c>
    </row>
    <row r="73" spans="6:8" ht="14.25" customHeight="1" x14ac:dyDescent="0.2">
      <c r="F73" s="50" t="s">
        <v>10</v>
      </c>
      <c r="G73" s="72">
        <f t="shared" si="6"/>
        <v>26250</v>
      </c>
      <c r="H73" s="98">
        <f t="shared" si="7"/>
        <v>0.6268806419257773</v>
      </c>
    </row>
    <row r="74" spans="6:8" ht="14.25" customHeight="1" x14ac:dyDescent="0.2">
      <c r="F74" s="50" t="s">
        <v>557</v>
      </c>
      <c r="G74" s="72">
        <f t="shared" si="6"/>
        <v>160000</v>
      </c>
      <c r="H74" s="98">
        <f t="shared" si="7"/>
        <v>3.8209867698333095</v>
      </c>
    </row>
    <row r="75" spans="6:8" ht="14.25" customHeight="1" x14ac:dyDescent="0.2"/>
    <row r="76" spans="6:8" ht="14.25" customHeight="1" x14ac:dyDescent="0.2"/>
    <row r="77" spans="6:8" ht="14.25" customHeight="1" x14ac:dyDescent="0.2"/>
    <row r="78" spans="6:8" ht="14.25" customHeight="1" x14ac:dyDescent="0.2"/>
    <row r="79" spans="6:8" ht="14.25" customHeight="1" x14ac:dyDescent="0.2"/>
    <row r="80" spans="6:8" ht="14.25" customHeight="1" x14ac:dyDescent="0.2"/>
    <row r="81" spans="6:8" ht="14.25" customHeight="1" x14ac:dyDescent="0.2">
      <c r="F81" s="93" t="s">
        <v>631</v>
      </c>
      <c r="G81" s="28" t="s">
        <v>128</v>
      </c>
      <c r="H81" s="28" t="s">
        <v>632</v>
      </c>
    </row>
    <row r="82" spans="6:8" ht="14.25" customHeight="1" x14ac:dyDescent="0.2">
      <c r="F82" s="50" t="s">
        <v>140</v>
      </c>
      <c r="G82" s="72">
        <f t="shared" ref="G82:G86" si="8">SUMIF($E$2:$E$60,$F82,N$2:N$60)</f>
        <v>14450377.083333334</v>
      </c>
      <c r="H82" s="73">
        <f t="shared" ref="H82:H86" si="9">SUMIF($E$2:$E$60,$F82,Q$2:Q$60)</f>
        <v>345.09187284074443</v>
      </c>
    </row>
    <row r="83" spans="6:8" ht="14.25" customHeight="1" x14ac:dyDescent="0.2">
      <c r="F83" s="14" t="s">
        <v>155</v>
      </c>
      <c r="G83" s="72">
        <f t="shared" si="8"/>
        <v>709575.23055555543</v>
      </c>
      <c r="H83" s="73">
        <f t="shared" si="9"/>
        <v>16.94548480096374</v>
      </c>
    </row>
    <row r="84" spans="6:8" ht="14.25" customHeight="1" x14ac:dyDescent="0.2">
      <c r="F84" s="50" t="s">
        <v>434</v>
      </c>
      <c r="G84" s="72">
        <f t="shared" si="8"/>
        <v>8247.4537037037026</v>
      </c>
      <c r="H84" s="73">
        <f t="shared" si="9"/>
        <v>0.19695882179165358</v>
      </c>
    </row>
    <row r="85" spans="6:8" ht="14.25" customHeight="1" x14ac:dyDescent="0.2">
      <c r="F85" s="14" t="s">
        <v>287</v>
      </c>
      <c r="G85" s="72">
        <f t="shared" si="8"/>
        <v>41375.944444444445</v>
      </c>
      <c r="H85" s="73">
        <f t="shared" si="9"/>
        <v>0.98810585194737643</v>
      </c>
    </row>
    <row r="86" spans="6:8" ht="14.25" customHeight="1" x14ac:dyDescent="0.2">
      <c r="F86" s="50" t="s">
        <v>294</v>
      </c>
      <c r="G86" s="72">
        <f t="shared" si="8"/>
        <v>84000</v>
      </c>
      <c r="H86" s="73">
        <f t="shared" si="9"/>
        <v>2.0060180541624875</v>
      </c>
    </row>
    <row r="87" spans="6:8" ht="14.25" customHeight="1" x14ac:dyDescent="0.2"/>
    <row r="88" spans="6:8" ht="14.25" customHeight="1" x14ac:dyDescent="0.2"/>
    <row r="89" spans="6:8" ht="14.25" customHeight="1" x14ac:dyDescent="0.2"/>
    <row r="90" spans="6:8" ht="14.25" customHeight="1" x14ac:dyDescent="0.2">
      <c r="H90" s="99"/>
    </row>
    <row r="91" spans="6:8" ht="14.25" customHeight="1" x14ac:dyDescent="0.2"/>
    <row r="92" spans="6:8" ht="14.25" customHeight="1" x14ac:dyDescent="0.2"/>
    <row r="93" spans="6:8" ht="14.25" customHeight="1" x14ac:dyDescent="0.2"/>
    <row r="94" spans="6:8" ht="14.25" customHeight="1" x14ac:dyDescent="0.2"/>
    <row r="95" spans="6:8" ht="14.25" customHeight="1" x14ac:dyDescent="0.2"/>
    <row r="96" spans="6: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03">
    <mergeCell ref="H39:H40"/>
    <mergeCell ref="H46:H50"/>
    <mergeCell ref="I46:I50"/>
    <mergeCell ref="J46:J49"/>
    <mergeCell ref="K46:K49"/>
    <mergeCell ref="L46:L49"/>
    <mergeCell ref="O2:O60"/>
    <mergeCell ref="B5:B6"/>
    <mergeCell ref="C5:C6"/>
    <mergeCell ref="H5:H6"/>
    <mergeCell ref="I5:I6"/>
    <mergeCell ref="J5:J6"/>
    <mergeCell ref="K5:K6"/>
    <mergeCell ref="M7:M8"/>
    <mergeCell ref="N7:N8"/>
    <mergeCell ref="M57:M60"/>
    <mergeCell ref="N57:N60"/>
    <mergeCell ref="D54:D56"/>
    <mergeCell ref="E54:E56"/>
    <mergeCell ref="D34:D37"/>
    <mergeCell ref="E34:E37"/>
    <mergeCell ref="D46:D50"/>
    <mergeCell ref="E46:E49"/>
    <mergeCell ref="F44:F45"/>
    <mergeCell ref="G44:G50"/>
    <mergeCell ref="M34:M37"/>
    <mergeCell ref="N34:N37"/>
    <mergeCell ref="I39:I40"/>
    <mergeCell ref="C44:C50"/>
    <mergeCell ref="H44:H45"/>
    <mergeCell ref="I44:I45"/>
    <mergeCell ref="Q2:Q3"/>
    <mergeCell ref="R2:R3"/>
    <mergeCell ref="S12:S15"/>
    <mergeCell ref="T12:T15"/>
    <mergeCell ref="Q16:Q19"/>
    <mergeCell ref="R16:R19"/>
    <mergeCell ref="R20:R24"/>
    <mergeCell ref="P2:P60"/>
    <mergeCell ref="H2:H4"/>
    <mergeCell ref="I2:I4"/>
    <mergeCell ref="J2:J4"/>
    <mergeCell ref="K2:K4"/>
    <mergeCell ref="L2:L3"/>
    <mergeCell ref="M2:M3"/>
    <mergeCell ref="N2:N3"/>
    <mergeCell ref="Q34:Q37"/>
    <mergeCell ref="R34:R37"/>
    <mergeCell ref="R44:R45"/>
    <mergeCell ref="J44:J45"/>
    <mergeCell ref="K44:K45"/>
    <mergeCell ref="L44:L45"/>
    <mergeCell ref="M44:M45"/>
    <mergeCell ref="N44:N45"/>
    <mergeCell ref="Q44:Q45"/>
    <mergeCell ref="K57:K60"/>
    <mergeCell ref="L57:L60"/>
    <mergeCell ref="Q7:Q8"/>
    <mergeCell ref="R7:R8"/>
    <mergeCell ref="Q20:Q24"/>
    <mergeCell ref="Q25:Q27"/>
    <mergeCell ref="R25:R27"/>
    <mergeCell ref="S30:S32"/>
    <mergeCell ref="T30:T32"/>
    <mergeCell ref="F46:F49"/>
    <mergeCell ref="D51:D53"/>
    <mergeCell ref="E51:E53"/>
    <mergeCell ref="B16:B33"/>
    <mergeCell ref="C16:C27"/>
    <mergeCell ref="C28:C33"/>
    <mergeCell ref="D28:D29"/>
    <mergeCell ref="G28:G29"/>
    <mergeCell ref="D30:D31"/>
    <mergeCell ref="G30:G31"/>
    <mergeCell ref="D32:D33"/>
    <mergeCell ref="G32:G33"/>
    <mergeCell ref="B34:B40"/>
    <mergeCell ref="C34:C38"/>
    <mergeCell ref="C39:C40"/>
    <mergeCell ref="C51:C60"/>
    <mergeCell ref="G39:G40"/>
    <mergeCell ref="F57:F60"/>
    <mergeCell ref="G57:G60"/>
    <mergeCell ref="A2:A60"/>
    <mergeCell ref="B44:B50"/>
    <mergeCell ref="B51:B60"/>
    <mergeCell ref="F51:F53"/>
    <mergeCell ref="G51:G53"/>
    <mergeCell ref="I51:I60"/>
    <mergeCell ref="J51:J53"/>
    <mergeCell ref="J54:J56"/>
    <mergeCell ref="D44:D45"/>
    <mergeCell ref="E44:E45"/>
    <mergeCell ref="F54:F56"/>
    <mergeCell ref="G54:G56"/>
    <mergeCell ref="D57:D60"/>
    <mergeCell ref="E57:E60"/>
    <mergeCell ref="C7:C9"/>
    <mergeCell ref="D7:D8"/>
    <mergeCell ref="E7:E8"/>
    <mergeCell ref="F7:F8"/>
    <mergeCell ref="H7:H9"/>
    <mergeCell ref="I7:I9"/>
    <mergeCell ref="J7:J9"/>
    <mergeCell ref="I12:I13"/>
    <mergeCell ref="H14:H15"/>
    <mergeCell ref="I14:I15"/>
    <mergeCell ref="J25:J27"/>
    <mergeCell ref="K25:K27"/>
    <mergeCell ref="K14:K15"/>
    <mergeCell ref="L25:L27"/>
    <mergeCell ref="M46:M49"/>
    <mergeCell ref="N46:N49"/>
    <mergeCell ref="Q46:Q49"/>
    <mergeCell ref="R46:R49"/>
    <mergeCell ref="H51:H60"/>
    <mergeCell ref="M51:M53"/>
    <mergeCell ref="N51:N53"/>
    <mergeCell ref="Q51:Q53"/>
    <mergeCell ref="R51:R53"/>
    <mergeCell ref="K54:K56"/>
    <mergeCell ref="L54:L56"/>
    <mergeCell ref="M54:M56"/>
    <mergeCell ref="N54:N56"/>
    <mergeCell ref="Q54:Q56"/>
    <mergeCell ref="R54:R56"/>
    <mergeCell ref="Q57:Q60"/>
    <mergeCell ref="R57:R60"/>
    <mergeCell ref="K51:K53"/>
    <mergeCell ref="L51:L53"/>
    <mergeCell ref="J57:J60"/>
    <mergeCell ref="G20:G24"/>
    <mergeCell ref="G7:G9"/>
    <mergeCell ref="G10:G11"/>
    <mergeCell ref="H10:H11"/>
    <mergeCell ref="I10:I11"/>
    <mergeCell ref="J10:J11"/>
    <mergeCell ref="K10:K11"/>
    <mergeCell ref="K7:K9"/>
    <mergeCell ref="L7:L8"/>
    <mergeCell ref="J14:J15"/>
    <mergeCell ref="J16:J19"/>
    <mergeCell ref="J12:J13"/>
    <mergeCell ref="J20:J24"/>
    <mergeCell ref="K20:K24"/>
    <mergeCell ref="M25:M27"/>
    <mergeCell ref="N25:N27"/>
    <mergeCell ref="K12:K13"/>
    <mergeCell ref="L16:L19"/>
    <mergeCell ref="M16:M19"/>
    <mergeCell ref="N16:N19"/>
    <mergeCell ref="L20:L24"/>
    <mergeCell ref="M20:M24"/>
    <mergeCell ref="N20:N24"/>
    <mergeCell ref="K16:K19"/>
    <mergeCell ref="B2:B4"/>
    <mergeCell ref="B7:B9"/>
    <mergeCell ref="D25:D27"/>
    <mergeCell ref="E25:E27"/>
    <mergeCell ref="F25:F27"/>
    <mergeCell ref="G25:G27"/>
    <mergeCell ref="H28:H29"/>
    <mergeCell ref="I28:I29"/>
    <mergeCell ref="J28:J29"/>
    <mergeCell ref="H16:H27"/>
    <mergeCell ref="I16:I27"/>
    <mergeCell ref="C2:C4"/>
    <mergeCell ref="B10:B15"/>
    <mergeCell ref="C10:C15"/>
    <mergeCell ref="D12:D13"/>
    <mergeCell ref="G12:G13"/>
    <mergeCell ref="D14:D15"/>
    <mergeCell ref="G14:G15"/>
    <mergeCell ref="D16:D19"/>
    <mergeCell ref="E16:E19"/>
    <mergeCell ref="F16:F19"/>
    <mergeCell ref="G16:G19"/>
    <mergeCell ref="D20:D24"/>
    <mergeCell ref="E20:E24"/>
    <mergeCell ref="L34:L37"/>
    <mergeCell ref="F34:F37"/>
    <mergeCell ref="G34:G38"/>
    <mergeCell ref="D2:D3"/>
    <mergeCell ref="E2:E3"/>
    <mergeCell ref="F2:F3"/>
    <mergeCell ref="G2:G4"/>
    <mergeCell ref="G5:G6"/>
    <mergeCell ref="D10:D11"/>
    <mergeCell ref="H30:H31"/>
    <mergeCell ref="I30:I31"/>
    <mergeCell ref="J30:J31"/>
    <mergeCell ref="K30:K31"/>
    <mergeCell ref="H32:H33"/>
    <mergeCell ref="K32:K33"/>
    <mergeCell ref="I32:I33"/>
    <mergeCell ref="J32:J33"/>
    <mergeCell ref="H34:H38"/>
    <mergeCell ref="I34:I38"/>
    <mergeCell ref="J34:J37"/>
    <mergeCell ref="K34:K37"/>
    <mergeCell ref="H12:H13"/>
    <mergeCell ref="K28:K29"/>
    <mergeCell ref="F20:F24"/>
  </mergeCells>
  <conditionalFormatting sqref="R2:R7 R10:R27 R34:R60">
    <cfRule type="colorScale" priority="5">
      <colorScale>
        <cfvo type="min"/>
        <cfvo type="percentile" val="50"/>
        <cfvo type="max"/>
        <color rgb="FFF8696B"/>
        <color rgb="FFFFEB84"/>
        <color rgb="FF63BE7B"/>
      </colorScale>
    </cfRule>
  </conditionalFormatting>
  <conditionalFormatting sqref="R2:R7 R16:R27 R34:R41 R43:R60">
    <cfRule type="colorScale" priority="7">
      <colorScale>
        <cfvo type="min"/>
        <cfvo type="percentile" val="50"/>
        <cfvo type="max"/>
        <color rgb="FFF8696B"/>
        <color rgb="FFFFEB84"/>
        <color rgb="FF63BE7B"/>
      </colorScale>
    </cfRule>
  </conditionalFormatting>
  <conditionalFormatting sqref="R2:R60">
    <cfRule type="colorScale" priority="1">
      <colorScale>
        <cfvo type="min"/>
        <cfvo type="percentile" val="50"/>
        <cfvo type="max"/>
        <color rgb="FFF8696B"/>
        <color rgb="FFFFEB84"/>
        <color rgb="FF63BE7B"/>
      </colorScale>
    </cfRule>
  </conditionalFormatting>
  <conditionalFormatting sqref="R10:R15">
    <cfRule type="colorScale" priority="2">
      <colorScale>
        <cfvo type="min"/>
        <cfvo type="percentile" val="50"/>
        <cfvo type="max"/>
        <color rgb="FFF8696B"/>
        <color rgb="FFFFEB84"/>
        <color rgb="FF63BE7B"/>
      </colorScale>
    </cfRule>
  </conditionalFormatting>
  <conditionalFormatting sqref="R28:R33">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sqref="R42">
    <cfRule type="colorScale" priority="6">
      <colorScale>
        <cfvo type="min"/>
        <cfvo type="percentile" val="50"/>
        <cfvo type="max"/>
        <color rgb="FFF8696B"/>
        <color rgb="FFFFEB84"/>
        <color rgb="FF63BE7B"/>
      </colorScale>
    </cfRule>
  </conditionalFormatting>
  <hyperlinks>
    <hyperlink ref="S4" r:id="rId1" xr:uid="{00000000-0004-0000-0A00-000000000000}"/>
    <hyperlink ref="S9" r:id="rId2" location=":~:text=The%20minimum%20thickness%20for%20commercial,to%202.5%20psf%20of%20reinforcing). " xr:uid="{00000000-0004-0000-0A00-000001000000}"/>
    <hyperlink ref="S11" r:id="rId3" xr:uid="{00000000-0004-0000-0A00-000002000000}"/>
    <hyperlink ref="S12" r:id="rId4" location="_Toc479145359 " xr:uid="{00000000-0004-0000-0A00-000003000000}"/>
    <hyperlink ref="S18" r:id="rId5" xr:uid="{00000000-0004-0000-0A00-000004000000}"/>
    <hyperlink ref="S23" r:id="rId6" xr:uid="{00000000-0004-0000-0A00-000005000000}"/>
    <hyperlink ref="S24" r:id="rId7" xr:uid="{00000000-0004-0000-0A00-000006000000}"/>
    <hyperlink ref="S26" r:id="rId8" xr:uid="{00000000-0004-0000-0A00-000007000000}"/>
    <hyperlink ref="S29" r:id="rId9" xr:uid="{00000000-0004-0000-0A00-000008000000}"/>
    <hyperlink ref="S30" r:id="rId10" location="_Toc479145359 " xr:uid="{00000000-0004-0000-0A00-000009000000}"/>
    <hyperlink ref="S37" r:id="rId11" location=":~:text=The%20minimum%20thickness%20for%20commercial,to%202.5%20psf%20of%20reinforcing). " xr:uid="{00000000-0004-0000-0A00-00000A000000}"/>
    <hyperlink ref="S39" r:id="rId12" xr:uid="{00000000-0004-0000-0A00-00000B000000}"/>
    <hyperlink ref="S40" r:id="rId13" location=":~:text=The%20minimum%20thickness%20for%20commercial,to%202.5%20psf%20of%20reinforcing). " xr:uid="{00000000-0004-0000-0A00-00000C000000}"/>
    <hyperlink ref="S42" r:id="rId14" location=":~:text=Steel%20Entry%20Doors,assemble%20a%20knock%20down%20door. " xr:uid="{00000000-0004-0000-0A00-00000D000000}"/>
    <hyperlink ref="S44" r:id="rId15" location=" " xr:uid="{00000000-0004-0000-0A00-00000E000000}"/>
    <hyperlink ref="S45" r:id="rId16" xr:uid="{00000000-0004-0000-0A00-00000F000000}"/>
    <hyperlink ref="S49" r:id="rId17" xr:uid="{00000000-0004-0000-0A00-000010000000}"/>
    <hyperlink ref="S50" r:id="rId18" xr:uid="{00000000-0004-0000-0A00-000011000000}"/>
    <hyperlink ref="S51" r:id="rId19" xr:uid="{00000000-0004-0000-0A00-000012000000}"/>
    <hyperlink ref="S56" r:id="rId20" xr:uid="{00000000-0004-0000-0A00-000013000000}"/>
  </hyperlinks>
  <pageMargins left="0.7" right="0.7" top="0.75" bottom="0.75" header="0" footer="0"/>
  <pageSetup orientation="portrait"/>
  <drawing r:id="rId21"/>
  <legacyDrawing r:id="rId2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26.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38" width="8.6640625" customWidth="1"/>
  </cols>
  <sheetData>
    <row r="1" spans="1:38"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674</v>
      </c>
      <c r="R1" s="28" t="s">
        <v>133</v>
      </c>
      <c r="S1" s="28" t="s">
        <v>134</v>
      </c>
      <c r="T1" s="31" t="s">
        <v>135</v>
      </c>
      <c r="U1" s="32"/>
      <c r="V1" s="33"/>
      <c r="W1" s="33"/>
      <c r="X1" s="33"/>
      <c r="Y1" s="33"/>
      <c r="Z1" s="33"/>
      <c r="AA1" s="33"/>
      <c r="AB1" s="33"/>
      <c r="AC1" s="33"/>
      <c r="AD1" s="33"/>
      <c r="AE1" s="33"/>
      <c r="AF1" s="33"/>
      <c r="AG1" s="33"/>
      <c r="AH1" s="33"/>
      <c r="AI1" s="33"/>
      <c r="AJ1" s="33"/>
      <c r="AK1" s="33"/>
      <c r="AL1" s="33"/>
    </row>
    <row r="2" spans="1:38" ht="14.25" customHeight="1" x14ac:dyDescent="0.2">
      <c r="A2" s="185" t="s">
        <v>675</v>
      </c>
      <c r="B2" s="183" t="s">
        <v>164</v>
      </c>
      <c r="C2" s="183" t="s">
        <v>165</v>
      </c>
      <c r="D2" s="14" t="s">
        <v>140</v>
      </c>
      <c r="E2" s="41" t="s">
        <v>140</v>
      </c>
      <c r="F2" s="41" t="s">
        <v>140</v>
      </c>
      <c r="G2" s="182">
        <v>1</v>
      </c>
      <c r="H2" s="182">
        <v>2245</v>
      </c>
      <c r="I2" s="183" t="s">
        <v>166</v>
      </c>
      <c r="J2" s="178">
        <f>6/12</f>
        <v>0.5</v>
      </c>
      <c r="K2" s="179" t="s">
        <v>27</v>
      </c>
      <c r="L2" s="14">
        <v>150</v>
      </c>
      <c r="M2" s="14" t="s">
        <v>676</v>
      </c>
      <c r="N2" s="38">
        <f>L2*J2*H2</f>
        <v>168375</v>
      </c>
      <c r="O2" s="186">
        <v>2736</v>
      </c>
      <c r="P2" s="183" t="s">
        <v>356</v>
      </c>
      <c r="Q2" s="19">
        <f>N2/O2</f>
        <v>61.540570175438596</v>
      </c>
      <c r="R2" s="39">
        <v>4</v>
      </c>
      <c r="S2" s="14" t="s">
        <v>388</v>
      </c>
      <c r="T2" s="14"/>
    </row>
    <row r="3" spans="1:38" ht="14.25" customHeight="1" x14ac:dyDescent="0.2">
      <c r="A3" s="181"/>
      <c r="B3" s="176"/>
      <c r="C3" s="176"/>
      <c r="D3" s="14" t="s">
        <v>154</v>
      </c>
      <c r="E3" s="41" t="s">
        <v>155</v>
      </c>
      <c r="F3" s="41" t="s">
        <v>156</v>
      </c>
      <c r="G3" s="176"/>
      <c r="H3" s="176"/>
      <c r="I3" s="176"/>
      <c r="J3" s="176"/>
      <c r="K3" s="176"/>
      <c r="L3" s="14">
        <v>6</v>
      </c>
      <c r="M3" s="14" t="s">
        <v>679</v>
      </c>
      <c r="N3" s="38">
        <f>L3*J2*H2</f>
        <v>6735</v>
      </c>
      <c r="O3" s="181"/>
      <c r="P3" s="181"/>
      <c r="Q3" s="19">
        <f>N3/O2</f>
        <v>2.4616228070175437</v>
      </c>
      <c r="R3" s="39">
        <v>4</v>
      </c>
      <c r="S3" s="14" t="s">
        <v>174</v>
      </c>
      <c r="T3" s="14" t="s">
        <v>175</v>
      </c>
    </row>
    <row r="4" spans="1:38" ht="16.5" customHeight="1" x14ac:dyDescent="0.2">
      <c r="A4" s="181"/>
      <c r="B4" s="184" t="s">
        <v>209</v>
      </c>
      <c r="C4" s="184" t="s">
        <v>680</v>
      </c>
      <c r="D4" s="179" t="s">
        <v>239</v>
      </c>
      <c r="E4" s="179" t="s">
        <v>92</v>
      </c>
      <c r="F4" s="179" t="s">
        <v>681</v>
      </c>
      <c r="G4" s="182">
        <v>1</v>
      </c>
      <c r="H4" s="183">
        <v>2245</v>
      </c>
      <c r="I4" s="183" t="s">
        <v>166</v>
      </c>
      <c r="J4" s="175">
        <v>3.6458333333333336E-2</v>
      </c>
      <c r="K4" s="179" t="s">
        <v>27</v>
      </c>
      <c r="L4" s="178">
        <v>1.44</v>
      </c>
      <c r="M4" s="179" t="s">
        <v>682</v>
      </c>
      <c r="N4" s="180">
        <f>L4*H4</f>
        <v>3232.7999999999997</v>
      </c>
      <c r="O4" s="181"/>
      <c r="P4" s="181"/>
      <c r="Q4" s="209">
        <f>N4/O2</f>
        <v>1.1815789473684211</v>
      </c>
      <c r="R4" s="177">
        <v>5</v>
      </c>
      <c r="S4" s="40" t="s">
        <v>365</v>
      </c>
      <c r="T4" s="14" t="s">
        <v>366</v>
      </c>
    </row>
    <row r="5" spans="1:38" ht="14.25" customHeight="1" x14ac:dyDescent="0.2">
      <c r="A5" s="181"/>
      <c r="B5" s="181"/>
      <c r="C5" s="181"/>
      <c r="D5" s="181"/>
      <c r="E5" s="181"/>
      <c r="F5" s="181"/>
      <c r="G5" s="181"/>
      <c r="H5" s="181"/>
      <c r="I5" s="181"/>
      <c r="J5" s="181"/>
      <c r="K5" s="181"/>
      <c r="L5" s="181"/>
      <c r="M5" s="181"/>
      <c r="N5" s="181"/>
      <c r="O5" s="181"/>
      <c r="P5" s="181"/>
      <c r="Q5" s="181"/>
      <c r="R5" s="181"/>
      <c r="S5" s="40" t="s">
        <v>370</v>
      </c>
      <c r="T5" s="14" t="s">
        <v>372</v>
      </c>
    </row>
    <row r="6" spans="1:38" ht="14.25" customHeight="1" x14ac:dyDescent="0.2">
      <c r="A6" s="181"/>
      <c r="B6" s="181"/>
      <c r="C6" s="181"/>
      <c r="D6" s="181"/>
      <c r="E6" s="181"/>
      <c r="F6" s="181"/>
      <c r="G6" s="181"/>
      <c r="H6" s="181"/>
      <c r="I6" s="181"/>
      <c r="J6" s="181"/>
      <c r="K6" s="181"/>
      <c r="L6" s="181"/>
      <c r="M6" s="181"/>
      <c r="N6" s="181"/>
      <c r="O6" s="181"/>
      <c r="P6" s="181"/>
      <c r="Q6" s="181"/>
      <c r="R6" s="181"/>
      <c r="S6" s="40" t="s">
        <v>685</v>
      </c>
      <c r="T6" s="14" t="s">
        <v>686</v>
      </c>
    </row>
    <row r="7" spans="1:38" ht="14.25" customHeight="1" x14ac:dyDescent="0.2">
      <c r="A7" s="181"/>
      <c r="B7" s="181"/>
      <c r="C7" s="181"/>
      <c r="D7" s="176"/>
      <c r="E7" s="176"/>
      <c r="F7" s="176"/>
      <c r="G7" s="176"/>
      <c r="H7" s="181"/>
      <c r="I7" s="181"/>
      <c r="J7" s="176"/>
      <c r="K7" s="176"/>
      <c r="L7" s="176"/>
      <c r="M7" s="176"/>
      <c r="N7" s="176"/>
      <c r="O7" s="181"/>
      <c r="P7" s="181"/>
      <c r="Q7" s="176"/>
      <c r="R7" s="176"/>
      <c r="S7" s="40" t="s">
        <v>687</v>
      </c>
      <c r="T7" s="14" t="s">
        <v>688</v>
      </c>
    </row>
    <row r="8" spans="1:38" ht="14.25" customHeight="1" x14ac:dyDescent="0.2">
      <c r="A8" s="181"/>
      <c r="B8" s="181"/>
      <c r="C8" s="181"/>
      <c r="D8" s="179" t="s">
        <v>689</v>
      </c>
      <c r="E8" s="179" t="s">
        <v>92</v>
      </c>
      <c r="F8" s="179" t="s">
        <v>4</v>
      </c>
      <c r="G8" s="178">
        <v>304</v>
      </c>
      <c r="H8" s="181"/>
      <c r="I8" s="181"/>
      <c r="J8" s="178" t="s">
        <v>690</v>
      </c>
      <c r="K8" s="179" t="s">
        <v>691</v>
      </c>
      <c r="L8" s="178" t="s">
        <v>692</v>
      </c>
      <c r="M8" s="179" t="s">
        <v>693</v>
      </c>
      <c r="N8" s="180">
        <v>7830.5759999999991</v>
      </c>
      <c r="O8" s="181"/>
      <c r="P8" s="181"/>
      <c r="Q8" s="209">
        <f>N8/O2</f>
        <v>2.8620526315789472</v>
      </c>
      <c r="R8" s="177">
        <v>3</v>
      </c>
      <c r="S8" s="14" t="s">
        <v>695</v>
      </c>
      <c r="T8" s="14" t="s">
        <v>696</v>
      </c>
    </row>
    <row r="9" spans="1:38" ht="14.25" customHeight="1" x14ac:dyDescent="0.2">
      <c r="A9" s="181"/>
      <c r="B9" s="181"/>
      <c r="C9" s="181"/>
      <c r="D9" s="181"/>
      <c r="E9" s="181"/>
      <c r="F9" s="181"/>
      <c r="G9" s="181"/>
      <c r="H9" s="181"/>
      <c r="I9" s="181"/>
      <c r="J9" s="181"/>
      <c r="K9" s="181"/>
      <c r="L9" s="181"/>
      <c r="M9" s="181"/>
      <c r="N9" s="181"/>
      <c r="O9" s="181"/>
      <c r="P9" s="181"/>
      <c r="Q9" s="181"/>
      <c r="R9" s="181"/>
      <c r="S9" s="40" t="s">
        <v>697</v>
      </c>
      <c r="T9" s="14" t="s">
        <v>698</v>
      </c>
    </row>
    <row r="10" spans="1:38" ht="14.25" customHeight="1" x14ac:dyDescent="0.2">
      <c r="A10" s="181"/>
      <c r="B10" s="181"/>
      <c r="C10" s="181"/>
      <c r="D10" s="176"/>
      <c r="E10" s="176"/>
      <c r="F10" s="176"/>
      <c r="G10" s="176"/>
      <c r="H10" s="181"/>
      <c r="I10" s="181"/>
      <c r="J10" s="176"/>
      <c r="K10" s="176"/>
      <c r="L10" s="176"/>
      <c r="M10" s="176"/>
      <c r="N10" s="176"/>
      <c r="O10" s="181"/>
      <c r="P10" s="181"/>
      <c r="Q10" s="176"/>
      <c r="R10" s="176"/>
      <c r="S10" s="14" t="s">
        <v>368</v>
      </c>
      <c r="T10" s="14" t="s">
        <v>369</v>
      </c>
    </row>
    <row r="11" spans="1:38" ht="14.25" customHeight="1" x14ac:dyDescent="0.2">
      <c r="A11" s="181"/>
      <c r="B11" s="181"/>
      <c r="C11" s="181"/>
      <c r="D11" s="50" t="s">
        <v>700</v>
      </c>
      <c r="E11" s="50" t="s">
        <v>92</v>
      </c>
      <c r="F11" s="50" t="s">
        <v>4</v>
      </c>
      <c r="G11" s="53">
        <v>152</v>
      </c>
      <c r="H11" s="181"/>
      <c r="I11" s="181"/>
      <c r="J11" s="35" t="s">
        <v>701</v>
      </c>
      <c r="K11" s="34" t="s">
        <v>702</v>
      </c>
      <c r="L11" s="35" t="s">
        <v>27</v>
      </c>
      <c r="M11" s="34" t="s">
        <v>693</v>
      </c>
      <c r="N11" s="47">
        <v>12534.096000000001</v>
      </c>
      <c r="O11" s="181"/>
      <c r="P11" s="181"/>
      <c r="Q11" s="103">
        <f>N11/O2</f>
        <v>4.5811754385964916</v>
      </c>
      <c r="R11" s="58">
        <v>2</v>
      </c>
      <c r="S11" s="44" t="s">
        <v>695</v>
      </c>
      <c r="T11" s="44" t="s">
        <v>704</v>
      </c>
    </row>
    <row r="12" spans="1:38" ht="14.25" customHeight="1" x14ac:dyDescent="0.2">
      <c r="A12" s="181"/>
      <c r="B12" s="176"/>
      <c r="C12" s="176"/>
      <c r="D12" s="50" t="s">
        <v>705</v>
      </c>
      <c r="E12" s="50" t="s">
        <v>92</v>
      </c>
      <c r="F12" s="50" t="s">
        <v>4</v>
      </c>
      <c r="G12" s="53">
        <v>293.25</v>
      </c>
      <c r="H12" s="176"/>
      <c r="I12" s="176"/>
      <c r="J12" s="35" t="s">
        <v>706</v>
      </c>
      <c r="K12" s="34">
        <v>10</v>
      </c>
      <c r="L12" s="35">
        <v>1.833</v>
      </c>
      <c r="M12" s="34" t="s">
        <v>693</v>
      </c>
      <c r="N12" s="47">
        <f>L12*K12*G12</f>
        <v>5375.2724999999991</v>
      </c>
      <c r="O12" s="181"/>
      <c r="P12" s="181"/>
      <c r="Q12" s="103">
        <f>N12/O2</f>
        <v>1.964646381578947</v>
      </c>
      <c r="R12" s="58">
        <v>2</v>
      </c>
      <c r="S12" s="86" t="s">
        <v>708</v>
      </c>
      <c r="T12" s="44" t="s">
        <v>709</v>
      </c>
    </row>
    <row r="13" spans="1:38" ht="16.5" customHeight="1" x14ac:dyDescent="0.2">
      <c r="A13" s="181"/>
      <c r="B13" s="183" t="s">
        <v>710</v>
      </c>
      <c r="C13" s="183" t="s">
        <v>711</v>
      </c>
      <c r="D13" s="179" t="s">
        <v>6</v>
      </c>
      <c r="E13" s="179" t="s">
        <v>712</v>
      </c>
      <c r="F13" s="179" t="s">
        <v>6</v>
      </c>
      <c r="G13" s="182">
        <v>1</v>
      </c>
      <c r="H13" s="182">
        <v>3592</v>
      </c>
      <c r="I13" s="183" t="s">
        <v>166</v>
      </c>
      <c r="J13" s="175">
        <f>1/12</f>
        <v>8.3333333333333329E-2</v>
      </c>
      <c r="K13" s="179" t="s">
        <v>27</v>
      </c>
      <c r="L13" s="178">
        <v>11</v>
      </c>
      <c r="M13" s="179" t="s">
        <v>713</v>
      </c>
      <c r="N13" s="180">
        <f>H13*L13</f>
        <v>39512</v>
      </c>
      <c r="O13" s="181"/>
      <c r="P13" s="181"/>
      <c r="Q13" s="175">
        <f>N13/O2</f>
        <v>14.441520467836257</v>
      </c>
      <c r="R13" s="177">
        <v>5</v>
      </c>
      <c r="S13" s="14" t="s">
        <v>716</v>
      </c>
      <c r="T13" s="14" t="s">
        <v>717</v>
      </c>
    </row>
    <row r="14" spans="1:38" ht="15" customHeight="1" x14ac:dyDescent="0.2">
      <c r="A14" s="181"/>
      <c r="B14" s="181"/>
      <c r="C14" s="181"/>
      <c r="D14" s="176"/>
      <c r="E14" s="176"/>
      <c r="F14" s="176"/>
      <c r="G14" s="181"/>
      <c r="H14" s="181"/>
      <c r="I14" s="181"/>
      <c r="J14" s="176"/>
      <c r="K14" s="176"/>
      <c r="L14" s="176"/>
      <c r="M14" s="176"/>
      <c r="N14" s="176"/>
      <c r="O14" s="181"/>
      <c r="P14" s="181"/>
      <c r="Q14" s="176"/>
      <c r="R14" s="176"/>
      <c r="S14" s="105" t="s">
        <v>718</v>
      </c>
      <c r="T14" s="106" t="s">
        <v>720</v>
      </c>
      <c r="U14" s="63"/>
      <c r="V14" s="63"/>
      <c r="W14" s="63"/>
      <c r="X14" s="63"/>
      <c r="Y14" s="63"/>
      <c r="Z14" s="63"/>
      <c r="AA14" s="63"/>
      <c r="AB14" s="63"/>
      <c r="AC14" s="63"/>
      <c r="AD14" s="63"/>
      <c r="AE14" s="63"/>
      <c r="AF14" s="63"/>
      <c r="AG14" s="63"/>
      <c r="AH14" s="63"/>
      <c r="AI14" s="63"/>
      <c r="AJ14" s="63"/>
      <c r="AK14" s="63"/>
      <c r="AL14" s="63"/>
    </row>
    <row r="15" spans="1:38" ht="14.25" customHeight="1" x14ac:dyDescent="0.2">
      <c r="A15" s="181"/>
      <c r="B15" s="181"/>
      <c r="C15" s="181"/>
      <c r="D15" s="14" t="s">
        <v>643</v>
      </c>
      <c r="E15" s="14" t="s">
        <v>279</v>
      </c>
      <c r="F15" s="14" t="s">
        <v>644</v>
      </c>
      <c r="G15" s="181"/>
      <c r="H15" s="181"/>
      <c r="I15" s="181"/>
      <c r="J15" s="100" t="s">
        <v>27</v>
      </c>
      <c r="K15" s="101" t="s">
        <v>27</v>
      </c>
      <c r="L15" s="14">
        <f>15/100</f>
        <v>0.15</v>
      </c>
      <c r="M15" s="14" t="s">
        <v>722</v>
      </c>
      <c r="N15" s="38">
        <f>L15*H13</f>
        <v>538.79999999999995</v>
      </c>
      <c r="O15" s="181"/>
      <c r="P15" s="181"/>
      <c r="Q15" s="19">
        <f>N15/O2</f>
        <v>0.19692982456140348</v>
      </c>
      <c r="R15" s="39">
        <v>3</v>
      </c>
      <c r="S15" s="14" t="s">
        <v>283</v>
      </c>
      <c r="T15" s="14" t="s">
        <v>284</v>
      </c>
      <c r="U15" s="14"/>
      <c r="V15" s="14"/>
      <c r="W15" s="14"/>
      <c r="X15" s="14"/>
      <c r="Y15" s="14"/>
      <c r="Z15" s="14"/>
      <c r="AA15" s="14"/>
      <c r="AB15" s="14"/>
      <c r="AC15" s="14"/>
      <c r="AD15" s="14"/>
      <c r="AE15" s="14"/>
      <c r="AF15" s="14"/>
      <c r="AG15" s="14"/>
    </row>
    <row r="16" spans="1:38" ht="14.25" customHeight="1" x14ac:dyDescent="0.2">
      <c r="A16" s="181"/>
      <c r="B16" s="181"/>
      <c r="C16" s="181"/>
      <c r="D16" s="179" t="s">
        <v>726</v>
      </c>
      <c r="E16" s="179" t="s">
        <v>294</v>
      </c>
      <c r="F16" s="179" t="s">
        <v>12</v>
      </c>
      <c r="G16" s="181"/>
      <c r="H16" s="181"/>
      <c r="I16" s="181"/>
      <c r="J16" s="175">
        <f>0.5/12</f>
        <v>4.1666666666666664E-2</v>
      </c>
      <c r="K16" s="179" t="s">
        <v>27</v>
      </c>
      <c r="L16" s="178">
        <v>1.9</v>
      </c>
      <c r="M16" s="179" t="s">
        <v>727</v>
      </c>
      <c r="N16" s="180">
        <f>L16*H13</f>
        <v>6824.7999999999993</v>
      </c>
      <c r="O16" s="181"/>
      <c r="P16" s="181"/>
      <c r="Q16" s="175">
        <f>N16/O2</f>
        <v>2.494444444444444</v>
      </c>
      <c r="R16" s="177">
        <v>4</v>
      </c>
      <c r="S16" s="14" t="s">
        <v>731</v>
      </c>
      <c r="T16" s="14" t="s">
        <v>732</v>
      </c>
      <c r="U16" s="14"/>
      <c r="V16" s="14"/>
      <c r="W16" s="14"/>
      <c r="X16" s="14"/>
      <c r="Y16" s="14"/>
      <c r="Z16" s="14"/>
      <c r="AA16" s="14"/>
      <c r="AB16" s="14"/>
      <c r="AC16" s="14"/>
      <c r="AD16" s="14"/>
      <c r="AE16" s="14"/>
      <c r="AF16" s="14"/>
      <c r="AG16" s="14"/>
    </row>
    <row r="17" spans="1:33" ht="14.25" customHeight="1" x14ac:dyDescent="0.2">
      <c r="A17" s="181"/>
      <c r="B17" s="181"/>
      <c r="C17" s="181"/>
      <c r="D17" s="181"/>
      <c r="E17" s="181"/>
      <c r="F17" s="181"/>
      <c r="G17" s="181"/>
      <c r="H17" s="181"/>
      <c r="I17" s="181"/>
      <c r="J17" s="181"/>
      <c r="K17" s="181"/>
      <c r="L17" s="181"/>
      <c r="M17" s="181"/>
      <c r="N17" s="181"/>
      <c r="O17" s="181"/>
      <c r="P17" s="181"/>
      <c r="Q17" s="181"/>
      <c r="R17" s="181"/>
      <c r="S17" s="14" t="s">
        <v>734</v>
      </c>
      <c r="T17" s="14" t="s">
        <v>735</v>
      </c>
      <c r="U17" s="14"/>
      <c r="V17" s="14"/>
      <c r="W17" s="14"/>
      <c r="X17" s="14"/>
      <c r="Y17" s="14"/>
      <c r="Z17" s="14"/>
      <c r="AA17" s="14"/>
      <c r="AB17" s="14"/>
      <c r="AC17" s="14"/>
      <c r="AD17" s="14"/>
      <c r="AE17" s="14"/>
      <c r="AF17" s="14"/>
      <c r="AG17" s="14"/>
    </row>
    <row r="18" spans="1:33" ht="14.25" customHeight="1" x14ac:dyDescent="0.2">
      <c r="A18" s="181"/>
      <c r="B18" s="176"/>
      <c r="C18" s="176"/>
      <c r="D18" s="176"/>
      <c r="E18" s="176"/>
      <c r="F18" s="176"/>
      <c r="G18" s="176"/>
      <c r="H18" s="176"/>
      <c r="I18" s="176"/>
      <c r="J18" s="176"/>
      <c r="K18" s="176"/>
      <c r="L18" s="176"/>
      <c r="M18" s="176"/>
      <c r="N18" s="176"/>
      <c r="O18" s="181"/>
      <c r="P18" s="181"/>
      <c r="Q18" s="176"/>
      <c r="R18" s="176"/>
      <c r="S18" s="14" t="s">
        <v>181</v>
      </c>
      <c r="T18" s="14" t="s">
        <v>739</v>
      </c>
      <c r="U18" s="14"/>
      <c r="V18" s="14"/>
      <c r="W18" s="14"/>
      <c r="X18" s="14"/>
      <c r="Y18" s="14"/>
      <c r="Z18" s="14"/>
      <c r="AA18" s="14"/>
      <c r="AB18" s="14"/>
      <c r="AC18" s="14"/>
      <c r="AD18" s="14"/>
      <c r="AE18" s="14"/>
      <c r="AF18" s="14"/>
      <c r="AG18" s="14"/>
    </row>
    <row r="19" spans="1:33" ht="16.5" customHeight="1" x14ac:dyDescent="0.2">
      <c r="A19" s="181"/>
      <c r="B19" s="183" t="s">
        <v>741</v>
      </c>
      <c r="C19" s="183" t="s">
        <v>662</v>
      </c>
      <c r="D19" s="179" t="s">
        <v>742</v>
      </c>
      <c r="E19" s="179" t="s">
        <v>88</v>
      </c>
      <c r="F19" s="179" t="s">
        <v>88</v>
      </c>
      <c r="G19" s="182">
        <v>7</v>
      </c>
      <c r="H19" s="178">
        <v>10.5</v>
      </c>
      <c r="I19" s="183" t="s">
        <v>166</v>
      </c>
      <c r="J19" s="175">
        <f>0.07/12</f>
        <v>5.8333333333333336E-3</v>
      </c>
      <c r="K19" s="179" t="s">
        <v>27</v>
      </c>
      <c r="L19" s="178">
        <v>1</v>
      </c>
      <c r="M19" s="179" t="s">
        <v>745</v>
      </c>
      <c r="N19" s="180">
        <f>L19*H19*G19</f>
        <v>73.5</v>
      </c>
      <c r="O19" s="181"/>
      <c r="P19" s="181"/>
      <c r="Q19" s="175">
        <f>N19/O2</f>
        <v>2.6864035087719298E-2</v>
      </c>
      <c r="R19" s="177">
        <v>1</v>
      </c>
      <c r="S19" s="40" t="s">
        <v>667</v>
      </c>
      <c r="T19" s="14" t="s">
        <v>668</v>
      </c>
      <c r="U19" s="14"/>
      <c r="V19" s="14"/>
      <c r="W19" s="14"/>
      <c r="X19" s="14"/>
      <c r="Y19" s="14"/>
      <c r="Z19" s="14"/>
      <c r="AA19" s="14"/>
      <c r="AB19" s="14"/>
      <c r="AC19" s="14"/>
      <c r="AD19" s="14"/>
      <c r="AE19" s="14"/>
      <c r="AF19" s="14"/>
      <c r="AG19" s="14"/>
    </row>
    <row r="20" spans="1:33" ht="14.25" customHeight="1" x14ac:dyDescent="0.2">
      <c r="A20" s="181"/>
      <c r="B20" s="181"/>
      <c r="C20" s="181"/>
      <c r="D20" s="181"/>
      <c r="E20" s="181"/>
      <c r="F20" s="181"/>
      <c r="G20" s="181"/>
      <c r="H20" s="181"/>
      <c r="I20" s="181"/>
      <c r="J20" s="181"/>
      <c r="K20" s="181"/>
      <c r="L20" s="181"/>
      <c r="M20" s="181"/>
      <c r="N20" s="181"/>
      <c r="O20" s="181"/>
      <c r="P20" s="181"/>
      <c r="Q20" s="181"/>
      <c r="R20" s="181"/>
      <c r="S20" s="14" t="s">
        <v>669</v>
      </c>
      <c r="T20" s="14" t="s">
        <v>670</v>
      </c>
      <c r="U20" s="14"/>
      <c r="V20" s="14"/>
      <c r="W20" s="14"/>
      <c r="X20" s="14"/>
      <c r="Y20" s="14"/>
      <c r="Z20" s="14"/>
      <c r="AA20" s="14"/>
      <c r="AB20" s="14"/>
      <c r="AC20" s="14"/>
      <c r="AD20" s="14"/>
      <c r="AE20" s="14"/>
      <c r="AF20" s="14"/>
      <c r="AG20" s="14"/>
    </row>
    <row r="21" spans="1:33" ht="14.25" customHeight="1" x14ac:dyDescent="0.2">
      <c r="A21" s="181"/>
      <c r="B21" s="181"/>
      <c r="C21" s="181"/>
      <c r="D21" s="181"/>
      <c r="E21" s="181"/>
      <c r="F21" s="181"/>
      <c r="G21" s="181"/>
      <c r="H21" s="181"/>
      <c r="I21" s="181"/>
      <c r="J21" s="181"/>
      <c r="K21" s="181"/>
      <c r="L21" s="181"/>
      <c r="M21" s="181"/>
      <c r="N21" s="181"/>
      <c r="O21" s="181"/>
      <c r="P21" s="181"/>
      <c r="Q21" s="181"/>
      <c r="R21" s="181"/>
      <c r="S21" s="14" t="s">
        <v>671</v>
      </c>
      <c r="T21" s="14" t="s">
        <v>672</v>
      </c>
      <c r="U21" s="14"/>
      <c r="V21" s="14"/>
      <c r="W21" s="14"/>
      <c r="X21" s="14"/>
      <c r="Y21" s="14"/>
      <c r="Z21" s="14"/>
      <c r="AA21" s="14"/>
      <c r="AB21" s="14"/>
      <c r="AC21" s="14"/>
      <c r="AD21" s="14"/>
      <c r="AE21" s="14"/>
      <c r="AF21" s="14"/>
      <c r="AG21" s="14"/>
    </row>
    <row r="22" spans="1:33" ht="14.25" customHeight="1" x14ac:dyDescent="0.2">
      <c r="A22" s="181"/>
      <c r="B22" s="181"/>
      <c r="C22" s="181"/>
      <c r="D22" s="176"/>
      <c r="E22" s="176"/>
      <c r="F22" s="176"/>
      <c r="G22" s="181"/>
      <c r="H22" s="181"/>
      <c r="I22" s="181"/>
      <c r="J22" s="176"/>
      <c r="K22" s="176"/>
      <c r="L22" s="176"/>
      <c r="M22" s="176"/>
      <c r="N22" s="176"/>
      <c r="O22" s="181"/>
      <c r="P22" s="181"/>
      <c r="Q22" s="176"/>
      <c r="R22" s="176"/>
      <c r="S22" s="14" t="s">
        <v>439</v>
      </c>
      <c r="T22" s="14" t="s">
        <v>440</v>
      </c>
      <c r="U22" s="14"/>
      <c r="V22" s="14"/>
      <c r="W22" s="14"/>
      <c r="X22" s="14"/>
      <c r="Y22" s="14"/>
      <c r="Z22" s="14"/>
      <c r="AA22" s="14"/>
      <c r="AB22" s="14"/>
      <c r="AC22" s="14"/>
      <c r="AD22" s="14"/>
      <c r="AE22" s="14"/>
      <c r="AF22" s="14"/>
      <c r="AG22" s="14"/>
    </row>
    <row r="23" spans="1:33" ht="16.5" customHeight="1" x14ac:dyDescent="0.2">
      <c r="A23" s="181"/>
      <c r="B23" s="181"/>
      <c r="C23" s="181"/>
      <c r="D23" s="179" t="s">
        <v>433</v>
      </c>
      <c r="E23" s="179" t="s">
        <v>435</v>
      </c>
      <c r="F23" s="179" t="s">
        <v>435</v>
      </c>
      <c r="G23" s="181"/>
      <c r="H23" s="181"/>
      <c r="I23" s="181"/>
      <c r="J23" s="175">
        <f>1/4/12</f>
        <v>2.0833333333333332E-2</v>
      </c>
      <c r="K23" s="179" t="s">
        <v>27</v>
      </c>
      <c r="L23" s="178">
        <v>158</v>
      </c>
      <c r="M23" s="179" t="s">
        <v>754</v>
      </c>
      <c r="N23" s="201">
        <f>L23*J23*H19*G19*2</f>
        <v>483.875</v>
      </c>
      <c r="O23" s="181"/>
      <c r="P23" s="181"/>
      <c r="Q23" s="175">
        <f>N23/O2</f>
        <v>0.17685489766081872</v>
      </c>
      <c r="R23" s="177">
        <v>2</v>
      </c>
      <c r="S23" s="14" t="s">
        <v>443</v>
      </c>
      <c r="T23" s="14" t="s">
        <v>444</v>
      </c>
      <c r="U23" s="14"/>
      <c r="V23" s="14"/>
      <c r="W23" s="14"/>
      <c r="X23" s="14"/>
      <c r="Y23" s="14"/>
      <c r="Z23" s="14"/>
      <c r="AA23" s="14"/>
      <c r="AB23" s="14"/>
      <c r="AC23" s="14"/>
      <c r="AD23" s="14"/>
      <c r="AE23" s="14"/>
      <c r="AF23" s="14"/>
      <c r="AG23" s="14"/>
    </row>
    <row r="24" spans="1:33" ht="14.25" customHeight="1" x14ac:dyDescent="0.2">
      <c r="A24" s="181"/>
      <c r="B24" s="181"/>
      <c r="C24" s="181"/>
      <c r="D24" s="181"/>
      <c r="E24" s="181"/>
      <c r="F24" s="181"/>
      <c r="G24" s="181"/>
      <c r="H24" s="181"/>
      <c r="I24" s="181"/>
      <c r="J24" s="181"/>
      <c r="K24" s="181"/>
      <c r="L24" s="181"/>
      <c r="M24" s="181"/>
      <c r="N24" s="181"/>
      <c r="O24" s="181"/>
      <c r="P24" s="181"/>
      <c r="Q24" s="181"/>
      <c r="R24" s="181"/>
      <c r="S24" s="14" t="s">
        <v>451</v>
      </c>
      <c r="T24" s="14" t="s">
        <v>452</v>
      </c>
      <c r="U24" s="14"/>
      <c r="V24" s="14"/>
      <c r="W24" s="14"/>
      <c r="X24" s="14"/>
      <c r="Y24" s="14"/>
      <c r="Z24" s="14"/>
      <c r="AA24" s="14"/>
      <c r="AB24" s="14"/>
      <c r="AC24" s="14"/>
      <c r="AD24" s="14"/>
      <c r="AE24" s="14"/>
      <c r="AF24" s="14"/>
      <c r="AG24" s="14"/>
    </row>
    <row r="25" spans="1:33" ht="14.25" customHeight="1" x14ac:dyDescent="0.2">
      <c r="A25" s="181"/>
      <c r="B25" s="181"/>
      <c r="C25" s="181"/>
      <c r="D25" s="181"/>
      <c r="E25" s="181"/>
      <c r="F25" s="181"/>
      <c r="G25" s="181"/>
      <c r="H25" s="181"/>
      <c r="I25" s="181"/>
      <c r="J25" s="181"/>
      <c r="K25" s="181"/>
      <c r="L25" s="181"/>
      <c r="M25" s="181"/>
      <c r="N25" s="181"/>
      <c r="O25" s="181"/>
      <c r="P25" s="181"/>
      <c r="Q25" s="181"/>
      <c r="R25" s="181"/>
      <c r="S25" s="14"/>
      <c r="T25" s="208" t="s">
        <v>454</v>
      </c>
      <c r="U25" s="172"/>
      <c r="V25" s="172"/>
      <c r="W25" s="172"/>
      <c r="X25" s="172"/>
      <c r="Y25" s="172"/>
      <c r="Z25" s="172"/>
      <c r="AA25" s="172"/>
      <c r="AB25" s="172"/>
      <c r="AC25" s="172"/>
      <c r="AD25" s="172"/>
      <c r="AE25" s="172"/>
      <c r="AF25" s="172"/>
      <c r="AG25" s="173"/>
    </row>
    <row r="26" spans="1:33" ht="14.25" customHeight="1" x14ac:dyDescent="0.2">
      <c r="A26" s="181"/>
      <c r="B26" s="181"/>
      <c r="C26" s="181"/>
      <c r="D26" s="181"/>
      <c r="E26" s="181"/>
      <c r="F26" s="181"/>
      <c r="G26" s="181"/>
      <c r="H26" s="181"/>
      <c r="I26" s="181"/>
      <c r="J26" s="181"/>
      <c r="K26" s="181"/>
      <c r="L26" s="181"/>
      <c r="M26" s="181"/>
      <c r="N26" s="181"/>
      <c r="O26" s="181"/>
      <c r="P26" s="181"/>
      <c r="Q26" s="181"/>
      <c r="R26" s="181"/>
      <c r="S26" s="40" t="s">
        <v>460</v>
      </c>
      <c r="T26" s="14" t="s">
        <v>461</v>
      </c>
      <c r="U26" s="14"/>
      <c r="V26" s="14"/>
      <c r="W26" s="14"/>
      <c r="X26" s="14"/>
      <c r="Y26" s="14"/>
      <c r="Z26" s="14"/>
      <c r="AA26" s="14"/>
      <c r="AB26" s="14"/>
      <c r="AC26" s="14"/>
      <c r="AD26" s="14"/>
      <c r="AE26" s="14"/>
      <c r="AF26" s="14"/>
      <c r="AG26" s="14"/>
    </row>
    <row r="27" spans="1:33" ht="14.25" customHeight="1" x14ac:dyDescent="0.2">
      <c r="A27" s="181"/>
      <c r="B27" s="181"/>
      <c r="C27" s="181"/>
      <c r="D27" s="181"/>
      <c r="E27" s="176"/>
      <c r="F27" s="176"/>
      <c r="G27" s="181"/>
      <c r="H27" s="181"/>
      <c r="I27" s="181"/>
      <c r="J27" s="176"/>
      <c r="K27" s="176"/>
      <c r="L27" s="176"/>
      <c r="M27" s="176"/>
      <c r="N27" s="176"/>
      <c r="O27" s="181"/>
      <c r="P27" s="181"/>
      <c r="Q27" s="176"/>
      <c r="R27" s="176"/>
      <c r="S27" s="40" t="s">
        <v>447</v>
      </c>
      <c r="T27" s="14" t="s">
        <v>449</v>
      </c>
      <c r="U27" s="14"/>
      <c r="V27" s="14"/>
      <c r="W27" s="14"/>
      <c r="X27" s="14"/>
      <c r="Y27" s="14"/>
      <c r="Z27" s="14"/>
      <c r="AA27" s="14"/>
      <c r="AB27" s="14"/>
      <c r="AC27" s="14"/>
      <c r="AD27" s="14"/>
      <c r="AE27" s="14"/>
      <c r="AF27" s="14"/>
      <c r="AG27" s="14"/>
    </row>
    <row r="28" spans="1:33" ht="14.25" customHeight="1" x14ac:dyDescent="0.2">
      <c r="A28" s="181"/>
      <c r="B28" s="176"/>
      <c r="C28" s="176"/>
      <c r="D28" s="176"/>
      <c r="E28" s="14" t="s">
        <v>287</v>
      </c>
      <c r="F28" s="14" t="s">
        <v>19</v>
      </c>
      <c r="G28" s="176"/>
      <c r="H28" s="176"/>
      <c r="I28" s="176"/>
      <c r="J28" s="14">
        <f>0.03/12</f>
        <v>2.5000000000000001E-3</v>
      </c>
      <c r="K28" s="101" t="s">
        <v>27</v>
      </c>
      <c r="L28" s="14">
        <v>0.17</v>
      </c>
      <c r="M28" s="14" t="s">
        <v>765</v>
      </c>
      <c r="N28" s="110">
        <f>L28*H19*G19*2</f>
        <v>24.990000000000002</v>
      </c>
      <c r="O28" s="181"/>
      <c r="P28" s="181"/>
      <c r="Q28" s="19">
        <f>N28/O2</f>
        <v>9.1337719298245617E-3</v>
      </c>
      <c r="R28" s="39">
        <v>2</v>
      </c>
      <c r="S28" s="40" t="s">
        <v>767</v>
      </c>
      <c r="T28" s="14" t="s">
        <v>769</v>
      </c>
      <c r="U28" s="14"/>
      <c r="V28" s="14"/>
      <c r="W28" s="14"/>
      <c r="X28" s="14"/>
      <c r="Y28" s="14"/>
      <c r="Z28" s="14"/>
      <c r="AA28" s="14"/>
      <c r="AB28" s="14"/>
      <c r="AC28" s="14"/>
      <c r="AD28" s="14"/>
      <c r="AE28" s="14"/>
      <c r="AF28" s="14"/>
      <c r="AG28" s="14"/>
    </row>
    <row r="29" spans="1:33" ht="14.25" customHeight="1" x14ac:dyDescent="0.2">
      <c r="A29" s="181"/>
      <c r="B29" s="183" t="s">
        <v>321</v>
      </c>
      <c r="C29" s="183" t="s">
        <v>771</v>
      </c>
      <c r="D29" s="179" t="s">
        <v>772</v>
      </c>
      <c r="E29" s="179" t="s">
        <v>516</v>
      </c>
      <c r="F29" s="179" t="s">
        <v>772</v>
      </c>
      <c r="G29" s="182">
        <v>1</v>
      </c>
      <c r="H29" s="182">
        <v>2245</v>
      </c>
      <c r="I29" s="183" t="s">
        <v>166</v>
      </c>
      <c r="J29" s="178" t="s">
        <v>27</v>
      </c>
      <c r="K29" s="179" t="s">
        <v>27</v>
      </c>
      <c r="L29" s="178">
        <v>1.95</v>
      </c>
      <c r="M29" s="179" t="s">
        <v>776</v>
      </c>
      <c r="N29" s="180">
        <f>H29*L29</f>
        <v>4377.75</v>
      </c>
      <c r="O29" s="181"/>
      <c r="P29" s="181"/>
      <c r="Q29" s="175">
        <f>N29/O2</f>
        <v>1.6000548245614035</v>
      </c>
      <c r="R29" s="177">
        <v>5</v>
      </c>
      <c r="S29" s="40" t="s">
        <v>273</v>
      </c>
      <c r="T29" s="14" t="s">
        <v>778</v>
      </c>
      <c r="U29" s="14"/>
      <c r="V29" s="14"/>
      <c r="W29" s="14"/>
      <c r="X29" s="14"/>
      <c r="Y29" s="14"/>
      <c r="Z29" s="14"/>
      <c r="AA29" s="14"/>
      <c r="AB29" s="14"/>
      <c r="AC29" s="14"/>
      <c r="AD29" s="14"/>
      <c r="AE29" s="14"/>
      <c r="AF29" s="14"/>
      <c r="AG29" s="14"/>
    </row>
    <row r="30" spans="1:33" ht="14.25" customHeight="1" x14ac:dyDescent="0.2">
      <c r="A30" s="181"/>
      <c r="B30" s="181"/>
      <c r="C30" s="181"/>
      <c r="D30" s="176"/>
      <c r="E30" s="176"/>
      <c r="F30" s="176"/>
      <c r="G30" s="176"/>
      <c r="H30" s="181"/>
      <c r="I30" s="181"/>
      <c r="J30" s="176"/>
      <c r="K30" s="176"/>
      <c r="L30" s="176"/>
      <c r="M30" s="176"/>
      <c r="N30" s="176"/>
      <c r="O30" s="181"/>
      <c r="P30" s="181"/>
      <c r="Q30" s="176"/>
      <c r="R30" s="176"/>
      <c r="S30" s="40" t="s">
        <v>335</v>
      </c>
      <c r="T30" s="14" t="s">
        <v>780</v>
      </c>
      <c r="U30" s="14"/>
      <c r="V30" s="14"/>
      <c r="W30" s="14"/>
      <c r="X30" s="14"/>
      <c r="Y30" s="14"/>
      <c r="Z30" s="14"/>
      <c r="AA30" s="14"/>
      <c r="AB30" s="14"/>
      <c r="AC30" s="14"/>
      <c r="AD30" s="14"/>
      <c r="AE30" s="14"/>
      <c r="AF30" s="14"/>
      <c r="AG30" s="14"/>
    </row>
    <row r="31" spans="1:33" ht="14.25" customHeight="1" x14ac:dyDescent="0.2">
      <c r="A31" s="181"/>
      <c r="B31" s="181"/>
      <c r="C31" s="181"/>
      <c r="D31" s="179" t="s">
        <v>15</v>
      </c>
      <c r="E31" s="179" t="s">
        <v>279</v>
      </c>
      <c r="F31" s="179" t="s">
        <v>15</v>
      </c>
      <c r="G31" s="178">
        <v>2</v>
      </c>
      <c r="H31" s="181"/>
      <c r="I31" s="181"/>
      <c r="J31" s="175" t="s">
        <v>27</v>
      </c>
      <c r="K31" s="179" t="s">
        <v>27</v>
      </c>
      <c r="L31" s="178">
        <v>0.215</v>
      </c>
      <c r="M31" s="179" t="s">
        <v>782</v>
      </c>
      <c r="N31" s="180">
        <f>L31*H29*G31</f>
        <v>965.35</v>
      </c>
      <c r="O31" s="181"/>
      <c r="P31" s="181"/>
      <c r="Q31" s="175">
        <f>N31/O2</f>
        <v>0.35283260233918129</v>
      </c>
      <c r="R31" s="177">
        <v>5</v>
      </c>
      <c r="S31" s="40" t="s">
        <v>335</v>
      </c>
      <c r="T31" s="14" t="s">
        <v>336</v>
      </c>
      <c r="U31" s="14"/>
      <c r="V31" s="14"/>
      <c r="W31" s="14"/>
      <c r="X31" s="14"/>
      <c r="Y31" s="14"/>
      <c r="Z31" s="14"/>
      <c r="AA31" s="14"/>
      <c r="AB31" s="14"/>
      <c r="AC31" s="14"/>
      <c r="AD31" s="14"/>
      <c r="AE31" s="14"/>
      <c r="AF31" s="14"/>
      <c r="AG31" s="14"/>
    </row>
    <row r="32" spans="1:33" ht="14.25" customHeight="1" x14ac:dyDescent="0.2">
      <c r="A32" s="181"/>
      <c r="B32" s="181"/>
      <c r="C32" s="181"/>
      <c r="D32" s="181"/>
      <c r="E32" s="181"/>
      <c r="F32" s="181"/>
      <c r="G32" s="181"/>
      <c r="H32" s="181"/>
      <c r="I32" s="181"/>
      <c r="J32" s="181"/>
      <c r="K32" s="181"/>
      <c r="L32" s="181"/>
      <c r="M32" s="181"/>
      <c r="N32" s="181"/>
      <c r="O32" s="181"/>
      <c r="P32" s="181"/>
      <c r="Q32" s="181"/>
      <c r="R32" s="181"/>
      <c r="S32" s="14" t="s">
        <v>625</v>
      </c>
      <c r="T32" s="14" t="s">
        <v>783</v>
      </c>
      <c r="U32" s="14"/>
      <c r="V32" s="14"/>
      <c r="W32" s="14"/>
      <c r="X32" s="14"/>
      <c r="Y32" s="14"/>
      <c r="Z32" s="14"/>
      <c r="AA32" s="14"/>
      <c r="AB32" s="14"/>
      <c r="AC32" s="14"/>
      <c r="AD32" s="14"/>
      <c r="AE32" s="14"/>
      <c r="AF32" s="14"/>
      <c r="AG32" s="14"/>
    </row>
    <row r="33" spans="1:33" ht="14.25" customHeight="1" x14ac:dyDescent="0.2">
      <c r="A33" s="181"/>
      <c r="B33" s="181"/>
      <c r="C33" s="181"/>
      <c r="D33" s="181"/>
      <c r="E33" s="181"/>
      <c r="F33" s="181"/>
      <c r="G33" s="181"/>
      <c r="H33" s="181"/>
      <c r="I33" s="181"/>
      <c r="J33" s="181"/>
      <c r="K33" s="181"/>
      <c r="L33" s="181"/>
      <c r="M33" s="181"/>
      <c r="N33" s="181"/>
      <c r="O33" s="181"/>
      <c r="P33" s="181"/>
      <c r="Q33" s="181"/>
      <c r="R33" s="181"/>
      <c r="S33" s="14" t="s">
        <v>787</v>
      </c>
      <c r="T33" s="14" t="s">
        <v>788</v>
      </c>
      <c r="U33" s="14"/>
      <c r="V33" s="14"/>
      <c r="W33" s="14"/>
      <c r="X33" s="14"/>
      <c r="Y33" s="14"/>
      <c r="Z33" s="14"/>
      <c r="AA33" s="14"/>
      <c r="AB33" s="14"/>
      <c r="AC33" s="14"/>
      <c r="AD33" s="14"/>
      <c r="AE33" s="14"/>
      <c r="AF33" s="14"/>
      <c r="AG33" s="14"/>
    </row>
    <row r="34" spans="1:33" ht="14.25" customHeight="1" x14ac:dyDescent="0.2">
      <c r="A34" s="181"/>
      <c r="B34" s="181"/>
      <c r="C34" s="181"/>
      <c r="D34" s="176"/>
      <c r="E34" s="176"/>
      <c r="F34" s="176"/>
      <c r="G34" s="176"/>
      <c r="H34" s="181"/>
      <c r="I34" s="181"/>
      <c r="J34" s="176"/>
      <c r="K34" s="176"/>
      <c r="L34" s="176"/>
      <c r="M34" s="176"/>
      <c r="N34" s="176"/>
      <c r="O34" s="181"/>
      <c r="P34" s="181"/>
      <c r="Q34" s="176"/>
      <c r="R34" s="176"/>
      <c r="S34" s="40" t="s">
        <v>790</v>
      </c>
      <c r="T34" s="14" t="s">
        <v>792</v>
      </c>
      <c r="U34" s="14"/>
      <c r="V34" s="14"/>
      <c r="W34" s="14"/>
      <c r="X34" s="14"/>
      <c r="Y34" s="14"/>
      <c r="Z34" s="14"/>
      <c r="AA34" s="14"/>
      <c r="AB34" s="14"/>
      <c r="AC34" s="14"/>
      <c r="AD34" s="14"/>
      <c r="AE34" s="14"/>
      <c r="AF34" s="14"/>
      <c r="AG34" s="14"/>
    </row>
    <row r="35" spans="1:33" ht="14.25" customHeight="1" x14ac:dyDescent="0.2">
      <c r="A35" s="176"/>
      <c r="B35" s="176"/>
      <c r="C35" s="176"/>
      <c r="D35" s="14" t="s">
        <v>793</v>
      </c>
      <c r="E35" s="50" t="s">
        <v>92</v>
      </c>
      <c r="F35" s="50" t="s">
        <v>5</v>
      </c>
      <c r="G35" s="70">
        <v>0</v>
      </c>
      <c r="H35" s="176"/>
      <c r="I35" s="176"/>
      <c r="J35" s="53">
        <v>5.2083333333333336E-2</v>
      </c>
      <c r="K35" s="50"/>
      <c r="L35" s="53">
        <v>1.56</v>
      </c>
      <c r="M35" s="41" t="s">
        <v>794</v>
      </c>
      <c r="N35" s="54">
        <f>L35*H29*G35</f>
        <v>0</v>
      </c>
      <c r="O35" s="176"/>
      <c r="P35" s="176"/>
      <c r="Q35" s="91">
        <f>N35/O2</f>
        <v>0</v>
      </c>
      <c r="R35" s="58">
        <v>2</v>
      </c>
      <c r="S35" s="14" t="s">
        <v>738</v>
      </c>
      <c r="T35" s="14" t="s">
        <v>795</v>
      </c>
      <c r="U35" s="14"/>
      <c r="V35" s="14"/>
      <c r="W35" s="14"/>
      <c r="X35" s="14"/>
      <c r="Y35" s="14"/>
      <c r="Z35" s="14"/>
      <c r="AA35" s="14"/>
      <c r="AB35" s="14"/>
      <c r="AC35" s="14"/>
      <c r="AD35" s="14"/>
      <c r="AE35" s="14"/>
      <c r="AF35" s="14"/>
      <c r="AG35" s="14"/>
    </row>
    <row r="36" spans="1:33" ht="14.25" customHeight="1" x14ac:dyDescent="0.2"/>
    <row r="37" spans="1:33" ht="14.25" customHeight="1" x14ac:dyDescent="0.2"/>
    <row r="38" spans="1:33" ht="14.25" customHeight="1" x14ac:dyDescent="0.2">
      <c r="F38" s="28" t="s">
        <v>121</v>
      </c>
      <c r="G38" s="28" t="s">
        <v>128</v>
      </c>
      <c r="H38" s="28" t="s">
        <v>796</v>
      </c>
    </row>
    <row r="39" spans="1:33" ht="14.25" customHeight="1" x14ac:dyDescent="0.2">
      <c r="F39" s="41" t="s">
        <v>140</v>
      </c>
      <c r="G39" s="72">
        <f t="shared" ref="G39:G51" si="0">SUMIF($F$2:$F$35,$F39,N$2:N$35)</f>
        <v>168375</v>
      </c>
      <c r="H39" s="73">
        <f t="shared" ref="H39:H51" si="1">SUMIF($F$2:$F$35,$F39,Q$2:Q$35)</f>
        <v>61.540570175438596</v>
      </c>
    </row>
    <row r="40" spans="1:33" ht="14.25" customHeight="1" x14ac:dyDescent="0.2">
      <c r="F40" s="41" t="s">
        <v>156</v>
      </c>
      <c r="G40" s="72">
        <f t="shared" si="0"/>
        <v>6735</v>
      </c>
      <c r="H40" s="73">
        <f t="shared" si="1"/>
        <v>2.4616228070175437</v>
      </c>
    </row>
    <row r="41" spans="1:33" ht="14.25" customHeight="1" x14ac:dyDescent="0.2">
      <c r="F41" s="50" t="s">
        <v>681</v>
      </c>
      <c r="G41" s="72">
        <f t="shared" si="0"/>
        <v>3232.7999999999997</v>
      </c>
      <c r="H41" s="73">
        <f t="shared" si="1"/>
        <v>1.1815789473684211</v>
      </c>
    </row>
    <row r="42" spans="1:33" ht="14.25" customHeight="1" x14ac:dyDescent="0.2">
      <c r="F42" s="50" t="s">
        <v>4</v>
      </c>
      <c r="G42" s="72">
        <f t="shared" si="0"/>
        <v>25739.944499999998</v>
      </c>
      <c r="H42" s="73">
        <f t="shared" si="1"/>
        <v>9.4078744517543846</v>
      </c>
    </row>
    <row r="43" spans="1:33" ht="14.25" customHeight="1" x14ac:dyDescent="0.2">
      <c r="F43" s="34" t="s">
        <v>6</v>
      </c>
      <c r="G43" s="72">
        <f t="shared" si="0"/>
        <v>39512</v>
      </c>
      <c r="H43" s="73">
        <f t="shared" si="1"/>
        <v>14.441520467836257</v>
      </c>
    </row>
    <row r="44" spans="1:33" ht="14.25" customHeight="1" x14ac:dyDescent="0.2">
      <c r="F44" s="14" t="s">
        <v>644</v>
      </c>
      <c r="G44" s="72">
        <f t="shared" si="0"/>
        <v>538.79999999999995</v>
      </c>
      <c r="H44" s="73">
        <f t="shared" si="1"/>
        <v>0.19692982456140348</v>
      </c>
    </row>
    <row r="45" spans="1:33" ht="14.25" customHeight="1" x14ac:dyDescent="0.2">
      <c r="F45" s="50" t="s">
        <v>12</v>
      </c>
      <c r="G45" s="72">
        <f t="shared" si="0"/>
        <v>6824.7999999999993</v>
      </c>
      <c r="H45" s="73">
        <f t="shared" si="1"/>
        <v>2.494444444444444</v>
      </c>
    </row>
    <row r="46" spans="1:33" ht="14.25" customHeight="1" x14ac:dyDescent="0.2">
      <c r="F46" s="50" t="s">
        <v>88</v>
      </c>
      <c r="G46" s="72">
        <f t="shared" si="0"/>
        <v>73.5</v>
      </c>
      <c r="H46" s="73">
        <f t="shared" si="1"/>
        <v>2.6864035087719298E-2</v>
      </c>
    </row>
    <row r="47" spans="1:33" ht="14.25" customHeight="1" x14ac:dyDescent="0.2">
      <c r="F47" s="50" t="s">
        <v>435</v>
      </c>
      <c r="G47" s="72">
        <f t="shared" si="0"/>
        <v>483.875</v>
      </c>
      <c r="H47" s="73">
        <f t="shared" si="1"/>
        <v>0.17685489766081872</v>
      </c>
    </row>
    <row r="48" spans="1:33" ht="14.25" customHeight="1" x14ac:dyDescent="0.2">
      <c r="F48" s="14" t="s">
        <v>19</v>
      </c>
      <c r="G48" s="72">
        <f t="shared" si="0"/>
        <v>24.990000000000002</v>
      </c>
      <c r="H48" s="73">
        <f t="shared" si="1"/>
        <v>9.1337719298245617E-3</v>
      </c>
    </row>
    <row r="49" spans="6:8" ht="14.25" customHeight="1" x14ac:dyDescent="0.2">
      <c r="F49" s="34" t="s">
        <v>772</v>
      </c>
      <c r="G49" s="72">
        <f t="shared" si="0"/>
        <v>4377.75</v>
      </c>
      <c r="H49" s="73">
        <f t="shared" si="1"/>
        <v>1.6000548245614035</v>
      </c>
    </row>
    <row r="50" spans="6:8" ht="14.25" customHeight="1" x14ac:dyDescent="0.2">
      <c r="F50" s="50" t="s">
        <v>15</v>
      </c>
      <c r="G50" s="72">
        <f t="shared" si="0"/>
        <v>965.35</v>
      </c>
      <c r="H50" s="73">
        <f t="shared" si="1"/>
        <v>0.35283260233918129</v>
      </c>
    </row>
    <row r="51" spans="6:8" ht="14.25" customHeight="1" x14ac:dyDescent="0.2">
      <c r="F51" s="34" t="s">
        <v>5</v>
      </c>
      <c r="G51" s="72">
        <f t="shared" si="0"/>
        <v>0</v>
      </c>
      <c r="H51" s="73">
        <f t="shared" si="1"/>
        <v>0</v>
      </c>
    </row>
    <row r="52" spans="6:8" ht="14.25" customHeight="1" x14ac:dyDescent="0.2">
      <c r="F52" s="74"/>
      <c r="G52" s="75"/>
      <c r="H52" s="111"/>
    </row>
    <row r="53" spans="6:8" ht="14.25" customHeight="1" x14ac:dyDescent="0.2">
      <c r="F53" s="33"/>
      <c r="G53" s="75"/>
      <c r="H53" s="111"/>
    </row>
    <row r="54" spans="6:8" ht="14.25" customHeight="1" x14ac:dyDescent="0.2">
      <c r="F54" s="76"/>
    </row>
    <row r="55" spans="6:8" ht="14.25" customHeight="1" x14ac:dyDescent="0.2">
      <c r="F55" s="112" t="s">
        <v>119</v>
      </c>
      <c r="G55" s="28" t="s">
        <v>128</v>
      </c>
      <c r="H55" s="28" t="s">
        <v>800</v>
      </c>
    </row>
    <row r="56" spans="6:8" ht="14.25" customHeight="1" x14ac:dyDescent="0.2">
      <c r="F56" s="41" t="s">
        <v>140</v>
      </c>
      <c r="G56" s="72">
        <f t="shared" ref="G56:G65" si="2">SUMIF($E$2:$E$35,$F56,N$2:N$35)</f>
        <v>168375</v>
      </c>
      <c r="H56" s="73">
        <f t="shared" ref="H56:H65" si="3">SUMIF($E$2:$E$35,$F56,Q$2:Q$35)</f>
        <v>61.540570175438596</v>
      </c>
    </row>
    <row r="57" spans="6:8" ht="14.25" customHeight="1" x14ac:dyDescent="0.2">
      <c r="F57" s="41" t="s">
        <v>155</v>
      </c>
      <c r="G57" s="72">
        <f t="shared" si="2"/>
        <v>6735</v>
      </c>
      <c r="H57" s="73">
        <f t="shared" si="3"/>
        <v>2.4616228070175437</v>
      </c>
    </row>
    <row r="58" spans="6:8" ht="14.25" customHeight="1" x14ac:dyDescent="0.2">
      <c r="F58" s="50" t="s">
        <v>92</v>
      </c>
      <c r="G58" s="72">
        <f t="shared" si="2"/>
        <v>28972.744500000001</v>
      </c>
      <c r="H58" s="73">
        <f t="shared" si="3"/>
        <v>10.589453399122805</v>
      </c>
    </row>
    <row r="59" spans="6:8" ht="14.25" customHeight="1" x14ac:dyDescent="0.2">
      <c r="F59" s="50" t="s">
        <v>712</v>
      </c>
      <c r="G59" s="72">
        <f t="shared" si="2"/>
        <v>39512</v>
      </c>
      <c r="H59" s="73">
        <f t="shared" si="3"/>
        <v>14.441520467836257</v>
      </c>
    </row>
    <row r="60" spans="6:8" ht="14.25" customHeight="1" x14ac:dyDescent="0.2">
      <c r="F60" s="14" t="s">
        <v>279</v>
      </c>
      <c r="G60" s="72">
        <f t="shared" si="2"/>
        <v>1504.15</v>
      </c>
      <c r="H60" s="73">
        <f t="shared" si="3"/>
        <v>0.54976242690058474</v>
      </c>
    </row>
    <row r="61" spans="6:8" ht="14.25" customHeight="1" x14ac:dyDescent="0.2">
      <c r="F61" s="50" t="s">
        <v>294</v>
      </c>
      <c r="G61" s="72">
        <f t="shared" si="2"/>
        <v>6824.7999999999993</v>
      </c>
      <c r="H61" s="73">
        <f t="shared" si="3"/>
        <v>2.494444444444444</v>
      </c>
    </row>
    <row r="62" spans="6:8" ht="14.25" customHeight="1" x14ac:dyDescent="0.2">
      <c r="F62" s="50" t="s">
        <v>88</v>
      </c>
      <c r="G62" s="72">
        <f t="shared" si="2"/>
        <v>73.5</v>
      </c>
      <c r="H62" s="73">
        <f t="shared" si="3"/>
        <v>2.6864035087719298E-2</v>
      </c>
    </row>
    <row r="63" spans="6:8" ht="14.25" customHeight="1" x14ac:dyDescent="0.2">
      <c r="F63" s="50" t="s">
        <v>435</v>
      </c>
      <c r="G63" s="72">
        <f t="shared" si="2"/>
        <v>483.875</v>
      </c>
      <c r="H63" s="73">
        <f t="shared" si="3"/>
        <v>0.17685489766081872</v>
      </c>
    </row>
    <row r="64" spans="6:8" ht="14.25" customHeight="1" x14ac:dyDescent="0.2">
      <c r="F64" s="14" t="s">
        <v>287</v>
      </c>
      <c r="G64" s="72">
        <f t="shared" si="2"/>
        <v>24.990000000000002</v>
      </c>
      <c r="H64" s="73">
        <f t="shared" si="3"/>
        <v>9.1337719298245617E-3</v>
      </c>
    </row>
    <row r="65" spans="6:8" ht="14.25" customHeight="1" x14ac:dyDescent="0.2">
      <c r="F65" s="50" t="s">
        <v>516</v>
      </c>
      <c r="G65" s="72">
        <f t="shared" si="2"/>
        <v>4377.75</v>
      </c>
      <c r="H65" s="73">
        <f t="shared" si="3"/>
        <v>1.6000548245614035</v>
      </c>
    </row>
    <row r="66" spans="6:8" ht="14.25" customHeight="1" x14ac:dyDescent="0.2"/>
    <row r="67" spans="6:8" ht="14.25" customHeight="1" x14ac:dyDescent="0.2"/>
    <row r="68" spans="6:8" ht="14.25" customHeight="1" x14ac:dyDescent="0.2"/>
    <row r="69" spans="6:8" ht="14.25" customHeight="1" x14ac:dyDescent="0.2"/>
    <row r="70" spans="6:8" ht="14.25" customHeight="1" x14ac:dyDescent="0.2"/>
    <row r="71" spans="6:8" ht="14.25" customHeight="1" x14ac:dyDescent="0.2"/>
    <row r="72" spans="6:8" ht="14.25" customHeight="1" x14ac:dyDescent="0.2"/>
    <row r="73" spans="6:8" ht="14.25" customHeight="1" x14ac:dyDescent="0.2"/>
    <row r="74" spans="6:8" ht="14.25" customHeight="1" x14ac:dyDescent="0.2"/>
    <row r="75" spans="6:8" ht="14.25" customHeight="1" x14ac:dyDescent="0.2"/>
    <row r="76" spans="6:8" ht="14.25" customHeight="1" x14ac:dyDescent="0.2"/>
    <row r="77" spans="6:8" ht="14.25" customHeight="1" x14ac:dyDescent="0.2"/>
    <row r="78" spans="6:8" ht="14.25" customHeight="1" x14ac:dyDescent="0.2"/>
    <row r="79" spans="6:8" ht="14.25" customHeight="1" x14ac:dyDescent="0.2"/>
    <row r="80" spans="6:8"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13">
    <mergeCell ref="R4:R7"/>
    <mergeCell ref="Q8:Q10"/>
    <mergeCell ref="R8:R10"/>
    <mergeCell ref="Q13:Q14"/>
    <mergeCell ref="R13:R14"/>
    <mergeCell ref="E8:E10"/>
    <mergeCell ref="F8:F10"/>
    <mergeCell ref="K8:K10"/>
    <mergeCell ref="L8:L10"/>
    <mergeCell ref="E4:E7"/>
    <mergeCell ref="F4:F7"/>
    <mergeCell ref="G4:G7"/>
    <mergeCell ref="H4:H12"/>
    <mergeCell ref="I4:I12"/>
    <mergeCell ref="Q4:Q7"/>
    <mergeCell ref="B2:B3"/>
    <mergeCell ref="B19:B28"/>
    <mergeCell ref="C19:C28"/>
    <mergeCell ref="D19:D22"/>
    <mergeCell ref="D23:D28"/>
    <mergeCell ref="C29:C35"/>
    <mergeCell ref="D29:D30"/>
    <mergeCell ref="D31:D34"/>
    <mergeCell ref="E19:E22"/>
    <mergeCell ref="E23:E27"/>
    <mergeCell ref="E29:E30"/>
    <mergeCell ref="E31:E34"/>
    <mergeCell ref="E16:E18"/>
    <mergeCell ref="B4:B12"/>
    <mergeCell ref="C4:C12"/>
    <mergeCell ref="D4:D7"/>
    <mergeCell ref="F19:F22"/>
    <mergeCell ref="G19:G28"/>
    <mergeCell ref="H19:H28"/>
    <mergeCell ref="G29:G30"/>
    <mergeCell ref="H29:H35"/>
    <mergeCell ref="I29:I35"/>
    <mergeCell ref="G31:G34"/>
    <mergeCell ref="J16:J18"/>
    <mergeCell ref="J19:J22"/>
    <mergeCell ref="J31:J34"/>
    <mergeCell ref="F23:F27"/>
    <mergeCell ref="F29:F30"/>
    <mergeCell ref="F31:F34"/>
    <mergeCell ref="F16:F18"/>
    <mergeCell ref="A2:A35"/>
    <mergeCell ref="B29:B35"/>
    <mergeCell ref="G2:G3"/>
    <mergeCell ref="H2:H3"/>
    <mergeCell ref="I2:I3"/>
    <mergeCell ref="J2:J3"/>
    <mergeCell ref="J13:J14"/>
    <mergeCell ref="I19:I28"/>
    <mergeCell ref="J23:J27"/>
    <mergeCell ref="J29:J30"/>
    <mergeCell ref="C2:C3"/>
    <mergeCell ref="D8:D10"/>
    <mergeCell ref="J4:J7"/>
    <mergeCell ref="J8:J10"/>
    <mergeCell ref="B13:B18"/>
    <mergeCell ref="C13:C18"/>
    <mergeCell ref="D13:D14"/>
    <mergeCell ref="E13:E14"/>
    <mergeCell ref="G8:G10"/>
    <mergeCell ref="G13:G18"/>
    <mergeCell ref="H13:H18"/>
    <mergeCell ref="I13:I18"/>
    <mergeCell ref="F13:F14"/>
    <mergeCell ref="D16:D18"/>
    <mergeCell ref="K2:K3"/>
    <mergeCell ref="O2:O35"/>
    <mergeCell ref="P2:P35"/>
    <mergeCell ref="K4:K7"/>
    <mergeCell ref="L4:L7"/>
    <mergeCell ref="M4:M7"/>
    <mergeCell ref="N4:N7"/>
    <mergeCell ref="M8:M10"/>
    <mergeCell ref="N8:N10"/>
    <mergeCell ref="K13:K14"/>
    <mergeCell ref="L13:L14"/>
    <mergeCell ref="M13:M14"/>
    <mergeCell ref="N13:N14"/>
    <mergeCell ref="K16:K18"/>
    <mergeCell ref="L16:L18"/>
    <mergeCell ref="M16:M18"/>
    <mergeCell ref="N16:N18"/>
    <mergeCell ref="K23:K27"/>
    <mergeCell ref="L23:L27"/>
    <mergeCell ref="M23:M27"/>
    <mergeCell ref="N23:N27"/>
    <mergeCell ref="K29:K30"/>
    <mergeCell ref="L29:L30"/>
    <mergeCell ref="M29:M30"/>
    <mergeCell ref="R16:R18"/>
    <mergeCell ref="K19:K22"/>
    <mergeCell ref="L19:L22"/>
    <mergeCell ref="M19:M22"/>
    <mergeCell ref="N19:N22"/>
    <mergeCell ref="Q19:Q22"/>
    <mergeCell ref="R19:R22"/>
    <mergeCell ref="T25:AG25"/>
    <mergeCell ref="K31:K34"/>
    <mergeCell ref="L31:L34"/>
    <mergeCell ref="M31:M34"/>
    <mergeCell ref="N31:N34"/>
    <mergeCell ref="Q31:Q34"/>
    <mergeCell ref="R31:R34"/>
    <mergeCell ref="Q16:Q18"/>
    <mergeCell ref="Q23:Q27"/>
    <mergeCell ref="R23:R27"/>
    <mergeCell ref="N29:N30"/>
    <mergeCell ref="Q29:Q30"/>
    <mergeCell ref="R29:R30"/>
  </mergeCells>
  <conditionalFormatting sqref="R2:R4 R8 R13:R29 R31 R35">
    <cfRule type="colorScale" priority="1">
      <colorScale>
        <cfvo type="min"/>
        <cfvo type="percentile" val="50"/>
        <cfvo type="max"/>
        <color rgb="FFF8696B"/>
        <color rgb="FFFFEB84"/>
        <color rgb="FF63BE7B"/>
      </colorScale>
    </cfRule>
  </conditionalFormatting>
  <conditionalFormatting sqref="R2:R29 R31:R35">
    <cfRule type="colorScale" priority="3">
      <colorScale>
        <cfvo type="min"/>
        <cfvo type="percentile" val="50"/>
        <cfvo type="max"/>
        <color rgb="FFF8696B"/>
        <color rgb="FFFFEB84"/>
        <color rgb="FF63BE7B"/>
      </colorScale>
    </cfRule>
  </conditionalFormatting>
  <conditionalFormatting sqref="R2:R35">
    <cfRule type="colorScale" priority="2">
      <colorScale>
        <cfvo type="min"/>
        <cfvo type="percentile" val="50"/>
        <cfvo type="max"/>
        <color rgb="FFF8696B"/>
        <color rgb="FFFFEB84"/>
        <color rgb="FF63BE7B"/>
      </colorScale>
    </cfRule>
  </conditionalFormatting>
  <hyperlinks>
    <hyperlink ref="S4" r:id="rId1" xr:uid="{00000000-0004-0000-0B00-000000000000}"/>
    <hyperlink ref="S5" r:id="rId2" xr:uid="{00000000-0004-0000-0B00-000001000000}"/>
    <hyperlink ref="S7" r:id="rId3" location=":~:text=Rafter%20Spacing%20and%20Load%20Considerations%20*%2016,snow%20zones%20or%20with%20heavy%20roofing%20systems." xr:uid="{00000000-0004-0000-0B00-000002000000}"/>
    <hyperlink ref="S12" r:id="rId4" xr:uid="{00000000-0004-0000-0B00-000003000000}"/>
    <hyperlink ref="S19" r:id="rId5" xr:uid="{00000000-0004-0000-0B00-000004000000}"/>
    <hyperlink ref="S26" r:id="rId6" xr:uid="{00000000-0004-0000-0B00-000005000000}"/>
    <hyperlink ref="S27" r:id="rId7" xr:uid="{00000000-0004-0000-0B00-000006000000}"/>
    <hyperlink ref="S28" r:id="rId8" xr:uid="{00000000-0004-0000-0B00-000007000000}"/>
    <hyperlink ref="S29" r:id="rId9" xr:uid="{00000000-0004-0000-0B00-000008000000}"/>
    <hyperlink ref="S30" r:id="rId10" xr:uid="{00000000-0004-0000-0B00-000009000000}"/>
    <hyperlink ref="S31" r:id="rId11" xr:uid="{00000000-0004-0000-0B00-00000A000000}"/>
    <hyperlink ref="S34" r:id="rId12" xr:uid="{00000000-0004-0000-0B00-00000B000000}"/>
  </hyperlinks>
  <pageMargins left="0.7" right="0.7" top="0.75" bottom="0.75" header="0" footer="0"/>
  <pageSetup orientation="portrait"/>
  <drawing r:id="rId13"/>
  <legacyDrawing r:id="rId1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115</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684</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104</v>
      </c>
      <c r="B2" s="218" t="s">
        <v>53</v>
      </c>
      <c r="C2" s="183" t="s">
        <v>139</v>
      </c>
      <c r="D2" s="179" t="s">
        <v>140</v>
      </c>
      <c r="E2" s="179" t="s">
        <v>140</v>
      </c>
      <c r="F2" s="179" t="s">
        <v>140</v>
      </c>
      <c r="G2" s="182">
        <v>1</v>
      </c>
      <c r="H2" s="182">
        <v>470</v>
      </c>
      <c r="I2" s="183" t="s">
        <v>142</v>
      </c>
      <c r="J2" s="178">
        <v>0.5</v>
      </c>
      <c r="K2" s="178">
        <v>1.5</v>
      </c>
      <c r="L2" s="178">
        <v>150</v>
      </c>
      <c r="M2" s="179" t="s">
        <v>699</v>
      </c>
      <c r="N2" s="223">
        <f>L2*K2*J2*H2</f>
        <v>52875</v>
      </c>
      <c r="O2" s="186">
        <v>10903</v>
      </c>
      <c r="P2" s="183" t="s">
        <v>703</v>
      </c>
      <c r="Q2" s="214">
        <f>N2/O2</f>
        <v>4.8495826836650462</v>
      </c>
      <c r="R2" s="177">
        <v>4</v>
      </c>
      <c r="S2" s="14" t="s">
        <v>149</v>
      </c>
      <c r="T2" s="85" t="s">
        <v>150</v>
      </c>
      <c r="U2" s="85"/>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219"/>
      <c r="C3" s="181"/>
      <c r="D3" s="176"/>
      <c r="E3" s="176"/>
      <c r="F3" s="176"/>
      <c r="G3" s="181"/>
      <c r="H3" s="181"/>
      <c r="I3" s="181"/>
      <c r="J3" s="181"/>
      <c r="K3" s="181"/>
      <c r="L3" s="176"/>
      <c r="M3" s="176"/>
      <c r="N3" s="213"/>
      <c r="O3" s="181"/>
      <c r="P3" s="181"/>
      <c r="Q3" s="216"/>
      <c r="R3" s="176"/>
      <c r="S3" s="14" t="s">
        <v>401</v>
      </c>
      <c r="T3" s="85" t="s">
        <v>714</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220"/>
      <c r="C4" s="176"/>
      <c r="D4" s="14" t="s">
        <v>154</v>
      </c>
      <c r="E4" s="14" t="s">
        <v>155</v>
      </c>
      <c r="F4" s="14" t="s">
        <v>156</v>
      </c>
      <c r="G4" s="176"/>
      <c r="H4" s="176"/>
      <c r="I4" s="176"/>
      <c r="J4" s="176"/>
      <c r="K4" s="176"/>
      <c r="L4" s="14">
        <v>5.25</v>
      </c>
      <c r="M4" s="14" t="s">
        <v>721</v>
      </c>
      <c r="N4" s="107">
        <f>L4*K2*J2*H2</f>
        <v>1850.625</v>
      </c>
      <c r="O4" s="181"/>
      <c r="P4" s="181"/>
      <c r="Q4" s="108">
        <f t="shared" ref="Q4:Q7" si="0">N4/$O$2</f>
        <v>0.16973539392827663</v>
      </c>
      <c r="R4" s="39">
        <v>4</v>
      </c>
      <c r="S4" s="14" t="s">
        <v>174</v>
      </c>
      <c r="T4" s="85" t="s">
        <v>175</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218" t="s">
        <v>164</v>
      </c>
      <c r="C5" s="183" t="s">
        <v>165</v>
      </c>
      <c r="D5" s="14" t="s">
        <v>140</v>
      </c>
      <c r="E5" s="41" t="s">
        <v>140</v>
      </c>
      <c r="F5" s="41" t="s">
        <v>140</v>
      </c>
      <c r="G5" s="182">
        <v>1</v>
      </c>
      <c r="H5" s="182">
        <v>11400</v>
      </c>
      <c r="I5" s="183" t="s">
        <v>166</v>
      </c>
      <c r="J5" s="175">
        <v>0.5</v>
      </c>
      <c r="K5" s="179" t="s">
        <v>27</v>
      </c>
      <c r="L5" s="14">
        <v>150</v>
      </c>
      <c r="M5" s="14" t="s">
        <v>730</v>
      </c>
      <c r="N5" s="107">
        <f>L5*J5*H5</f>
        <v>855000</v>
      </c>
      <c r="O5" s="181"/>
      <c r="P5" s="181"/>
      <c r="Q5" s="108">
        <f t="shared" si="0"/>
        <v>78.418783820966709</v>
      </c>
      <c r="R5" s="39">
        <v>5</v>
      </c>
      <c r="S5" s="14" t="s">
        <v>388</v>
      </c>
      <c r="T5" s="85"/>
      <c r="U5" s="85"/>
      <c r="V5" s="85"/>
      <c r="W5" s="85"/>
      <c r="X5" s="85"/>
      <c r="Y5" s="85"/>
      <c r="Z5" s="85"/>
      <c r="AA5" s="85"/>
      <c r="AB5" s="85"/>
      <c r="AC5" s="85"/>
      <c r="AD5" s="85"/>
      <c r="AE5" s="85"/>
      <c r="AF5" s="85"/>
      <c r="AG5" s="85"/>
      <c r="AH5" s="85"/>
      <c r="AI5" s="85"/>
      <c r="AJ5" s="85"/>
      <c r="AK5" s="85"/>
      <c r="AL5" s="85"/>
      <c r="AM5" s="85"/>
      <c r="AN5" s="85"/>
    </row>
    <row r="6" spans="1:40" ht="14.25" customHeight="1" x14ac:dyDescent="0.2">
      <c r="A6" s="181"/>
      <c r="B6" s="220"/>
      <c r="C6" s="176"/>
      <c r="D6" s="14" t="s">
        <v>154</v>
      </c>
      <c r="E6" s="41" t="s">
        <v>155</v>
      </c>
      <c r="F6" s="41" t="s">
        <v>156</v>
      </c>
      <c r="G6" s="176"/>
      <c r="H6" s="176"/>
      <c r="I6" s="176"/>
      <c r="J6" s="176"/>
      <c r="K6" s="176"/>
      <c r="L6" s="14">
        <v>6</v>
      </c>
      <c r="M6" s="14" t="s">
        <v>737</v>
      </c>
      <c r="N6" s="107">
        <f>L6*J5*H5</f>
        <v>34200</v>
      </c>
      <c r="O6" s="181"/>
      <c r="P6" s="181"/>
      <c r="Q6" s="108">
        <f t="shared" si="0"/>
        <v>3.1367513528386683</v>
      </c>
      <c r="R6" s="39">
        <v>5</v>
      </c>
      <c r="S6" s="14" t="s">
        <v>174</v>
      </c>
      <c r="T6" s="85" t="s">
        <v>175</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218" t="s">
        <v>209</v>
      </c>
      <c r="C7" s="184" t="s">
        <v>680</v>
      </c>
      <c r="D7" s="179" t="s">
        <v>743</v>
      </c>
      <c r="E7" s="179" t="s">
        <v>92</v>
      </c>
      <c r="F7" s="179" t="s">
        <v>3</v>
      </c>
      <c r="G7" s="182">
        <v>1</v>
      </c>
      <c r="H7" s="182">
        <v>11700</v>
      </c>
      <c r="I7" s="183" t="s">
        <v>166</v>
      </c>
      <c r="J7" s="175">
        <v>3.6458333333333336E-2</v>
      </c>
      <c r="K7" s="179" t="s">
        <v>27</v>
      </c>
      <c r="L7" s="178">
        <v>1.44</v>
      </c>
      <c r="M7" s="179" t="s">
        <v>744</v>
      </c>
      <c r="N7" s="221">
        <f>L7*H7</f>
        <v>16848</v>
      </c>
      <c r="O7" s="181"/>
      <c r="P7" s="181"/>
      <c r="Q7" s="214">
        <f t="shared" si="0"/>
        <v>1.5452627717142071</v>
      </c>
      <c r="R7" s="177">
        <v>3</v>
      </c>
      <c r="S7" s="40" t="s">
        <v>365</v>
      </c>
      <c r="T7" s="85" t="s">
        <v>366</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219"/>
      <c r="C8" s="181"/>
      <c r="D8" s="181"/>
      <c r="E8" s="181"/>
      <c r="F8" s="181"/>
      <c r="G8" s="181"/>
      <c r="H8" s="181"/>
      <c r="I8" s="181"/>
      <c r="J8" s="181"/>
      <c r="K8" s="181"/>
      <c r="L8" s="181"/>
      <c r="M8" s="181"/>
      <c r="N8" s="212"/>
      <c r="O8" s="181"/>
      <c r="P8" s="181"/>
      <c r="Q8" s="215"/>
      <c r="R8" s="181"/>
      <c r="S8" s="14" t="s">
        <v>368</v>
      </c>
      <c r="T8" s="85" t="s">
        <v>369</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219"/>
      <c r="C9" s="181"/>
      <c r="D9" s="181"/>
      <c r="E9" s="181"/>
      <c r="F9" s="181"/>
      <c r="G9" s="181"/>
      <c r="H9" s="181"/>
      <c r="I9" s="181"/>
      <c r="J9" s="181"/>
      <c r="K9" s="181"/>
      <c r="L9" s="181"/>
      <c r="M9" s="181"/>
      <c r="N9" s="212"/>
      <c r="O9" s="181"/>
      <c r="P9" s="181"/>
      <c r="Q9" s="215"/>
      <c r="R9" s="181"/>
      <c r="S9" s="40" t="s">
        <v>370</v>
      </c>
      <c r="T9" s="85" t="s">
        <v>372</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219"/>
      <c r="C10" s="181"/>
      <c r="D10" s="176"/>
      <c r="E10" s="176"/>
      <c r="F10" s="176"/>
      <c r="G10" s="176"/>
      <c r="H10" s="181"/>
      <c r="I10" s="181"/>
      <c r="J10" s="176"/>
      <c r="K10" s="176"/>
      <c r="L10" s="176"/>
      <c r="M10" s="176"/>
      <c r="N10" s="213"/>
      <c r="O10" s="181"/>
      <c r="P10" s="181"/>
      <c r="Q10" s="216"/>
      <c r="R10" s="176"/>
      <c r="S10" s="40" t="s">
        <v>685</v>
      </c>
      <c r="T10" s="85" t="s">
        <v>686</v>
      </c>
      <c r="U10" s="85"/>
      <c r="V10" s="85"/>
      <c r="W10" s="85"/>
      <c r="X10" s="85"/>
      <c r="Y10" s="85"/>
      <c r="Z10" s="85"/>
      <c r="AA10" s="85"/>
      <c r="AB10" s="85"/>
      <c r="AC10" s="85"/>
      <c r="AD10" s="85"/>
      <c r="AE10" s="85"/>
      <c r="AF10" s="85"/>
      <c r="AG10" s="85"/>
      <c r="AH10" s="85"/>
      <c r="AI10" s="85"/>
      <c r="AJ10" s="85"/>
      <c r="AK10" s="85"/>
      <c r="AL10" s="85"/>
      <c r="AM10" s="85"/>
      <c r="AN10" s="85"/>
    </row>
    <row r="11" spans="1:40" ht="14.25" customHeight="1" x14ac:dyDescent="0.2">
      <c r="A11" s="181"/>
      <c r="B11" s="219"/>
      <c r="C11" s="181"/>
      <c r="D11" s="179" t="s">
        <v>753</v>
      </c>
      <c r="E11" s="179" t="s">
        <v>92</v>
      </c>
      <c r="F11" s="179" t="s">
        <v>4</v>
      </c>
      <c r="G11" s="178">
        <v>161</v>
      </c>
      <c r="H11" s="181"/>
      <c r="I11" s="181"/>
      <c r="J11" s="175" t="s">
        <v>27</v>
      </c>
      <c r="K11" s="179" t="s">
        <v>27</v>
      </c>
      <c r="L11" s="178">
        <v>3.5</v>
      </c>
      <c r="M11" s="179" t="s">
        <v>376</v>
      </c>
      <c r="N11" s="211">
        <v>19218</v>
      </c>
      <c r="O11" s="181"/>
      <c r="P11" s="181"/>
      <c r="Q11" s="214">
        <f>N11/$O$2</f>
        <v>1.762634137393378</v>
      </c>
      <c r="R11" s="177">
        <v>3</v>
      </c>
      <c r="S11" s="14" t="s">
        <v>213</v>
      </c>
      <c r="T11" s="85" t="s">
        <v>756</v>
      </c>
      <c r="U11" s="85"/>
      <c r="V11" s="85"/>
      <c r="W11" s="85"/>
      <c r="X11" s="85"/>
      <c r="Y11" s="85"/>
      <c r="Z11" s="85"/>
      <c r="AA11" s="85"/>
      <c r="AB11" s="85"/>
      <c r="AC11" s="85"/>
      <c r="AD11" s="85"/>
      <c r="AE11" s="85"/>
      <c r="AF11" s="85"/>
      <c r="AG11" s="85"/>
      <c r="AH11" s="85"/>
      <c r="AI11" s="85"/>
      <c r="AJ11" s="85"/>
      <c r="AK11" s="85"/>
      <c r="AL11" s="85"/>
      <c r="AM11" s="85"/>
      <c r="AN11" s="85"/>
    </row>
    <row r="12" spans="1:40" ht="14.25" customHeight="1" x14ac:dyDescent="0.2">
      <c r="A12" s="181"/>
      <c r="B12" s="219"/>
      <c r="C12" s="181"/>
      <c r="D12" s="181"/>
      <c r="E12" s="181"/>
      <c r="F12" s="181"/>
      <c r="G12" s="181"/>
      <c r="H12" s="181"/>
      <c r="I12" s="181"/>
      <c r="J12" s="181"/>
      <c r="K12" s="181"/>
      <c r="L12" s="181"/>
      <c r="M12" s="181"/>
      <c r="N12" s="212"/>
      <c r="O12" s="181"/>
      <c r="P12" s="181"/>
      <c r="Q12" s="215"/>
      <c r="R12" s="181"/>
      <c r="S12" s="40" t="s">
        <v>758</v>
      </c>
      <c r="T12" s="85" t="s">
        <v>759</v>
      </c>
      <c r="U12" s="85"/>
      <c r="V12" s="85"/>
      <c r="W12" s="85"/>
      <c r="X12" s="85"/>
      <c r="Y12" s="85"/>
      <c r="Z12" s="85"/>
      <c r="AA12" s="85"/>
      <c r="AB12" s="85"/>
      <c r="AC12" s="85"/>
      <c r="AD12" s="85"/>
      <c r="AE12" s="85"/>
      <c r="AF12" s="85"/>
      <c r="AG12" s="85"/>
      <c r="AH12" s="85"/>
      <c r="AI12" s="85"/>
      <c r="AJ12" s="85"/>
      <c r="AK12" s="85"/>
      <c r="AL12" s="85"/>
      <c r="AM12" s="85"/>
      <c r="AN12" s="85"/>
    </row>
    <row r="13" spans="1:40" ht="14.25" customHeight="1" x14ac:dyDescent="0.2">
      <c r="A13" s="181"/>
      <c r="B13" s="219"/>
      <c r="C13" s="181"/>
      <c r="D13" s="181"/>
      <c r="E13" s="181"/>
      <c r="F13" s="181"/>
      <c r="G13" s="181"/>
      <c r="H13" s="181"/>
      <c r="I13" s="181"/>
      <c r="J13" s="181"/>
      <c r="K13" s="181"/>
      <c r="L13" s="181"/>
      <c r="M13" s="181"/>
      <c r="N13" s="212"/>
      <c r="O13" s="181"/>
      <c r="P13" s="181"/>
      <c r="Q13" s="215"/>
      <c r="R13" s="181"/>
      <c r="S13" s="40" t="s">
        <v>761</v>
      </c>
      <c r="T13" s="85" t="s">
        <v>762</v>
      </c>
      <c r="U13" s="85"/>
      <c r="V13" s="85"/>
      <c r="W13" s="85"/>
      <c r="X13" s="85"/>
      <c r="Y13" s="85"/>
      <c r="Z13" s="85"/>
      <c r="AA13" s="85"/>
      <c r="AB13" s="85"/>
      <c r="AC13" s="85"/>
      <c r="AD13" s="85"/>
      <c r="AE13" s="85"/>
      <c r="AF13" s="85"/>
      <c r="AG13" s="85"/>
      <c r="AH13" s="85"/>
      <c r="AI13" s="85"/>
      <c r="AJ13" s="85"/>
      <c r="AK13" s="85"/>
      <c r="AL13" s="85"/>
      <c r="AM13" s="85"/>
      <c r="AN13" s="85"/>
    </row>
    <row r="14" spans="1:40" ht="14.25" customHeight="1" x14ac:dyDescent="0.2">
      <c r="A14" s="181"/>
      <c r="B14" s="219"/>
      <c r="C14" s="181"/>
      <c r="D14" s="181"/>
      <c r="E14" s="181"/>
      <c r="F14" s="181"/>
      <c r="G14" s="181"/>
      <c r="H14" s="181"/>
      <c r="I14" s="181"/>
      <c r="J14" s="181"/>
      <c r="K14" s="181"/>
      <c r="L14" s="181"/>
      <c r="M14" s="181"/>
      <c r="N14" s="212"/>
      <c r="O14" s="181"/>
      <c r="P14" s="181"/>
      <c r="Q14" s="215"/>
      <c r="R14" s="181"/>
      <c r="S14" s="40" t="s">
        <v>697</v>
      </c>
      <c r="T14" s="85" t="s">
        <v>698</v>
      </c>
      <c r="U14" s="85"/>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219"/>
      <c r="C15" s="181"/>
      <c r="D15" s="181"/>
      <c r="E15" s="181"/>
      <c r="F15" s="181"/>
      <c r="G15" s="181"/>
      <c r="H15" s="181"/>
      <c r="I15" s="181"/>
      <c r="J15" s="181"/>
      <c r="K15" s="181"/>
      <c r="L15" s="181"/>
      <c r="M15" s="181"/>
      <c r="N15" s="212"/>
      <c r="O15" s="181"/>
      <c r="P15" s="181"/>
      <c r="Q15" s="215"/>
      <c r="R15" s="181"/>
      <c r="S15" s="40" t="s">
        <v>764</v>
      </c>
      <c r="T15" s="85" t="s">
        <v>766</v>
      </c>
      <c r="U15" s="85"/>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219"/>
      <c r="C16" s="181"/>
      <c r="D16" s="181"/>
      <c r="E16" s="181"/>
      <c r="F16" s="181"/>
      <c r="G16" s="181"/>
      <c r="H16" s="181"/>
      <c r="I16" s="181"/>
      <c r="J16" s="181"/>
      <c r="K16" s="181"/>
      <c r="L16" s="181"/>
      <c r="M16" s="181"/>
      <c r="N16" s="212"/>
      <c r="O16" s="181"/>
      <c r="P16" s="181"/>
      <c r="Q16" s="215"/>
      <c r="R16" s="181"/>
      <c r="S16" s="14" t="s">
        <v>625</v>
      </c>
      <c r="T16" s="85" t="s">
        <v>770</v>
      </c>
      <c r="U16" s="85"/>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219"/>
      <c r="C17" s="181"/>
      <c r="D17" s="181"/>
      <c r="E17" s="181"/>
      <c r="F17" s="181"/>
      <c r="G17" s="181"/>
      <c r="H17" s="181"/>
      <c r="I17" s="181"/>
      <c r="J17" s="181"/>
      <c r="K17" s="181"/>
      <c r="L17" s="181"/>
      <c r="M17" s="181"/>
      <c r="N17" s="212"/>
      <c r="O17" s="181"/>
      <c r="P17" s="181"/>
      <c r="Q17" s="215"/>
      <c r="R17" s="181"/>
      <c r="S17" s="14" t="s">
        <v>774</v>
      </c>
      <c r="T17" s="85" t="s">
        <v>775</v>
      </c>
      <c r="U17" s="85"/>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219"/>
      <c r="C18" s="181"/>
      <c r="D18" s="176"/>
      <c r="E18" s="176"/>
      <c r="F18" s="176"/>
      <c r="G18" s="176"/>
      <c r="H18" s="181"/>
      <c r="I18" s="181"/>
      <c r="J18" s="176"/>
      <c r="K18" s="176"/>
      <c r="L18" s="176"/>
      <c r="M18" s="176"/>
      <c r="N18" s="213"/>
      <c r="O18" s="181"/>
      <c r="P18" s="181"/>
      <c r="Q18" s="216"/>
      <c r="R18" s="176"/>
      <c r="S18" s="14" t="s">
        <v>695</v>
      </c>
      <c r="T18" s="85" t="s">
        <v>777</v>
      </c>
      <c r="U18" s="85"/>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219"/>
      <c r="C19" s="181"/>
      <c r="D19" s="179" t="s">
        <v>779</v>
      </c>
      <c r="E19" s="179" t="s">
        <v>92</v>
      </c>
      <c r="F19" s="179" t="s">
        <v>4</v>
      </c>
      <c r="G19" s="178">
        <v>349.5</v>
      </c>
      <c r="H19" s="181"/>
      <c r="I19" s="181"/>
      <c r="J19" s="175" t="s">
        <v>706</v>
      </c>
      <c r="K19" s="179">
        <v>29</v>
      </c>
      <c r="L19" s="178">
        <v>1.833</v>
      </c>
      <c r="M19" s="179" t="s">
        <v>376</v>
      </c>
      <c r="N19" s="211">
        <f>L19*K19*G19</f>
        <v>18578.371499999997</v>
      </c>
      <c r="O19" s="181"/>
      <c r="P19" s="181"/>
      <c r="Q19" s="214">
        <f>N19/O2</f>
        <v>1.7039687700632851</v>
      </c>
      <c r="R19" s="177">
        <v>2</v>
      </c>
      <c r="S19" s="14" t="s">
        <v>181</v>
      </c>
      <c r="T19" s="14" t="s">
        <v>781</v>
      </c>
      <c r="U19" s="85"/>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220"/>
      <c r="C20" s="176"/>
      <c r="D20" s="176"/>
      <c r="E20" s="176"/>
      <c r="F20" s="176"/>
      <c r="G20" s="176"/>
      <c r="H20" s="176"/>
      <c r="I20" s="176"/>
      <c r="J20" s="176"/>
      <c r="K20" s="176"/>
      <c r="L20" s="176"/>
      <c r="M20" s="176"/>
      <c r="N20" s="213"/>
      <c r="O20" s="181"/>
      <c r="P20" s="181"/>
      <c r="Q20" s="216"/>
      <c r="R20" s="176"/>
      <c r="S20" s="40" t="s">
        <v>708</v>
      </c>
      <c r="T20" s="14" t="s">
        <v>709</v>
      </c>
      <c r="U20" s="85"/>
      <c r="V20" s="85"/>
      <c r="W20" s="85"/>
      <c r="X20" s="85"/>
      <c r="Y20" s="85"/>
      <c r="Z20" s="85"/>
      <c r="AA20" s="85"/>
      <c r="AB20" s="85"/>
      <c r="AC20" s="85"/>
      <c r="AD20" s="85"/>
      <c r="AE20" s="85"/>
      <c r="AF20" s="85"/>
      <c r="AG20" s="85"/>
      <c r="AH20" s="85"/>
      <c r="AI20" s="85"/>
      <c r="AJ20" s="85"/>
      <c r="AK20" s="85"/>
      <c r="AL20" s="85"/>
      <c r="AM20" s="85"/>
      <c r="AN20" s="85"/>
    </row>
    <row r="21" spans="1:40" ht="14.25" customHeight="1" x14ac:dyDescent="0.2">
      <c r="A21" s="181"/>
      <c r="B21" s="229" t="s">
        <v>785</v>
      </c>
      <c r="C21" s="184" t="s">
        <v>786</v>
      </c>
      <c r="D21" s="179" t="s">
        <v>743</v>
      </c>
      <c r="E21" s="179" t="s">
        <v>92</v>
      </c>
      <c r="F21" s="179" t="s">
        <v>3</v>
      </c>
      <c r="G21" s="182">
        <v>1</v>
      </c>
      <c r="H21" s="182">
        <v>1500</v>
      </c>
      <c r="I21" s="183" t="s">
        <v>166</v>
      </c>
      <c r="J21" s="175">
        <v>3.6458333333333336E-2</v>
      </c>
      <c r="K21" s="179" t="s">
        <v>27</v>
      </c>
      <c r="L21" s="178">
        <v>1.44</v>
      </c>
      <c r="M21" s="179" t="s">
        <v>791</v>
      </c>
      <c r="N21" s="221">
        <f>L21*H21</f>
        <v>2160</v>
      </c>
      <c r="O21" s="181"/>
      <c r="P21" s="181"/>
      <c r="Q21" s="214">
        <f>N21/$O$2</f>
        <v>0.19811061175823169</v>
      </c>
      <c r="R21" s="177">
        <v>3</v>
      </c>
      <c r="S21" s="40" t="s">
        <v>365</v>
      </c>
      <c r="T21" s="85" t="s">
        <v>366</v>
      </c>
      <c r="U21" s="85"/>
      <c r="V21" s="85"/>
      <c r="W21" s="85"/>
      <c r="X21" s="85"/>
      <c r="Y21" s="85"/>
      <c r="Z21" s="85"/>
      <c r="AA21" s="85"/>
      <c r="AB21" s="85"/>
      <c r="AC21" s="85"/>
      <c r="AD21" s="85"/>
      <c r="AE21" s="85"/>
      <c r="AF21" s="85"/>
      <c r="AG21" s="85"/>
      <c r="AH21" s="85"/>
      <c r="AI21" s="85"/>
      <c r="AJ21" s="85"/>
      <c r="AK21" s="85"/>
      <c r="AL21" s="85"/>
      <c r="AM21" s="85"/>
      <c r="AN21" s="85"/>
    </row>
    <row r="22" spans="1:40" ht="14.25" customHeight="1" x14ac:dyDescent="0.2">
      <c r="A22" s="181"/>
      <c r="B22" s="219"/>
      <c r="C22" s="181"/>
      <c r="D22" s="181"/>
      <c r="E22" s="181"/>
      <c r="F22" s="181"/>
      <c r="G22" s="181"/>
      <c r="H22" s="181"/>
      <c r="I22" s="181"/>
      <c r="J22" s="181"/>
      <c r="K22" s="181"/>
      <c r="L22" s="181"/>
      <c r="M22" s="181"/>
      <c r="N22" s="212"/>
      <c r="O22" s="181"/>
      <c r="P22" s="181"/>
      <c r="Q22" s="215"/>
      <c r="R22" s="181"/>
      <c r="S22" s="40" t="s">
        <v>370</v>
      </c>
      <c r="T22" s="85" t="s">
        <v>372</v>
      </c>
      <c r="U22" s="85"/>
      <c r="V22" s="85"/>
      <c r="W22" s="85"/>
      <c r="X22" s="85"/>
      <c r="Y22" s="85"/>
      <c r="Z22" s="85"/>
      <c r="AA22" s="85"/>
      <c r="AB22" s="85"/>
      <c r="AC22" s="85"/>
      <c r="AD22" s="85"/>
      <c r="AE22" s="85"/>
      <c r="AF22" s="85"/>
      <c r="AG22" s="85"/>
      <c r="AH22" s="85"/>
      <c r="AI22" s="85"/>
      <c r="AJ22" s="85"/>
      <c r="AK22" s="85"/>
      <c r="AL22" s="85"/>
      <c r="AM22" s="85"/>
      <c r="AN22" s="85"/>
    </row>
    <row r="23" spans="1:40" ht="14.25" customHeight="1" x14ac:dyDescent="0.2">
      <c r="A23" s="181"/>
      <c r="B23" s="219"/>
      <c r="C23" s="181"/>
      <c r="D23" s="181"/>
      <c r="E23" s="181"/>
      <c r="F23" s="181"/>
      <c r="G23" s="181"/>
      <c r="H23" s="181"/>
      <c r="I23" s="181"/>
      <c r="J23" s="181"/>
      <c r="K23" s="181"/>
      <c r="L23" s="181"/>
      <c r="M23" s="181"/>
      <c r="N23" s="212"/>
      <c r="O23" s="181"/>
      <c r="P23" s="181"/>
      <c r="Q23" s="215"/>
      <c r="R23" s="181"/>
      <c r="S23" s="40" t="s">
        <v>685</v>
      </c>
      <c r="T23" s="85" t="s">
        <v>686</v>
      </c>
      <c r="U23" s="85"/>
      <c r="V23" s="85"/>
      <c r="W23" s="85"/>
      <c r="X23" s="85"/>
      <c r="Y23" s="85"/>
      <c r="Z23" s="85"/>
      <c r="AA23" s="85"/>
      <c r="AB23" s="85"/>
      <c r="AC23" s="85"/>
      <c r="AD23" s="85"/>
      <c r="AE23" s="85"/>
      <c r="AF23" s="85"/>
      <c r="AG23" s="85"/>
      <c r="AH23" s="85"/>
      <c r="AI23" s="85"/>
      <c r="AJ23" s="85"/>
      <c r="AK23" s="85"/>
      <c r="AL23" s="85"/>
      <c r="AM23" s="85"/>
      <c r="AN23" s="85"/>
    </row>
    <row r="24" spans="1:40" ht="14.25" customHeight="1" x14ac:dyDescent="0.2">
      <c r="A24" s="181"/>
      <c r="B24" s="219"/>
      <c r="C24" s="176"/>
      <c r="D24" s="176"/>
      <c r="E24" s="176"/>
      <c r="F24" s="176"/>
      <c r="G24" s="176"/>
      <c r="H24" s="181"/>
      <c r="I24" s="181"/>
      <c r="J24" s="176"/>
      <c r="K24" s="176"/>
      <c r="L24" s="176"/>
      <c r="M24" s="176"/>
      <c r="N24" s="213"/>
      <c r="O24" s="181"/>
      <c r="P24" s="181"/>
      <c r="Q24" s="216"/>
      <c r="R24" s="176"/>
      <c r="S24" s="14" t="s">
        <v>368</v>
      </c>
      <c r="T24" s="85" t="s">
        <v>369</v>
      </c>
      <c r="U24" s="85"/>
      <c r="V24" s="85"/>
      <c r="W24" s="85"/>
      <c r="X24" s="85"/>
      <c r="Y24" s="85"/>
      <c r="Z24" s="85"/>
      <c r="AA24" s="85"/>
      <c r="AB24" s="85"/>
      <c r="AC24" s="85"/>
      <c r="AD24" s="85"/>
      <c r="AE24" s="85"/>
      <c r="AF24" s="85"/>
      <c r="AG24" s="85"/>
      <c r="AH24" s="85"/>
      <c r="AI24" s="85"/>
      <c r="AJ24" s="85"/>
      <c r="AK24" s="85"/>
      <c r="AL24" s="85"/>
      <c r="AM24" s="85"/>
      <c r="AN24" s="85"/>
    </row>
    <row r="25" spans="1:40" ht="14.25" customHeight="1" x14ac:dyDescent="0.2">
      <c r="A25" s="181"/>
      <c r="B25" s="219"/>
      <c r="C25" s="184" t="s">
        <v>798</v>
      </c>
      <c r="D25" s="179" t="s">
        <v>753</v>
      </c>
      <c r="E25" s="179" t="s">
        <v>92</v>
      </c>
      <c r="F25" s="179" t="s">
        <v>4</v>
      </c>
      <c r="G25" s="178">
        <v>60</v>
      </c>
      <c r="H25" s="181"/>
      <c r="I25" s="181"/>
      <c r="J25" s="175" t="s">
        <v>706</v>
      </c>
      <c r="K25" s="179">
        <v>10</v>
      </c>
      <c r="L25" s="178">
        <v>1.833</v>
      </c>
      <c r="M25" s="179" t="s">
        <v>376</v>
      </c>
      <c r="N25" s="211">
        <f>L25*K25*G25</f>
        <v>1099.8</v>
      </c>
      <c r="O25" s="181"/>
      <c r="P25" s="181"/>
      <c r="Q25" s="214">
        <f>N25/$O$2</f>
        <v>0.10087131982023297</v>
      </c>
      <c r="R25" s="177">
        <v>2</v>
      </c>
      <c r="S25" s="14" t="s">
        <v>625</v>
      </c>
      <c r="T25" s="85" t="s">
        <v>799</v>
      </c>
      <c r="U25" s="85"/>
      <c r="V25" s="85"/>
      <c r="W25" s="85"/>
      <c r="X25" s="85"/>
      <c r="Y25" s="85"/>
      <c r="Z25" s="85"/>
      <c r="AA25" s="85"/>
      <c r="AB25" s="85"/>
      <c r="AC25" s="85"/>
      <c r="AD25" s="85"/>
      <c r="AE25" s="85"/>
      <c r="AF25" s="85"/>
      <c r="AG25" s="85"/>
      <c r="AH25" s="85"/>
      <c r="AI25" s="85"/>
      <c r="AJ25" s="85"/>
      <c r="AK25" s="85"/>
      <c r="AL25" s="85"/>
      <c r="AM25" s="85"/>
      <c r="AN25" s="85"/>
    </row>
    <row r="26" spans="1:40" ht="14.25" customHeight="1" x14ac:dyDescent="0.2">
      <c r="A26" s="181"/>
      <c r="B26" s="219"/>
      <c r="C26" s="181"/>
      <c r="D26" s="181"/>
      <c r="E26" s="181"/>
      <c r="F26" s="181"/>
      <c r="G26" s="181"/>
      <c r="H26" s="181"/>
      <c r="I26" s="181"/>
      <c r="J26" s="181"/>
      <c r="K26" s="181"/>
      <c r="L26" s="181"/>
      <c r="M26" s="181"/>
      <c r="N26" s="212"/>
      <c r="O26" s="181"/>
      <c r="P26" s="181"/>
      <c r="Q26" s="215"/>
      <c r="R26" s="181"/>
      <c r="S26" s="40" t="s">
        <v>758</v>
      </c>
      <c r="T26" s="85" t="s">
        <v>759</v>
      </c>
      <c r="U26" s="85"/>
      <c r="V26" s="85"/>
      <c r="W26" s="85"/>
      <c r="X26" s="85"/>
      <c r="Y26" s="85"/>
      <c r="Z26" s="85"/>
      <c r="AA26" s="85"/>
      <c r="AB26" s="85"/>
      <c r="AC26" s="85"/>
      <c r="AD26" s="85"/>
      <c r="AE26" s="85"/>
      <c r="AF26" s="85"/>
      <c r="AG26" s="85"/>
      <c r="AH26" s="85"/>
      <c r="AI26" s="85"/>
      <c r="AJ26" s="85"/>
      <c r="AK26" s="85"/>
      <c r="AL26" s="85"/>
      <c r="AM26" s="85"/>
      <c r="AN26" s="85"/>
    </row>
    <row r="27" spans="1:40" ht="14.25" customHeight="1" x14ac:dyDescent="0.2">
      <c r="A27" s="181"/>
      <c r="B27" s="219"/>
      <c r="C27" s="181"/>
      <c r="D27" s="181"/>
      <c r="E27" s="181"/>
      <c r="F27" s="181"/>
      <c r="G27" s="181"/>
      <c r="H27" s="181"/>
      <c r="I27" s="181"/>
      <c r="J27" s="181"/>
      <c r="K27" s="181"/>
      <c r="L27" s="181"/>
      <c r="M27" s="181"/>
      <c r="N27" s="212"/>
      <c r="O27" s="181"/>
      <c r="P27" s="181"/>
      <c r="Q27" s="215"/>
      <c r="R27" s="181"/>
      <c r="S27" s="40" t="s">
        <v>761</v>
      </c>
      <c r="T27" s="85" t="s">
        <v>762</v>
      </c>
      <c r="U27" s="85"/>
      <c r="V27" s="85"/>
      <c r="W27" s="85"/>
      <c r="X27" s="85"/>
      <c r="Y27" s="85"/>
      <c r="Z27" s="85"/>
      <c r="AA27" s="85"/>
      <c r="AB27" s="85"/>
      <c r="AC27" s="85"/>
      <c r="AD27" s="85"/>
      <c r="AE27" s="85"/>
      <c r="AF27" s="85"/>
      <c r="AG27" s="85"/>
      <c r="AH27" s="85"/>
      <c r="AI27" s="85"/>
      <c r="AJ27" s="85"/>
      <c r="AK27" s="85"/>
      <c r="AL27" s="85"/>
      <c r="AM27" s="85"/>
      <c r="AN27" s="85"/>
    </row>
    <row r="28" spans="1:40" ht="14.25" customHeight="1" x14ac:dyDescent="0.2">
      <c r="A28" s="181"/>
      <c r="B28" s="219"/>
      <c r="C28" s="181"/>
      <c r="D28" s="181"/>
      <c r="E28" s="181"/>
      <c r="F28" s="181"/>
      <c r="G28" s="181"/>
      <c r="H28" s="181"/>
      <c r="I28" s="181"/>
      <c r="J28" s="181"/>
      <c r="K28" s="181"/>
      <c r="L28" s="181"/>
      <c r="M28" s="181"/>
      <c r="N28" s="212"/>
      <c r="O28" s="181"/>
      <c r="P28" s="181"/>
      <c r="Q28" s="215"/>
      <c r="R28" s="181"/>
      <c r="S28" s="40" t="s">
        <v>697</v>
      </c>
      <c r="T28" s="85" t="s">
        <v>801</v>
      </c>
      <c r="U28" s="85"/>
      <c r="V28" s="85"/>
      <c r="W28" s="85"/>
      <c r="X28" s="85"/>
      <c r="Y28" s="85"/>
      <c r="Z28" s="85"/>
      <c r="AA28" s="85"/>
      <c r="AB28" s="85"/>
      <c r="AC28" s="85"/>
      <c r="AD28" s="85"/>
      <c r="AE28" s="85"/>
      <c r="AF28" s="85"/>
      <c r="AG28" s="85"/>
      <c r="AH28" s="85"/>
      <c r="AI28" s="85"/>
      <c r="AJ28" s="85"/>
      <c r="AK28" s="85"/>
      <c r="AL28" s="85"/>
      <c r="AM28" s="85"/>
      <c r="AN28" s="85"/>
    </row>
    <row r="29" spans="1:40" ht="14.25" customHeight="1" x14ac:dyDescent="0.2">
      <c r="A29" s="181"/>
      <c r="B29" s="219"/>
      <c r="C29" s="181"/>
      <c r="D29" s="181"/>
      <c r="E29" s="181"/>
      <c r="F29" s="181"/>
      <c r="G29" s="181"/>
      <c r="H29" s="181"/>
      <c r="I29" s="181"/>
      <c r="J29" s="181"/>
      <c r="K29" s="181"/>
      <c r="L29" s="181"/>
      <c r="M29" s="181"/>
      <c r="N29" s="212"/>
      <c r="O29" s="181"/>
      <c r="P29" s="181"/>
      <c r="Q29" s="215"/>
      <c r="R29" s="181"/>
      <c r="S29" s="40" t="s">
        <v>802</v>
      </c>
      <c r="T29" s="85" t="s">
        <v>803</v>
      </c>
      <c r="U29" s="85"/>
      <c r="V29" s="85"/>
      <c r="W29" s="85"/>
      <c r="X29" s="85"/>
      <c r="Y29" s="85"/>
      <c r="Z29" s="85"/>
      <c r="AA29" s="85"/>
      <c r="AB29" s="85"/>
      <c r="AC29" s="85"/>
      <c r="AD29" s="85"/>
      <c r="AE29" s="85"/>
      <c r="AF29" s="85"/>
      <c r="AG29" s="85"/>
      <c r="AH29" s="85"/>
      <c r="AI29" s="85"/>
      <c r="AJ29" s="85"/>
      <c r="AK29" s="85"/>
      <c r="AL29" s="85"/>
      <c r="AM29" s="85"/>
      <c r="AN29" s="85"/>
    </row>
    <row r="30" spans="1:40" ht="14.25" customHeight="1" x14ac:dyDescent="0.2">
      <c r="A30" s="181"/>
      <c r="B30" s="219"/>
      <c r="C30" s="181"/>
      <c r="D30" s="181"/>
      <c r="E30" s="181"/>
      <c r="F30" s="181"/>
      <c r="G30" s="181"/>
      <c r="H30" s="181"/>
      <c r="I30" s="181"/>
      <c r="J30" s="181"/>
      <c r="K30" s="181"/>
      <c r="L30" s="181"/>
      <c r="M30" s="181"/>
      <c r="N30" s="212"/>
      <c r="O30" s="181"/>
      <c r="P30" s="181"/>
      <c r="Q30" s="215"/>
      <c r="R30" s="181"/>
      <c r="S30" s="14" t="s">
        <v>625</v>
      </c>
      <c r="T30" s="85" t="s">
        <v>804</v>
      </c>
      <c r="U30" s="85"/>
      <c r="V30" s="85"/>
      <c r="W30" s="85"/>
      <c r="X30" s="85"/>
      <c r="Y30" s="85"/>
      <c r="Z30" s="85"/>
      <c r="AA30" s="85"/>
      <c r="AB30" s="85"/>
      <c r="AC30" s="85"/>
      <c r="AD30" s="85"/>
      <c r="AE30" s="85"/>
      <c r="AF30" s="85"/>
      <c r="AG30" s="85"/>
      <c r="AH30" s="85"/>
      <c r="AI30" s="85"/>
      <c r="AJ30" s="85"/>
      <c r="AK30" s="85"/>
      <c r="AL30" s="85"/>
      <c r="AM30" s="85"/>
      <c r="AN30" s="85"/>
    </row>
    <row r="31" spans="1:40" ht="14.25" customHeight="1" x14ac:dyDescent="0.2">
      <c r="A31" s="181"/>
      <c r="B31" s="219"/>
      <c r="C31" s="181"/>
      <c r="D31" s="181"/>
      <c r="E31" s="181"/>
      <c r="F31" s="181"/>
      <c r="G31" s="181"/>
      <c r="H31" s="181"/>
      <c r="I31" s="181"/>
      <c r="J31" s="181"/>
      <c r="K31" s="181"/>
      <c r="L31" s="181"/>
      <c r="M31" s="181"/>
      <c r="N31" s="212"/>
      <c r="O31" s="181"/>
      <c r="P31" s="181"/>
      <c r="Q31" s="215"/>
      <c r="R31" s="181"/>
      <c r="S31" s="14" t="s">
        <v>774</v>
      </c>
      <c r="T31" s="85" t="s">
        <v>775</v>
      </c>
      <c r="U31" s="85"/>
      <c r="V31" s="85"/>
      <c r="W31" s="85"/>
      <c r="X31" s="85"/>
      <c r="Y31" s="85"/>
      <c r="Z31" s="85"/>
      <c r="AA31" s="85"/>
      <c r="AB31" s="85"/>
      <c r="AC31" s="85"/>
      <c r="AD31" s="85"/>
      <c r="AE31" s="85"/>
      <c r="AF31" s="85"/>
      <c r="AG31" s="85"/>
      <c r="AH31" s="85"/>
      <c r="AI31" s="85"/>
      <c r="AJ31" s="85"/>
      <c r="AK31" s="85"/>
      <c r="AL31" s="85"/>
      <c r="AM31" s="85"/>
      <c r="AN31" s="85"/>
    </row>
    <row r="32" spans="1:40" ht="14.25" customHeight="1" x14ac:dyDescent="0.2">
      <c r="A32" s="181"/>
      <c r="B32" s="219"/>
      <c r="C32" s="176"/>
      <c r="D32" s="176"/>
      <c r="E32" s="176"/>
      <c r="F32" s="176"/>
      <c r="G32" s="176"/>
      <c r="H32" s="181"/>
      <c r="I32" s="181"/>
      <c r="J32" s="176"/>
      <c r="K32" s="176"/>
      <c r="L32" s="176"/>
      <c r="M32" s="176"/>
      <c r="N32" s="213"/>
      <c r="O32" s="181"/>
      <c r="P32" s="181"/>
      <c r="Q32" s="216"/>
      <c r="R32" s="176"/>
      <c r="S32" s="40" t="s">
        <v>807</v>
      </c>
      <c r="T32" s="14" t="s">
        <v>809</v>
      </c>
      <c r="U32" s="85"/>
      <c r="V32" s="85"/>
      <c r="W32" s="85"/>
      <c r="X32" s="85"/>
      <c r="Y32" s="85"/>
      <c r="Z32" s="85"/>
      <c r="AA32" s="85"/>
      <c r="AB32" s="85"/>
      <c r="AC32" s="85"/>
      <c r="AD32" s="85"/>
      <c r="AE32" s="85"/>
      <c r="AF32" s="85"/>
      <c r="AG32" s="85"/>
      <c r="AH32" s="85"/>
      <c r="AI32" s="85"/>
      <c r="AJ32" s="85"/>
      <c r="AK32" s="85"/>
      <c r="AL32" s="85"/>
      <c r="AM32" s="85"/>
      <c r="AN32" s="85"/>
    </row>
    <row r="33" spans="1:40" ht="14.25" customHeight="1" x14ac:dyDescent="0.2">
      <c r="A33" s="181"/>
      <c r="B33" s="219"/>
      <c r="C33" s="68" t="s">
        <v>811</v>
      </c>
      <c r="D33" s="50" t="s">
        <v>373</v>
      </c>
      <c r="E33" s="50" t="s">
        <v>92</v>
      </c>
      <c r="F33" s="50" t="s">
        <v>4</v>
      </c>
      <c r="G33" s="53">
        <v>10</v>
      </c>
      <c r="H33" s="181"/>
      <c r="I33" s="181"/>
      <c r="J33" s="51" t="s">
        <v>186</v>
      </c>
      <c r="K33" s="50">
        <v>12</v>
      </c>
      <c r="L33" s="53">
        <v>2.42</v>
      </c>
      <c r="M33" s="50" t="s">
        <v>693</v>
      </c>
      <c r="N33" s="113">
        <f t="shared" ref="N33:N34" si="1">L33*K33*G33</f>
        <v>290.39999999999998</v>
      </c>
      <c r="O33" s="181"/>
      <c r="P33" s="181"/>
      <c r="Q33" s="114">
        <f>N33/$O$2</f>
        <v>2.6634871136384478E-2</v>
      </c>
      <c r="R33" s="58">
        <v>1</v>
      </c>
      <c r="S33" s="40" t="s">
        <v>807</v>
      </c>
      <c r="T33" s="14" t="s">
        <v>824</v>
      </c>
      <c r="U33" s="85"/>
      <c r="V33" s="85"/>
      <c r="W33" s="85"/>
      <c r="X33" s="85"/>
      <c r="Y33" s="85"/>
      <c r="Z33" s="85"/>
      <c r="AA33" s="85"/>
      <c r="AB33" s="85"/>
      <c r="AC33" s="85"/>
      <c r="AD33" s="85"/>
      <c r="AE33" s="85"/>
      <c r="AF33" s="85"/>
      <c r="AG33" s="85"/>
      <c r="AH33" s="85"/>
      <c r="AI33" s="85"/>
      <c r="AJ33" s="85"/>
      <c r="AK33" s="85"/>
      <c r="AL33" s="85"/>
      <c r="AM33" s="85"/>
      <c r="AN33" s="85"/>
    </row>
    <row r="34" spans="1:40" ht="14.25" customHeight="1" x14ac:dyDescent="0.2">
      <c r="A34" s="181"/>
      <c r="B34" s="219"/>
      <c r="C34" s="184" t="s">
        <v>827</v>
      </c>
      <c r="D34" s="179" t="s">
        <v>828</v>
      </c>
      <c r="E34" s="179" t="s">
        <v>92</v>
      </c>
      <c r="F34" s="179" t="s">
        <v>4</v>
      </c>
      <c r="G34" s="178">
        <v>11</v>
      </c>
      <c r="H34" s="181"/>
      <c r="I34" s="181"/>
      <c r="J34" s="175" t="s">
        <v>829</v>
      </c>
      <c r="K34" s="179">
        <v>10</v>
      </c>
      <c r="L34" s="178">
        <v>2.3340000000000001</v>
      </c>
      <c r="M34" s="179" t="s">
        <v>693</v>
      </c>
      <c r="N34" s="211">
        <f t="shared" si="1"/>
        <v>256.74</v>
      </c>
      <c r="O34" s="181"/>
      <c r="P34" s="181"/>
      <c r="Q34" s="214">
        <f>N34/O2</f>
        <v>2.3547647436485374E-2</v>
      </c>
      <c r="R34" s="177">
        <v>1</v>
      </c>
      <c r="S34" s="14" t="s">
        <v>181</v>
      </c>
      <c r="T34" s="14" t="s">
        <v>832</v>
      </c>
      <c r="U34" s="85"/>
      <c r="V34" s="85"/>
      <c r="W34" s="85"/>
      <c r="X34" s="85"/>
      <c r="Y34" s="85"/>
      <c r="Z34" s="85"/>
      <c r="AA34" s="85"/>
      <c r="AB34" s="85"/>
      <c r="AC34" s="85"/>
      <c r="AD34" s="85"/>
      <c r="AE34" s="85"/>
      <c r="AF34" s="85"/>
      <c r="AG34" s="85"/>
      <c r="AH34" s="85"/>
      <c r="AI34" s="85"/>
      <c r="AJ34" s="85"/>
      <c r="AK34" s="85"/>
      <c r="AL34" s="85"/>
      <c r="AM34" s="85"/>
      <c r="AN34" s="85"/>
    </row>
    <row r="35" spans="1:40" ht="14.25" customHeight="1" x14ac:dyDescent="0.2">
      <c r="A35" s="181"/>
      <c r="B35" s="220"/>
      <c r="C35" s="176"/>
      <c r="D35" s="176"/>
      <c r="E35" s="176"/>
      <c r="F35" s="176"/>
      <c r="G35" s="176"/>
      <c r="H35" s="176"/>
      <c r="I35" s="176"/>
      <c r="J35" s="176"/>
      <c r="K35" s="176"/>
      <c r="L35" s="176"/>
      <c r="M35" s="176"/>
      <c r="N35" s="213"/>
      <c r="O35" s="181"/>
      <c r="P35" s="181"/>
      <c r="Q35" s="216"/>
      <c r="R35" s="176"/>
      <c r="S35" s="14" t="s">
        <v>837</v>
      </c>
      <c r="T35" s="14" t="s">
        <v>838</v>
      </c>
      <c r="U35" s="85"/>
      <c r="V35" s="85"/>
      <c r="W35" s="85"/>
      <c r="X35" s="85"/>
      <c r="Y35" s="85"/>
      <c r="Z35" s="85"/>
      <c r="AA35" s="85"/>
      <c r="AB35" s="85"/>
      <c r="AC35" s="85"/>
      <c r="AD35" s="85"/>
      <c r="AE35" s="85"/>
      <c r="AF35" s="85"/>
      <c r="AG35" s="85"/>
      <c r="AH35" s="85"/>
      <c r="AI35" s="85"/>
      <c r="AJ35" s="85"/>
      <c r="AK35" s="85"/>
      <c r="AL35" s="85"/>
      <c r="AM35" s="85"/>
      <c r="AN35" s="85"/>
    </row>
    <row r="36" spans="1:40" ht="15" customHeight="1" x14ac:dyDescent="0.2">
      <c r="A36" s="181"/>
      <c r="B36" s="218" t="s">
        <v>251</v>
      </c>
      <c r="C36" s="184" t="s">
        <v>841</v>
      </c>
      <c r="D36" s="179" t="s">
        <v>6</v>
      </c>
      <c r="E36" s="179" t="s">
        <v>712</v>
      </c>
      <c r="F36" s="179" t="s">
        <v>712</v>
      </c>
      <c r="G36" s="182">
        <v>1</v>
      </c>
      <c r="H36" s="182">
        <v>4500</v>
      </c>
      <c r="I36" s="183" t="s">
        <v>166</v>
      </c>
      <c r="J36" s="175">
        <v>8.3333333333333329E-2</v>
      </c>
      <c r="K36" s="179" t="s">
        <v>27</v>
      </c>
      <c r="L36" s="178">
        <v>11</v>
      </c>
      <c r="M36" s="179" t="s">
        <v>851</v>
      </c>
      <c r="N36" s="211">
        <f>L36*H36</f>
        <v>49500</v>
      </c>
      <c r="O36" s="181"/>
      <c r="P36" s="181"/>
      <c r="Q36" s="217">
        <f>N36/$O$2</f>
        <v>4.5400348527928092</v>
      </c>
      <c r="R36" s="177">
        <v>5</v>
      </c>
      <c r="S36" s="14" t="s">
        <v>716</v>
      </c>
      <c r="T36" s="85" t="s">
        <v>717</v>
      </c>
      <c r="U36" s="61"/>
      <c r="V36" s="61"/>
      <c r="W36" s="61"/>
      <c r="X36" s="61"/>
      <c r="Y36" s="61"/>
      <c r="Z36" s="61"/>
      <c r="AA36" s="61"/>
      <c r="AB36" s="61"/>
      <c r="AC36" s="61"/>
      <c r="AD36" s="61"/>
      <c r="AE36" s="61"/>
      <c r="AF36" s="61"/>
      <c r="AG36" s="61"/>
      <c r="AH36" s="61"/>
      <c r="AI36" s="61"/>
      <c r="AJ36" s="61"/>
      <c r="AK36" s="61"/>
      <c r="AL36" s="61"/>
      <c r="AM36" s="85"/>
      <c r="AN36" s="85"/>
    </row>
    <row r="37" spans="1:40" ht="15" customHeight="1" x14ac:dyDescent="0.2">
      <c r="A37" s="181"/>
      <c r="B37" s="219"/>
      <c r="C37" s="181"/>
      <c r="D37" s="176"/>
      <c r="E37" s="176"/>
      <c r="F37" s="176"/>
      <c r="G37" s="181"/>
      <c r="H37" s="181"/>
      <c r="I37" s="181"/>
      <c r="J37" s="176"/>
      <c r="K37" s="176"/>
      <c r="L37" s="176"/>
      <c r="M37" s="176"/>
      <c r="N37" s="213"/>
      <c r="O37" s="181"/>
      <c r="P37" s="181"/>
      <c r="Q37" s="216"/>
      <c r="R37" s="176"/>
      <c r="S37" s="14" t="s">
        <v>718</v>
      </c>
      <c r="T37" s="208" t="s">
        <v>720</v>
      </c>
      <c r="U37" s="172"/>
      <c r="V37" s="172"/>
      <c r="W37" s="172"/>
      <c r="X37" s="172"/>
      <c r="Y37" s="172"/>
      <c r="Z37" s="172"/>
      <c r="AA37" s="172"/>
      <c r="AB37" s="172"/>
      <c r="AC37" s="173"/>
      <c r="AD37" s="61"/>
      <c r="AE37" s="61"/>
      <c r="AF37" s="61"/>
      <c r="AG37" s="61"/>
      <c r="AH37" s="61"/>
      <c r="AI37" s="61"/>
      <c r="AJ37" s="61"/>
      <c r="AK37" s="61"/>
      <c r="AL37" s="61"/>
      <c r="AM37" s="85"/>
      <c r="AN37" s="85"/>
    </row>
    <row r="38" spans="1:40" ht="15" customHeight="1" x14ac:dyDescent="0.2">
      <c r="A38" s="181"/>
      <c r="B38" s="219"/>
      <c r="C38" s="181"/>
      <c r="D38" s="50" t="s">
        <v>872</v>
      </c>
      <c r="E38" s="50" t="s">
        <v>279</v>
      </c>
      <c r="F38" s="50" t="s">
        <v>644</v>
      </c>
      <c r="G38" s="181"/>
      <c r="H38" s="181"/>
      <c r="I38" s="181"/>
      <c r="J38" s="51" t="s">
        <v>27</v>
      </c>
      <c r="K38" s="50" t="s">
        <v>27</v>
      </c>
      <c r="L38" s="53">
        <v>0.15</v>
      </c>
      <c r="M38" s="14" t="s">
        <v>874</v>
      </c>
      <c r="N38" s="113">
        <f>L38*H36</f>
        <v>675</v>
      </c>
      <c r="O38" s="181"/>
      <c r="P38" s="181"/>
      <c r="Q38" s="121">
        <f t="shared" ref="Q38:Q39" si="2">N38/$O$2</f>
        <v>6.19095661744474E-2</v>
      </c>
      <c r="R38" s="58">
        <v>3</v>
      </c>
      <c r="S38" s="14" t="s">
        <v>283</v>
      </c>
      <c r="T38" s="85" t="s">
        <v>284</v>
      </c>
      <c r="U38" s="61"/>
      <c r="V38" s="61"/>
      <c r="W38" s="61"/>
      <c r="X38" s="61"/>
      <c r="Y38" s="61"/>
      <c r="Z38" s="61"/>
      <c r="AA38" s="61"/>
      <c r="AB38" s="61"/>
      <c r="AC38" s="61"/>
      <c r="AD38" s="61"/>
      <c r="AE38" s="61"/>
      <c r="AF38" s="61"/>
      <c r="AG38" s="61"/>
      <c r="AH38" s="61"/>
      <c r="AI38" s="61"/>
      <c r="AJ38" s="61"/>
      <c r="AK38" s="61"/>
      <c r="AL38" s="61"/>
      <c r="AM38" s="85"/>
      <c r="AN38" s="85"/>
    </row>
    <row r="39" spans="1:40" ht="15" customHeight="1" x14ac:dyDescent="0.2">
      <c r="A39" s="181"/>
      <c r="B39" s="219"/>
      <c r="C39" s="181"/>
      <c r="D39" s="179" t="s">
        <v>293</v>
      </c>
      <c r="E39" s="179" t="s">
        <v>294</v>
      </c>
      <c r="F39" s="179" t="s">
        <v>12</v>
      </c>
      <c r="G39" s="181"/>
      <c r="H39" s="181"/>
      <c r="I39" s="181"/>
      <c r="J39" s="175">
        <v>4.1666666666666664E-2</v>
      </c>
      <c r="K39" s="179" t="s">
        <v>27</v>
      </c>
      <c r="L39" s="178">
        <v>1.9</v>
      </c>
      <c r="M39" s="179" t="s">
        <v>885</v>
      </c>
      <c r="N39" s="211">
        <f>L39*H36</f>
        <v>8550</v>
      </c>
      <c r="O39" s="181"/>
      <c r="P39" s="181"/>
      <c r="Q39" s="217">
        <f t="shared" si="2"/>
        <v>0.78418783820966709</v>
      </c>
      <c r="R39" s="177">
        <v>3</v>
      </c>
      <c r="S39" s="14" t="s">
        <v>731</v>
      </c>
      <c r="T39" s="85" t="s">
        <v>732</v>
      </c>
      <c r="U39" s="85"/>
      <c r="V39" s="85"/>
      <c r="W39" s="85"/>
      <c r="X39" s="85"/>
      <c r="Y39" s="85"/>
      <c r="Z39" s="85"/>
      <c r="AA39" s="85"/>
      <c r="AB39" s="85"/>
      <c r="AC39" s="85"/>
      <c r="AD39" s="61"/>
      <c r="AE39" s="61"/>
      <c r="AF39" s="61"/>
      <c r="AG39" s="61"/>
      <c r="AH39" s="61"/>
      <c r="AI39" s="61"/>
      <c r="AJ39" s="61"/>
      <c r="AK39" s="61"/>
      <c r="AL39" s="61"/>
      <c r="AM39" s="85"/>
      <c r="AN39" s="85"/>
    </row>
    <row r="40" spans="1:40" ht="15" customHeight="1" x14ac:dyDescent="0.2">
      <c r="A40" s="181"/>
      <c r="B40" s="219"/>
      <c r="C40" s="181"/>
      <c r="D40" s="181"/>
      <c r="E40" s="181"/>
      <c r="F40" s="181"/>
      <c r="G40" s="181"/>
      <c r="H40" s="181"/>
      <c r="I40" s="181"/>
      <c r="J40" s="181"/>
      <c r="K40" s="181"/>
      <c r="L40" s="181"/>
      <c r="M40" s="181"/>
      <c r="N40" s="212"/>
      <c r="O40" s="181"/>
      <c r="P40" s="181"/>
      <c r="Q40" s="215"/>
      <c r="R40" s="181"/>
      <c r="S40" s="14" t="s">
        <v>734</v>
      </c>
      <c r="T40" s="85" t="s">
        <v>735</v>
      </c>
      <c r="U40" s="85"/>
      <c r="V40" s="85"/>
      <c r="W40" s="85"/>
      <c r="X40" s="85"/>
      <c r="Y40" s="85"/>
      <c r="Z40" s="85"/>
      <c r="AA40" s="85"/>
      <c r="AB40" s="85"/>
      <c r="AC40" s="85"/>
      <c r="AD40" s="61"/>
      <c r="AE40" s="61"/>
      <c r="AF40" s="61"/>
      <c r="AG40" s="61"/>
      <c r="AH40" s="61"/>
      <c r="AI40" s="61"/>
      <c r="AJ40" s="61"/>
      <c r="AK40" s="61"/>
      <c r="AL40" s="61"/>
      <c r="AM40" s="85"/>
      <c r="AN40" s="85"/>
    </row>
    <row r="41" spans="1:40" ht="15" customHeight="1" x14ac:dyDescent="0.2">
      <c r="A41" s="181"/>
      <c r="B41" s="220"/>
      <c r="C41" s="176"/>
      <c r="D41" s="176"/>
      <c r="E41" s="176"/>
      <c r="F41" s="176"/>
      <c r="G41" s="176"/>
      <c r="H41" s="176"/>
      <c r="I41" s="176"/>
      <c r="J41" s="176"/>
      <c r="K41" s="176"/>
      <c r="L41" s="176"/>
      <c r="M41" s="176"/>
      <c r="N41" s="213"/>
      <c r="O41" s="181"/>
      <c r="P41" s="181"/>
      <c r="Q41" s="216"/>
      <c r="R41" s="176"/>
      <c r="S41" s="14" t="s">
        <v>181</v>
      </c>
      <c r="T41" s="85" t="s">
        <v>739</v>
      </c>
      <c r="U41" s="61"/>
      <c r="V41" s="61"/>
      <c r="W41" s="61"/>
      <c r="X41" s="61"/>
      <c r="Y41" s="61"/>
      <c r="Z41" s="61"/>
      <c r="AA41" s="61"/>
      <c r="AB41" s="61"/>
      <c r="AC41" s="61"/>
      <c r="AD41" s="61"/>
      <c r="AE41" s="61"/>
      <c r="AF41" s="61"/>
      <c r="AG41" s="61"/>
      <c r="AH41" s="61"/>
      <c r="AI41" s="61"/>
      <c r="AJ41" s="61"/>
      <c r="AK41" s="61"/>
      <c r="AL41" s="61"/>
      <c r="AM41" s="85"/>
      <c r="AN41" s="85"/>
    </row>
    <row r="42" spans="1:40" ht="51.75" customHeight="1" x14ac:dyDescent="0.2">
      <c r="A42" s="181"/>
      <c r="B42" s="126" t="s">
        <v>463</v>
      </c>
      <c r="C42" s="127" t="s">
        <v>899</v>
      </c>
      <c r="D42" s="34" t="s">
        <v>900</v>
      </c>
      <c r="E42" s="34" t="s">
        <v>27</v>
      </c>
      <c r="F42" s="34" t="s">
        <v>27</v>
      </c>
      <c r="G42" s="95">
        <v>2</v>
      </c>
      <c r="H42" s="35">
        <v>21</v>
      </c>
      <c r="I42" s="34" t="s">
        <v>166</v>
      </c>
      <c r="J42" s="36" t="s">
        <v>27</v>
      </c>
      <c r="K42" s="34" t="s">
        <v>27</v>
      </c>
      <c r="L42" s="52" t="s">
        <v>27</v>
      </c>
      <c r="M42" s="34" t="s">
        <v>304</v>
      </c>
      <c r="N42" s="109">
        <f t="shared" ref="N42:N43" si="3">H42*G42</f>
        <v>42</v>
      </c>
      <c r="O42" s="181"/>
      <c r="P42" s="181"/>
      <c r="Q42" s="104">
        <f t="shared" ref="Q42:Q44" si="4">N42/$O$2</f>
        <v>3.8521507841878383E-3</v>
      </c>
      <c r="R42" s="37">
        <v>4</v>
      </c>
      <c r="S42" s="40" t="s">
        <v>903</v>
      </c>
      <c r="T42" s="85" t="s">
        <v>905</v>
      </c>
      <c r="U42" s="85"/>
      <c r="V42" s="85"/>
      <c r="W42" s="85"/>
      <c r="X42" s="85"/>
      <c r="Y42" s="85"/>
      <c r="Z42" s="85"/>
      <c r="AA42" s="85"/>
      <c r="AB42" s="85"/>
      <c r="AC42" s="85"/>
      <c r="AD42" s="85"/>
      <c r="AE42" s="85"/>
      <c r="AF42" s="85"/>
      <c r="AG42" s="85"/>
      <c r="AH42" s="85"/>
      <c r="AI42" s="85"/>
      <c r="AJ42" s="85"/>
      <c r="AK42" s="85"/>
      <c r="AL42" s="85"/>
      <c r="AM42" s="85"/>
      <c r="AN42" s="85"/>
    </row>
    <row r="43" spans="1:40" ht="14.25" customHeight="1" x14ac:dyDescent="0.2">
      <c r="A43" s="181"/>
      <c r="B43" s="130" t="s">
        <v>463</v>
      </c>
      <c r="C43" s="68" t="s">
        <v>300</v>
      </c>
      <c r="D43" s="50" t="s">
        <v>301</v>
      </c>
      <c r="E43" s="50" t="s">
        <v>27</v>
      </c>
      <c r="F43" s="50" t="s">
        <v>27</v>
      </c>
      <c r="G43" s="70">
        <v>21</v>
      </c>
      <c r="H43" s="59">
        <v>21</v>
      </c>
      <c r="I43" s="53" t="s">
        <v>166</v>
      </c>
      <c r="J43" s="51" t="s">
        <v>27</v>
      </c>
      <c r="K43" s="53" t="s">
        <v>27</v>
      </c>
      <c r="L43" s="53" t="s">
        <v>27</v>
      </c>
      <c r="M43" s="50" t="s">
        <v>304</v>
      </c>
      <c r="N43" s="131">
        <f t="shared" si="3"/>
        <v>441</v>
      </c>
      <c r="O43" s="181"/>
      <c r="P43" s="181"/>
      <c r="Q43" s="114">
        <f t="shared" si="4"/>
        <v>4.0447583233972302E-2</v>
      </c>
      <c r="R43" s="58">
        <v>4</v>
      </c>
      <c r="S43" s="14" t="s">
        <v>305</v>
      </c>
      <c r="T43" s="85" t="s">
        <v>306</v>
      </c>
      <c r="U43" s="85"/>
      <c r="V43" s="85"/>
      <c r="W43" s="85"/>
      <c r="X43" s="85"/>
      <c r="Y43" s="85"/>
      <c r="Z43" s="85"/>
      <c r="AA43" s="85"/>
      <c r="AB43" s="85"/>
      <c r="AC43" s="85"/>
      <c r="AD43" s="85"/>
      <c r="AE43" s="85"/>
      <c r="AF43" s="85"/>
      <c r="AG43" s="85"/>
      <c r="AH43" s="85"/>
      <c r="AI43" s="85"/>
      <c r="AJ43" s="85"/>
      <c r="AK43" s="85"/>
      <c r="AL43" s="85"/>
      <c r="AM43" s="85"/>
      <c r="AN43" s="85"/>
    </row>
    <row r="44" spans="1:40" ht="14.25" customHeight="1" x14ac:dyDescent="0.2">
      <c r="A44" s="181"/>
      <c r="B44" s="218" t="s">
        <v>417</v>
      </c>
      <c r="C44" s="183" t="s">
        <v>662</v>
      </c>
      <c r="D44" s="179" t="s">
        <v>663</v>
      </c>
      <c r="E44" s="179" t="s">
        <v>13</v>
      </c>
      <c r="F44" s="179" t="s">
        <v>13</v>
      </c>
      <c r="G44" s="182">
        <v>21</v>
      </c>
      <c r="H44" s="178">
        <v>25</v>
      </c>
      <c r="I44" s="179" t="s">
        <v>166</v>
      </c>
      <c r="J44" s="175" t="s">
        <v>27</v>
      </c>
      <c r="K44" s="179" t="s">
        <v>27</v>
      </c>
      <c r="L44" s="178">
        <v>1</v>
      </c>
      <c r="M44" s="179" t="s">
        <v>422</v>
      </c>
      <c r="N44" s="211">
        <f>L44*G44*H44</f>
        <v>525</v>
      </c>
      <c r="O44" s="181"/>
      <c r="P44" s="181"/>
      <c r="Q44" s="214">
        <f t="shared" si="4"/>
        <v>4.8151884802347979E-2</v>
      </c>
      <c r="R44" s="177">
        <v>2</v>
      </c>
      <c r="S44" s="14" t="s">
        <v>623</v>
      </c>
      <c r="T44" s="85" t="s">
        <v>913</v>
      </c>
      <c r="U44" s="85"/>
      <c r="V44" s="85"/>
      <c r="W44" s="85"/>
      <c r="X44" s="85"/>
      <c r="Y44" s="85"/>
      <c r="Z44" s="85"/>
      <c r="AA44" s="85"/>
      <c r="AB44" s="85"/>
      <c r="AC44" s="85"/>
      <c r="AD44" s="85"/>
      <c r="AE44" s="85"/>
      <c r="AF44" s="85"/>
      <c r="AG44" s="85"/>
      <c r="AH44" s="85"/>
      <c r="AI44" s="85"/>
      <c r="AJ44" s="85"/>
      <c r="AK44" s="85"/>
      <c r="AL44" s="85"/>
      <c r="AM44" s="85"/>
      <c r="AN44" s="85"/>
    </row>
    <row r="45" spans="1:40" ht="14.25" customHeight="1" x14ac:dyDescent="0.2">
      <c r="A45" s="181"/>
      <c r="B45" s="219"/>
      <c r="C45" s="181"/>
      <c r="D45" s="181"/>
      <c r="E45" s="181"/>
      <c r="F45" s="181"/>
      <c r="G45" s="181"/>
      <c r="H45" s="181"/>
      <c r="I45" s="181"/>
      <c r="J45" s="181"/>
      <c r="K45" s="181"/>
      <c r="L45" s="181"/>
      <c r="M45" s="181"/>
      <c r="N45" s="212"/>
      <c r="O45" s="181"/>
      <c r="P45" s="181"/>
      <c r="Q45" s="215"/>
      <c r="R45" s="181"/>
      <c r="S45" s="40" t="s">
        <v>667</v>
      </c>
      <c r="T45" s="85" t="s">
        <v>668</v>
      </c>
      <c r="U45" s="85"/>
      <c r="V45" s="85"/>
      <c r="W45" s="85"/>
      <c r="X45" s="85"/>
      <c r="Y45" s="85"/>
      <c r="Z45" s="85"/>
      <c r="AA45" s="85"/>
      <c r="AB45" s="85"/>
      <c r="AC45" s="85"/>
      <c r="AD45" s="85"/>
      <c r="AE45" s="85"/>
      <c r="AF45" s="85"/>
      <c r="AG45" s="85"/>
      <c r="AH45" s="85"/>
      <c r="AI45" s="85"/>
      <c r="AJ45" s="85"/>
      <c r="AK45" s="85"/>
      <c r="AL45" s="85"/>
      <c r="AM45" s="85"/>
      <c r="AN45" s="85"/>
    </row>
    <row r="46" spans="1:40" ht="14.25" customHeight="1" x14ac:dyDescent="0.2">
      <c r="A46" s="181"/>
      <c r="B46" s="219"/>
      <c r="C46" s="181"/>
      <c r="D46" s="181"/>
      <c r="E46" s="181"/>
      <c r="F46" s="181"/>
      <c r="G46" s="181"/>
      <c r="H46" s="181"/>
      <c r="I46" s="181"/>
      <c r="J46" s="181"/>
      <c r="K46" s="181"/>
      <c r="L46" s="181"/>
      <c r="M46" s="181"/>
      <c r="N46" s="212"/>
      <c r="O46" s="181"/>
      <c r="P46" s="181"/>
      <c r="Q46" s="215"/>
      <c r="R46" s="181"/>
      <c r="S46" s="14" t="s">
        <v>669</v>
      </c>
      <c r="T46" s="85" t="s">
        <v>670</v>
      </c>
      <c r="U46" s="85"/>
      <c r="V46" s="85"/>
      <c r="W46" s="85"/>
      <c r="X46" s="85"/>
      <c r="Y46" s="85"/>
      <c r="Z46" s="85"/>
      <c r="AA46" s="85"/>
      <c r="AB46" s="85"/>
      <c r="AC46" s="85"/>
      <c r="AD46" s="85"/>
      <c r="AE46" s="85"/>
      <c r="AF46" s="85"/>
      <c r="AG46" s="85"/>
      <c r="AH46" s="85"/>
      <c r="AI46" s="85"/>
      <c r="AJ46" s="85"/>
      <c r="AK46" s="85"/>
      <c r="AL46" s="85"/>
      <c r="AM46" s="85"/>
      <c r="AN46" s="85"/>
    </row>
    <row r="47" spans="1:40" ht="14.25" customHeight="1" x14ac:dyDescent="0.2">
      <c r="A47" s="181"/>
      <c r="B47" s="219"/>
      <c r="C47" s="181"/>
      <c r="D47" s="176"/>
      <c r="E47" s="176"/>
      <c r="F47" s="176"/>
      <c r="G47" s="181"/>
      <c r="H47" s="176"/>
      <c r="I47" s="176"/>
      <c r="J47" s="176"/>
      <c r="K47" s="176"/>
      <c r="L47" s="176"/>
      <c r="M47" s="176"/>
      <c r="N47" s="213"/>
      <c r="O47" s="181"/>
      <c r="P47" s="181"/>
      <c r="Q47" s="216"/>
      <c r="R47" s="176"/>
      <c r="S47" s="14" t="s">
        <v>671</v>
      </c>
      <c r="T47" s="85" t="s">
        <v>672</v>
      </c>
      <c r="U47" s="85"/>
      <c r="V47" s="85"/>
      <c r="W47" s="85"/>
      <c r="X47" s="85"/>
      <c r="Y47" s="85"/>
      <c r="Z47" s="85"/>
      <c r="AA47" s="85"/>
      <c r="AB47" s="85"/>
      <c r="AC47" s="85"/>
      <c r="AD47" s="85"/>
      <c r="AE47" s="85"/>
      <c r="AF47" s="85"/>
      <c r="AG47" s="85"/>
      <c r="AH47" s="85"/>
      <c r="AI47" s="85"/>
      <c r="AJ47" s="85"/>
      <c r="AK47" s="85"/>
      <c r="AL47" s="85"/>
      <c r="AM47" s="85"/>
      <c r="AN47" s="85"/>
    </row>
    <row r="48" spans="1:40" ht="14.25" customHeight="1" x14ac:dyDescent="0.2">
      <c r="A48" s="181"/>
      <c r="B48" s="219"/>
      <c r="C48" s="181"/>
      <c r="D48" s="179" t="s">
        <v>433</v>
      </c>
      <c r="E48" s="179" t="s">
        <v>434</v>
      </c>
      <c r="F48" s="179" t="s">
        <v>435</v>
      </c>
      <c r="G48" s="181"/>
      <c r="H48" s="178">
        <v>25</v>
      </c>
      <c r="I48" s="179" t="s">
        <v>166</v>
      </c>
      <c r="J48" s="175">
        <v>2.0833333333333332E-2</v>
      </c>
      <c r="K48" s="193" t="s">
        <v>27</v>
      </c>
      <c r="L48" s="194">
        <v>158</v>
      </c>
      <c r="M48" s="193" t="s">
        <v>921</v>
      </c>
      <c r="N48" s="211">
        <f>L48*J48*H48*G44*2</f>
        <v>3456.2499999999995</v>
      </c>
      <c r="O48" s="181"/>
      <c r="P48" s="181"/>
      <c r="Q48" s="214">
        <f>N48/$O$2</f>
        <v>0.31699990828212415</v>
      </c>
      <c r="R48" s="177">
        <v>2</v>
      </c>
      <c r="S48" s="14" t="s">
        <v>623</v>
      </c>
      <c r="T48" s="85" t="s">
        <v>922</v>
      </c>
      <c r="U48" s="85"/>
      <c r="V48" s="85"/>
      <c r="W48" s="85"/>
      <c r="X48" s="85"/>
      <c r="Y48" s="85"/>
      <c r="Z48" s="85"/>
      <c r="AA48" s="85"/>
      <c r="AB48" s="85"/>
      <c r="AC48" s="85"/>
      <c r="AD48" s="85"/>
      <c r="AE48" s="85"/>
      <c r="AF48" s="85"/>
      <c r="AG48" s="85"/>
      <c r="AH48" s="85"/>
      <c r="AI48" s="85"/>
      <c r="AJ48" s="85"/>
      <c r="AK48" s="85"/>
      <c r="AL48" s="85"/>
      <c r="AM48" s="85"/>
      <c r="AN48" s="85"/>
    </row>
    <row r="49" spans="1:40" ht="14.25" customHeight="1" x14ac:dyDescent="0.2">
      <c r="A49" s="181"/>
      <c r="B49" s="219"/>
      <c r="C49" s="181"/>
      <c r="D49" s="181"/>
      <c r="E49" s="181"/>
      <c r="F49" s="181"/>
      <c r="G49" s="181"/>
      <c r="H49" s="181"/>
      <c r="I49" s="181"/>
      <c r="J49" s="181"/>
      <c r="K49" s="181"/>
      <c r="L49" s="181"/>
      <c r="M49" s="181"/>
      <c r="N49" s="212"/>
      <c r="O49" s="181"/>
      <c r="P49" s="181"/>
      <c r="Q49" s="215"/>
      <c r="R49" s="181"/>
      <c r="S49" s="14" t="s">
        <v>443</v>
      </c>
      <c r="T49" s="85" t="s">
        <v>444</v>
      </c>
      <c r="U49" s="85"/>
      <c r="V49" s="85"/>
      <c r="W49" s="85"/>
      <c r="X49" s="85"/>
      <c r="Y49" s="85"/>
      <c r="Z49" s="85"/>
      <c r="AA49" s="85"/>
      <c r="AB49" s="85"/>
      <c r="AC49" s="85"/>
      <c r="AD49" s="85"/>
      <c r="AE49" s="85"/>
      <c r="AF49" s="85"/>
      <c r="AG49" s="85"/>
      <c r="AH49" s="85"/>
      <c r="AI49" s="85"/>
      <c r="AJ49" s="85"/>
      <c r="AK49" s="85"/>
      <c r="AL49" s="85"/>
      <c r="AM49" s="85"/>
      <c r="AN49" s="85"/>
    </row>
    <row r="50" spans="1:40" ht="14.25" customHeight="1" x14ac:dyDescent="0.2">
      <c r="A50" s="181"/>
      <c r="B50" s="219"/>
      <c r="C50" s="181"/>
      <c r="D50" s="181"/>
      <c r="E50" s="181"/>
      <c r="F50" s="181"/>
      <c r="G50" s="181"/>
      <c r="H50" s="181"/>
      <c r="I50" s="181"/>
      <c r="J50" s="181"/>
      <c r="K50" s="181"/>
      <c r="L50" s="181"/>
      <c r="M50" s="181"/>
      <c r="N50" s="212"/>
      <c r="O50" s="181"/>
      <c r="P50" s="181"/>
      <c r="Q50" s="215"/>
      <c r="R50" s="181"/>
      <c r="S50" s="14" t="s">
        <v>451</v>
      </c>
      <c r="T50" s="85" t="s">
        <v>452</v>
      </c>
      <c r="U50" s="85"/>
      <c r="V50" s="85"/>
      <c r="W50" s="85"/>
      <c r="X50" s="85"/>
      <c r="Y50" s="85"/>
      <c r="Z50" s="85"/>
      <c r="AA50" s="85"/>
      <c r="AB50" s="85"/>
      <c r="AC50" s="85"/>
      <c r="AD50" s="85"/>
      <c r="AE50" s="85"/>
      <c r="AF50" s="85"/>
      <c r="AG50" s="85"/>
      <c r="AH50" s="85"/>
      <c r="AI50" s="85"/>
      <c r="AJ50" s="85"/>
      <c r="AK50" s="85"/>
      <c r="AL50" s="85"/>
      <c r="AM50" s="85"/>
      <c r="AN50" s="85"/>
    </row>
    <row r="51" spans="1:40" ht="14.25" customHeight="1" x14ac:dyDescent="0.2">
      <c r="A51" s="181"/>
      <c r="B51" s="219"/>
      <c r="C51" s="181"/>
      <c r="D51" s="176"/>
      <c r="E51" s="176"/>
      <c r="F51" s="176"/>
      <c r="G51" s="181"/>
      <c r="H51" s="181"/>
      <c r="I51" s="181"/>
      <c r="J51" s="176"/>
      <c r="K51" s="176"/>
      <c r="L51" s="176"/>
      <c r="M51" s="176"/>
      <c r="N51" s="213"/>
      <c r="O51" s="181"/>
      <c r="P51" s="181"/>
      <c r="Q51" s="216"/>
      <c r="R51" s="176"/>
      <c r="S51" s="40" t="s">
        <v>447</v>
      </c>
      <c r="T51" s="85" t="s">
        <v>449</v>
      </c>
      <c r="U51" s="85"/>
      <c r="V51" s="85"/>
      <c r="W51" s="85"/>
      <c r="X51" s="85"/>
      <c r="Y51" s="85"/>
      <c r="Z51" s="85"/>
      <c r="AA51" s="85"/>
      <c r="AB51" s="85"/>
      <c r="AC51" s="85"/>
      <c r="AD51" s="85"/>
      <c r="AE51" s="85"/>
      <c r="AF51" s="85"/>
      <c r="AG51" s="85"/>
      <c r="AH51" s="85"/>
      <c r="AI51" s="85"/>
      <c r="AJ51" s="85"/>
      <c r="AK51" s="85"/>
      <c r="AL51" s="85"/>
      <c r="AM51" s="85"/>
      <c r="AN51" s="85"/>
    </row>
    <row r="52" spans="1:40" ht="17.25" customHeight="1" x14ac:dyDescent="0.2">
      <c r="A52" s="181"/>
      <c r="B52" s="219"/>
      <c r="C52" s="181"/>
      <c r="D52" s="179" t="s">
        <v>677</v>
      </c>
      <c r="E52" s="179" t="s">
        <v>287</v>
      </c>
      <c r="F52" s="179" t="s">
        <v>19</v>
      </c>
      <c r="G52" s="181"/>
      <c r="H52" s="181"/>
      <c r="I52" s="181"/>
      <c r="J52" s="175">
        <v>2.5000000000000001E-3</v>
      </c>
      <c r="K52" s="179" t="s">
        <v>27</v>
      </c>
      <c r="L52" s="178">
        <v>0.17</v>
      </c>
      <c r="M52" s="179" t="s">
        <v>942</v>
      </c>
      <c r="N52" s="221">
        <f>L52*H48*G44*2</f>
        <v>178.5</v>
      </c>
      <c r="O52" s="181"/>
      <c r="P52" s="181"/>
      <c r="Q52" s="214">
        <f>N52/$O$2</f>
        <v>1.6371640832798313E-2</v>
      </c>
      <c r="R52" s="177">
        <v>2</v>
      </c>
      <c r="S52" s="14" t="s">
        <v>451</v>
      </c>
      <c r="T52" s="85" t="s">
        <v>452</v>
      </c>
      <c r="U52" s="85"/>
      <c r="V52" s="85"/>
      <c r="W52" s="85"/>
      <c r="X52" s="85"/>
      <c r="Y52" s="85"/>
      <c r="Z52" s="85"/>
      <c r="AA52" s="85"/>
      <c r="AB52" s="85"/>
      <c r="AC52" s="85"/>
      <c r="AD52" s="85"/>
      <c r="AE52" s="85"/>
      <c r="AF52" s="85"/>
      <c r="AG52" s="85"/>
      <c r="AH52" s="85"/>
      <c r="AI52" s="85"/>
      <c r="AJ52" s="85"/>
      <c r="AK52" s="85"/>
      <c r="AL52" s="85"/>
      <c r="AM52" s="85"/>
      <c r="AN52" s="85"/>
    </row>
    <row r="53" spans="1:40" ht="14.25" customHeight="1" x14ac:dyDescent="0.2">
      <c r="A53" s="181"/>
      <c r="B53" s="220"/>
      <c r="C53" s="176"/>
      <c r="D53" s="176"/>
      <c r="E53" s="176"/>
      <c r="F53" s="176"/>
      <c r="G53" s="176"/>
      <c r="H53" s="176"/>
      <c r="I53" s="176"/>
      <c r="J53" s="176"/>
      <c r="K53" s="176"/>
      <c r="L53" s="176"/>
      <c r="M53" s="176"/>
      <c r="N53" s="213"/>
      <c r="O53" s="181"/>
      <c r="P53" s="181"/>
      <c r="Q53" s="216"/>
      <c r="R53" s="176"/>
      <c r="S53" s="40" t="s">
        <v>460</v>
      </c>
      <c r="T53" s="85" t="s">
        <v>461</v>
      </c>
      <c r="U53" s="85"/>
      <c r="V53" s="85"/>
      <c r="W53" s="85"/>
      <c r="X53" s="85"/>
      <c r="Y53" s="85"/>
      <c r="Z53" s="85"/>
      <c r="AA53" s="85"/>
      <c r="AB53" s="85"/>
      <c r="AC53" s="85"/>
      <c r="AD53" s="85"/>
      <c r="AE53" s="85"/>
      <c r="AF53" s="85"/>
      <c r="AG53" s="85"/>
      <c r="AH53" s="85"/>
      <c r="AI53" s="85"/>
      <c r="AJ53" s="85"/>
      <c r="AK53" s="85"/>
      <c r="AL53" s="85"/>
      <c r="AM53" s="85"/>
      <c r="AN53" s="85"/>
    </row>
    <row r="54" spans="1:40" ht="14.25" customHeight="1" x14ac:dyDescent="0.2">
      <c r="A54" s="181"/>
      <c r="B54" s="218" t="s">
        <v>959</v>
      </c>
      <c r="C54" s="183" t="s">
        <v>961</v>
      </c>
      <c r="D54" s="179" t="s">
        <v>962</v>
      </c>
      <c r="E54" s="179" t="s">
        <v>434</v>
      </c>
      <c r="F54" s="179" t="s">
        <v>18</v>
      </c>
      <c r="G54" s="178">
        <v>2</v>
      </c>
      <c r="H54" s="182">
        <v>200</v>
      </c>
      <c r="I54" s="183" t="s">
        <v>166</v>
      </c>
      <c r="J54" s="175">
        <v>2.0833333333333332E-2</v>
      </c>
      <c r="K54" s="179" t="s">
        <v>27</v>
      </c>
      <c r="L54" s="178">
        <v>158</v>
      </c>
      <c r="M54" s="179" t="s">
        <v>956</v>
      </c>
      <c r="N54" s="211">
        <f>L54*J54*H54*G54</f>
        <v>1316.6666666666665</v>
      </c>
      <c r="O54" s="181"/>
      <c r="P54" s="181"/>
      <c r="Q54" s="214">
        <f>N54/$O$2</f>
        <v>0.12076186982176158</v>
      </c>
      <c r="R54" s="177">
        <v>5</v>
      </c>
      <c r="S54" s="14" t="s">
        <v>970</v>
      </c>
      <c r="T54" s="132" t="s">
        <v>971</v>
      </c>
      <c r="U54" s="85"/>
      <c r="V54" s="85"/>
      <c r="W54" s="85"/>
      <c r="X54" s="85"/>
      <c r="Y54" s="85"/>
      <c r="Z54" s="85"/>
      <c r="AA54" s="85"/>
      <c r="AB54" s="85"/>
      <c r="AC54" s="85"/>
      <c r="AD54" s="85"/>
      <c r="AE54" s="85"/>
      <c r="AF54" s="85"/>
      <c r="AG54" s="85"/>
      <c r="AH54" s="85"/>
      <c r="AI54" s="85"/>
      <c r="AJ54" s="85"/>
      <c r="AK54" s="85"/>
      <c r="AL54" s="85"/>
      <c r="AM54" s="85"/>
      <c r="AN54" s="85"/>
    </row>
    <row r="55" spans="1:40" ht="14.25" customHeight="1" x14ac:dyDescent="0.2">
      <c r="A55" s="181"/>
      <c r="B55" s="219"/>
      <c r="C55" s="181"/>
      <c r="D55" s="181"/>
      <c r="E55" s="181"/>
      <c r="F55" s="181"/>
      <c r="G55" s="181"/>
      <c r="H55" s="181"/>
      <c r="I55" s="181"/>
      <c r="J55" s="181"/>
      <c r="K55" s="181"/>
      <c r="L55" s="181"/>
      <c r="M55" s="181"/>
      <c r="N55" s="212"/>
      <c r="O55" s="181"/>
      <c r="P55" s="181"/>
      <c r="Q55" s="215"/>
      <c r="R55" s="181"/>
      <c r="S55" s="14" t="s">
        <v>451</v>
      </c>
      <c r="T55" s="210" t="s">
        <v>452</v>
      </c>
      <c r="U55" s="173"/>
      <c r="V55" s="85"/>
      <c r="W55" s="85"/>
      <c r="X55" s="85"/>
      <c r="Y55" s="85"/>
      <c r="Z55" s="85"/>
      <c r="AA55" s="85"/>
      <c r="AB55" s="85"/>
      <c r="AC55" s="85"/>
      <c r="AD55" s="85"/>
      <c r="AE55" s="85"/>
      <c r="AF55" s="85"/>
      <c r="AG55" s="85"/>
      <c r="AH55" s="85"/>
      <c r="AI55" s="85"/>
      <c r="AJ55" s="85"/>
      <c r="AK55" s="85"/>
      <c r="AL55" s="85"/>
      <c r="AM55" s="85"/>
      <c r="AN55" s="85"/>
    </row>
    <row r="56" spans="1:40" ht="14.25" customHeight="1" x14ac:dyDescent="0.2">
      <c r="A56" s="181"/>
      <c r="B56" s="219"/>
      <c r="C56" s="181"/>
      <c r="D56" s="181"/>
      <c r="E56" s="176"/>
      <c r="F56" s="176"/>
      <c r="G56" s="181"/>
      <c r="H56" s="181"/>
      <c r="I56" s="181"/>
      <c r="J56" s="176"/>
      <c r="K56" s="176"/>
      <c r="L56" s="176"/>
      <c r="M56" s="176"/>
      <c r="N56" s="213"/>
      <c r="O56" s="181"/>
      <c r="P56" s="181"/>
      <c r="Q56" s="216"/>
      <c r="R56" s="176"/>
      <c r="S56" s="14" t="s">
        <v>443</v>
      </c>
      <c r="T56" s="85" t="s">
        <v>444</v>
      </c>
      <c r="U56" s="85"/>
      <c r="V56" s="85"/>
      <c r="W56" s="85"/>
      <c r="X56" s="85"/>
      <c r="Y56" s="85"/>
      <c r="Z56" s="85"/>
      <c r="AA56" s="85"/>
      <c r="AB56" s="85"/>
      <c r="AC56" s="85"/>
      <c r="AD56" s="85"/>
      <c r="AE56" s="85"/>
      <c r="AF56" s="85"/>
      <c r="AG56" s="85"/>
      <c r="AH56" s="85"/>
      <c r="AI56" s="85"/>
      <c r="AJ56" s="85"/>
      <c r="AK56" s="85"/>
      <c r="AL56" s="85"/>
      <c r="AM56" s="85"/>
      <c r="AN56" s="85"/>
    </row>
    <row r="57" spans="1:40" ht="14.25" customHeight="1" x14ac:dyDescent="0.2">
      <c r="A57" s="181"/>
      <c r="B57" s="219"/>
      <c r="C57" s="181"/>
      <c r="D57" s="176"/>
      <c r="E57" s="50" t="s">
        <v>287</v>
      </c>
      <c r="F57" s="50" t="s">
        <v>19</v>
      </c>
      <c r="G57" s="176"/>
      <c r="H57" s="181"/>
      <c r="I57" s="181"/>
      <c r="J57" s="51">
        <v>2.5000000000000001E-3</v>
      </c>
      <c r="K57" s="50" t="s">
        <v>27</v>
      </c>
      <c r="L57" s="53">
        <v>0.17</v>
      </c>
      <c r="M57" s="14" t="s">
        <v>983</v>
      </c>
      <c r="N57" s="113">
        <f>L57*H54*G54</f>
        <v>68</v>
      </c>
      <c r="O57" s="181"/>
      <c r="P57" s="181"/>
      <c r="Q57" s="114">
        <f t="shared" ref="Q57:Q58" si="5">N57/$O$2</f>
        <v>6.2368155553517383E-3</v>
      </c>
      <c r="R57" s="58">
        <v>5</v>
      </c>
      <c r="S57" s="40" t="s">
        <v>460</v>
      </c>
      <c r="T57" s="85" t="s">
        <v>461</v>
      </c>
      <c r="U57" s="85"/>
      <c r="V57" s="85"/>
      <c r="W57" s="85"/>
      <c r="X57" s="85"/>
      <c r="Y57" s="85"/>
      <c r="Z57" s="85"/>
      <c r="AA57" s="85"/>
      <c r="AB57" s="85"/>
      <c r="AC57" s="85"/>
      <c r="AD57" s="85"/>
      <c r="AE57" s="85"/>
      <c r="AF57" s="85"/>
      <c r="AG57" s="85"/>
      <c r="AH57" s="85"/>
      <c r="AI57" s="85"/>
      <c r="AJ57" s="85"/>
      <c r="AK57" s="85"/>
      <c r="AL57" s="85"/>
      <c r="AM57" s="85"/>
      <c r="AN57" s="85"/>
    </row>
    <row r="58" spans="1:40" ht="14.25" customHeight="1" x14ac:dyDescent="0.2">
      <c r="A58" s="181"/>
      <c r="B58" s="219"/>
      <c r="C58" s="181"/>
      <c r="D58" s="179" t="s">
        <v>986</v>
      </c>
      <c r="E58" s="179" t="s">
        <v>13</v>
      </c>
      <c r="F58" s="179" t="s">
        <v>13</v>
      </c>
      <c r="G58" s="178">
        <v>5</v>
      </c>
      <c r="H58" s="181"/>
      <c r="I58" s="181"/>
      <c r="J58" s="175">
        <v>0.33333333333333331</v>
      </c>
      <c r="K58" s="179">
        <v>0.14583333333333334</v>
      </c>
      <c r="L58" s="178">
        <v>169</v>
      </c>
      <c r="M58" s="179" t="s">
        <v>989</v>
      </c>
      <c r="N58" s="211">
        <v>410.76388888888886</v>
      </c>
      <c r="O58" s="181"/>
      <c r="P58" s="181"/>
      <c r="Q58" s="214">
        <f t="shared" si="5"/>
        <v>3.7674391349985223E-2</v>
      </c>
      <c r="R58" s="177">
        <v>2</v>
      </c>
      <c r="S58" s="14" t="s">
        <v>625</v>
      </c>
      <c r="T58" s="61" t="s">
        <v>990</v>
      </c>
      <c r="U58" s="85"/>
      <c r="V58" s="85"/>
      <c r="W58" s="85"/>
      <c r="X58" s="85"/>
      <c r="Y58" s="85"/>
      <c r="Z58" s="85"/>
      <c r="AA58" s="85"/>
      <c r="AB58" s="85"/>
      <c r="AC58" s="85"/>
      <c r="AD58" s="85"/>
      <c r="AE58" s="85"/>
      <c r="AF58" s="85"/>
      <c r="AG58" s="85"/>
      <c r="AH58" s="85"/>
      <c r="AI58" s="85"/>
      <c r="AJ58" s="85"/>
      <c r="AK58" s="85"/>
      <c r="AL58" s="85"/>
      <c r="AM58" s="85"/>
      <c r="AN58" s="85"/>
    </row>
    <row r="59" spans="1:40" ht="14.25" customHeight="1" x14ac:dyDescent="0.2">
      <c r="A59" s="181"/>
      <c r="B59" s="220"/>
      <c r="C59" s="176"/>
      <c r="D59" s="176"/>
      <c r="E59" s="176"/>
      <c r="F59" s="176"/>
      <c r="G59" s="176"/>
      <c r="H59" s="176"/>
      <c r="I59" s="176"/>
      <c r="J59" s="176"/>
      <c r="K59" s="176"/>
      <c r="L59" s="176"/>
      <c r="M59" s="176"/>
      <c r="N59" s="213"/>
      <c r="O59" s="181"/>
      <c r="P59" s="181"/>
      <c r="Q59" s="216"/>
      <c r="R59" s="176"/>
      <c r="S59" s="40" t="s">
        <v>992</v>
      </c>
      <c r="T59" s="85" t="s">
        <v>993</v>
      </c>
      <c r="U59" s="85"/>
      <c r="V59" s="85"/>
      <c r="W59" s="85"/>
      <c r="X59" s="85"/>
      <c r="Y59" s="85"/>
      <c r="Z59" s="85"/>
      <c r="AA59" s="85"/>
      <c r="AB59" s="85"/>
      <c r="AC59" s="85"/>
      <c r="AD59" s="85"/>
      <c r="AE59" s="85"/>
      <c r="AF59" s="85"/>
      <c r="AG59" s="85"/>
      <c r="AH59" s="85"/>
      <c r="AI59" s="85"/>
      <c r="AJ59" s="85"/>
      <c r="AK59" s="85"/>
      <c r="AL59" s="85"/>
      <c r="AM59" s="85"/>
      <c r="AN59" s="85"/>
    </row>
    <row r="60" spans="1:40" ht="14.25" customHeight="1" x14ac:dyDescent="0.2">
      <c r="A60" s="181"/>
      <c r="B60" s="218" t="s">
        <v>321</v>
      </c>
      <c r="C60" s="184" t="s">
        <v>484</v>
      </c>
      <c r="D60" s="179" t="s">
        <v>286</v>
      </c>
      <c r="E60" s="179" t="s">
        <v>287</v>
      </c>
      <c r="F60" s="179" t="s">
        <v>10</v>
      </c>
      <c r="G60" s="178">
        <v>2</v>
      </c>
      <c r="H60" s="182">
        <v>6100</v>
      </c>
      <c r="I60" s="183" t="s">
        <v>166</v>
      </c>
      <c r="J60" s="175">
        <v>0.125</v>
      </c>
      <c r="K60" s="179" t="s">
        <v>27</v>
      </c>
      <c r="L60" s="178">
        <v>2.5</v>
      </c>
      <c r="M60" s="179" t="s">
        <v>994</v>
      </c>
      <c r="N60" s="211">
        <f>H60*L60*(J60)*G60</f>
        <v>3812.5</v>
      </c>
      <c r="O60" s="181"/>
      <c r="P60" s="181"/>
      <c r="Q60" s="214">
        <f>N60/$O$2</f>
        <v>0.34967440154086032</v>
      </c>
      <c r="R60" s="177">
        <v>3</v>
      </c>
      <c r="S60" s="14" t="s">
        <v>347</v>
      </c>
      <c r="T60" s="85" t="s">
        <v>348</v>
      </c>
      <c r="U60" s="85"/>
      <c r="V60" s="85"/>
      <c r="W60" s="85"/>
      <c r="X60" s="85"/>
      <c r="Y60" s="85"/>
      <c r="Z60" s="85"/>
      <c r="AA60" s="85"/>
      <c r="AB60" s="85"/>
      <c r="AC60" s="85"/>
      <c r="AD60" s="85"/>
      <c r="AE60" s="85"/>
      <c r="AF60" s="85"/>
      <c r="AG60" s="85"/>
      <c r="AH60" s="85"/>
      <c r="AI60" s="85"/>
      <c r="AJ60" s="85"/>
      <c r="AK60" s="85"/>
      <c r="AL60" s="85"/>
      <c r="AM60" s="85"/>
      <c r="AN60" s="85"/>
    </row>
    <row r="61" spans="1:40" ht="14.25" customHeight="1" x14ac:dyDescent="0.2">
      <c r="A61" s="181"/>
      <c r="B61" s="219"/>
      <c r="C61" s="181"/>
      <c r="D61" s="181"/>
      <c r="E61" s="181"/>
      <c r="F61" s="181"/>
      <c r="G61" s="181"/>
      <c r="H61" s="181"/>
      <c r="I61" s="181"/>
      <c r="J61" s="181"/>
      <c r="K61" s="181"/>
      <c r="L61" s="181"/>
      <c r="M61" s="181"/>
      <c r="N61" s="212"/>
      <c r="O61" s="181"/>
      <c r="P61" s="181"/>
      <c r="Q61" s="215"/>
      <c r="R61" s="181"/>
      <c r="S61" s="14" t="s">
        <v>349</v>
      </c>
      <c r="T61" s="85" t="s">
        <v>350</v>
      </c>
      <c r="U61" s="85"/>
      <c r="V61" s="85"/>
      <c r="W61" s="85"/>
      <c r="X61" s="85"/>
      <c r="Y61" s="85"/>
      <c r="Z61" s="85"/>
      <c r="AA61" s="85"/>
      <c r="AB61" s="85"/>
      <c r="AC61" s="85"/>
      <c r="AD61" s="85"/>
      <c r="AE61" s="85"/>
      <c r="AF61" s="85"/>
      <c r="AG61" s="85"/>
      <c r="AH61" s="85"/>
      <c r="AI61" s="85"/>
      <c r="AJ61" s="85"/>
      <c r="AK61" s="85"/>
      <c r="AL61" s="85"/>
      <c r="AM61" s="85"/>
      <c r="AN61" s="85"/>
    </row>
    <row r="62" spans="1:40" ht="14.25" customHeight="1" x14ac:dyDescent="0.2">
      <c r="A62" s="181"/>
      <c r="B62" s="219"/>
      <c r="C62" s="181"/>
      <c r="D62" s="176"/>
      <c r="E62" s="176"/>
      <c r="F62" s="176"/>
      <c r="G62" s="176"/>
      <c r="H62" s="181"/>
      <c r="I62" s="181"/>
      <c r="J62" s="176"/>
      <c r="K62" s="176"/>
      <c r="L62" s="176"/>
      <c r="M62" s="176"/>
      <c r="N62" s="213"/>
      <c r="O62" s="181"/>
      <c r="P62" s="181"/>
      <c r="Q62" s="216"/>
      <c r="R62" s="176"/>
      <c r="S62" s="14" t="s">
        <v>494</v>
      </c>
      <c r="T62" s="85" t="s">
        <v>495</v>
      </c>
      <c r="U62" s="85"/>
      <c r="V62" s="85"/>
      <c r="W62" s="85"/>
      <c r="X62" s="85"/>
      <c r="Y62" s="85"/>
      <c r="Z62" s="85"/>
      <c r="AA62" s="85"/>
      <c r="AB62" s="85"/>
      <c r="AC62" s="85"/>
      <c r="AD62" s="85"/>
      <c r="AE62" s="85"/>
      <c r="AF62" s="85"/>
      <c r="AG62" s="85"/>
      <c r="AH62" s="85"/>
      <c r="AI62" s="85"/>
      <c r="AJ62" s="85"/>
      <c r="AK62" s="85"/>
      <c r="AL62" s="85"/>
      <c r="AM62" s="85"/>
      <c r="AN62" s="85"/>
    </row>
    <row r="63" spans="1:40" ht="14.25" customHeight="1" x14ac:dyDescent="0.2">
      <c r="A63" s="181"/>
      <c r="B63" s="219"/>
      <c r="C63" s="181"/>
      <c r="D63" s="179" t="s">
        <v>498</v>
      </c>
      <c r="E63" s="179" t="s">
        <v>294</v>
      </c>
      <c r="F63" s="196" t="s">
        <v>12</v>
      </c>
      <c r="G63" s="178">
        <v>1</v>
      </c>
      <c r="H63" s="181"/>
      <c r="I63" s="181"/>
      <c r="J63" s="193">
        <v>4.1666666666666664E-2</v>
      </c>
      <c r="K63" s="179" t="s">
        <v>27</v>
      </c>
      <c r="L63" s="178">
        <v>2</v>
      </c>
      <c r="M63" s="179" t="s">
        <v>1012</v>
      </c>
      <c r="N63" s="224">
        <f>H60*L63</f>
        <v>12200</v>
      </c>
      <c r="O63" s="181"/>
      <c r="P63" s="181"/>
      <c r="Q63" s="214">
        <f>N63/$O$2</f>
        <v>1.118958084930753</v>
      </c>
      <c r="R63" s="177">
        <v>3</v>
      </c>
      <c r="S63" s="14" t="s">
        <v>503</v>
      </c>
      <c r="T63" s="85" t="s">
        <v>504</v>
      </c>
      <c r="U63" s="85"/>
      <c r="V63" s="85"/>
      <c r="W63" s="85"/>
      <c r="X63" s="85"/>
      <c r="Y63" s="85"/>
      <c r="Z63" s="85"/>
      <c r="AA63" s="85"/>
      <c r="AB63" s="85"/>
      <c r="AC63" s="85"/>
      <c r="AD63" s="85"/>
      <c r="AE63" s="85"/>
      <c r="AF63" s="85"/>
      <c r="AG63" s="85"/>
      <c r="AH63" s="85"/>
      <c r="AI63" s="85"/>
      <c r="AJ63" s="85"/>
      <c r="AK63" s="85"/>
      <c r="AL63" s="85"/>
      <c r="AM63" s="85"/>
      <c r="AN63" s="85"/>
    </row>
    <row r="64" spans="1:40" ht="14.25" customHeight="1" x14ac:dyDescent="0.2">
      <c r="A64" s="181"/>
      <c r="B64" s="219"/>
      <c r="C64" s="181"/>
      <c r="D64" s="181"/>
      <c r="E64" s="181"/>
      <c r="F64" s="181"/>
      <c r="G64" s="181"/>
      <c r="H64" s="181"/>
      <c r="I64" s="181"/>
      <c r="J64" s="181"/>
      <c r="K64" s="181"/>
      <c r="L64" s="181"/>
      <c r="M64" s="181"/>
      <c r="N64" s="212"/>
      <c r="O64" s="181"/>
      <c r="P64" s="181"/>
      <c r="Q64" s="215"/>
      <c r="R64" s="181"/>
      <c r="S64" s="14" t="s">
        <v>508</v>
      </c>
      <c r="T64" s="85" t="s">
        <v>509</v>
      </c>
      <c r="U64" s="85"/>
      <c r="V64" s="85"/>
      <c r="W64" s="85"/>
      <c r="X64" s="85"/>
      <c r="Y64" s="85"/>
      <c r="Z64" s="85"/>
      <c r="AA64" s="85"/>
      <c r="AB64" s="85"/>
      <c r="AC64" s="85"/>
      <c r="AD64" s="85"/>
      <c r="AE64" s="85"/>
      <c r="AF64" s="85"/>
      <c r="AG64" s="85"/>
      <c r="AH64" s="85"/>
      <c r="AI64" s="85"/>
      <c r="AJ64" s="85"/>
      <c r="AK64" s="85"/>
      <c r="AL64" s="85"/>
      <c r="AM64" s="85"/>
      <c r="AN64" s="85"/>
    </row>
    <row r="65" spans="1:40" ht="14.25" customHeight="1" x14ac:dyDescent="0.2">
      <c r="A65" s="181"/>
      <c r="B65" s="219"/>
      <c r="C65" s="181"/>
      <c r="D65" s="176"/>
      <c r="E65" s="176"/>
      <c r="F65" s="176"/>
      <c r="G65" s="176"/>
      <c r="H65" s="181"/>
      <c r="I65" s="181"/>
      <c r="J65" s="176"/>
      <c r="K65" s="176"/>
      <c r="L65" s="176"/>
      <c r="M65" s="176"/>
      <c r="N65" s="213"/>
      <c r="O65" s="181"/>
      <c r="P65" s="181"/>
      <c r="Q65" s="216"/>
      <c r="R65" s="176"/>
      <c r="S65" s="40" t="s">
        <v>510</v>
      </c>
      <c r="T65" s="85" t="s">
        <v>512</v>
      </c>
      <c r="U65" s="85"/>
      <c r="V65" s="85"/>
      <c r="W65" s="85"/>
      <c r="X65" s="85"/>
      <c r="Y65" s="85"/>
      <c r="Z65" s="85"/>
      <c r="AA65" s="85"/>
      <c r="AB65" s="85"/>
      <c r="AC65" s="85"/>
      <c r="AD65" s="85"/>
      <c r="AE65" s="85"/>
      <c r="AF65" s="85"/>
      <c r="AG65" s="85"/>
      <c r="AH65" s="85"/>
      <c r="AI65" s="85"/>
      <c r="AJ65" s="85"/>
      <c r="AK65" s="85"/>
      <c r="AL65" s="85"/>
      <c r="AM65" s="85"/>
      <c r="AN65" s="85"/>
    </row>
    <row r="66" spans="1:40" ht="15" customHeight="1" x14ac:dyDescent="0.2">
      <c r="A66" s="181"/>
      <c r="B66" s="219"/>
      <c r="C66" s="181"/>
      <c r="D66" s="179" t="s">
        <v>515</v>
      </c>
      <c r="E66" s="179" t="s">
        <v>516</v>
      </c>
      <c r="F66" s="179" t="s">
        <v>517</v>
      </c>
      <c r="G66" s="178">
        <v>1</v>
      </c>
      <c r="H66" s="181"/>
      <c r="I66" s="181"/>
      <c r="J66" s="175" t="s">
        <v>27</v>
      </c>
      <c r="K66" s="179" t="s">
        <v>27</v>
      </c>
      <c r="L66" s="178">
        <v>6.3</v>
      </c>
      <c r="M66" s="179" t="s">
        <v>1018</v>
      </c>
      <c r="N66" s="211">
        <f>L66*H60</f>
        <v>38430</v>
      </c>
      <c r="O66" s="181"/>
      <c r="P66" s="181"/>
      <c r="Q66" s="214">
        <f>N66/$O$2</f>
        <v>3.5247179675318718</v>
      </c>
      <c r="R66" s="177">
        <v>5</v>
      </c>
      <c r="S66" s="14" t="s">
        <v>521</v>
      </c>
      <c r="T66" s="85" t="s">
        <v>522</v>
      </c>
      <c r="U66" s="85"/>
      <c r="V66" s="85"/>
      <c r="W66" s="85"/>
      <c r="X66" s="85"/>
      <c r="Y66" s="85"/>
      <c r="Z66" s="85"/>
      <c r="AA66" s="85"/>
      <c r="AB66" s="85"/>
      <c r="AC66" s="85"/>
      <c r="AD66" s="85"/>
      <c r="AE66" s="85"/>
      <c r="AF66" s="85"/>
      <c r="AG66" s="85"/>
      <c r="AH66" s="85"/>
      <c r="AI66" s="85"/>
      <c r="AJ66" s="85"/>
      <c r="AK66" s="85"/>
      <c r="AL66" s="85"/>
      <c r="AM66" s="85"/>
      <c r="AN66" s="85"/>
    </row>
    <row r="67" spans="1:40" ht="14.25" customHeight="1" x14ac:dyDescent="0.2">
      <c r="A67" s="181"/>
      <c r="B67" s="219"/>
      <c r="C67" s="181"/>
      <c r="D67" s="176"/>
      <c r="E67" s="176"/>
      <c r="F67" s="176"/>
      <c r="G67" s="176"/>
      <c r="H67" s="181"/>
      <c r="I67" s="176"/>
      <c r="J67" s="176"/>
      <c r="K67" s="176"/>
      <c r="L67" s="176"/>
      <c r="M67" s="176"/>
      <c r="N67" s="213"/>
      <c r="O67" s="181"/>
      <c r="P67" s="181"/>
      <c r="Q67" s="216"/>
      <c r="R67" s="176"/>
      <c r="S67" s="14" t="s">
        <v>524</v>
      </c>
      <c r="T67" s="85" t="s">
        <v>525</v>
      </c>
      <c r="U67" s="85"/>
      <c r="V67" s="85"/>
      <c r="W67" s="85"/>
      <c r="X67" s="85"/>
      <c r="Y67" s="85"/>
      <c r="Z67" s="85"/>
      <c r="AA67" s="85"/>
      <c r="AB67" s="85"/>
      <c r="AC67" s="85"/>
      <c r="AD67" s="85"/>
      <c r="AE67" s="85"/>
      <c r="AF67" s="85"/>
      <c r="AG67" s="85"/>
      <c r="AH67" s="85"/>
      <c r="AI67" s="85"/>
      <c r="AJ67" s="85"/>
      <c r="AK67" s="85"/>
      <c r="AL67" s="85"/>
      <c r="AM67" s="85"/>
      <c r="AN67" s="85"/>
    </row>
    <row r="68" spans="1:40" ht="17.25" customHeight="1" x14ac:dyDescent="0.2">
      <c r="A68" s="181"/>
      <c r="B68" s="219"/>
      <c r="C68" s="181"/>
      <c r="D68" s="179" t="s">
        <v>526</v>
      </c>
      <c r="E68" s="179" t="s">
        <v>527</v>
      </c>
      <c r="F68" s="179" t="s">
        <v>23</v>
      </c>
      <c r="G68" s="182">
        <v>1</v>
      </c>
      <c r="H68" s="181"/>
      <c r="I68" s="183" t="s">
        <v>166</v>
      </c>
      <c r="J68" s="175" t="s">
        <v>27</v>
      </c>
      <c r="K68" s="179" t="s">
        <v>27</v>
      </c>
      <c r="L68" s="178">
        <v>1</v>
      </c>
      <c r="M68" s="179" t="s">
        <v>1022</v>
      </c>
      <c r="N68" s="211">
        <f>L68*H60</f>
        <v>6100</v>
      </c>
      <c r="O68" s="181"/>
      <c r="P68" s="181"/>
      <c r="Q68" s="214">
        <f>N68/$O$2</f>
        <v>0.5594790424653765</v>
      </c>
      <c r="R68" s="177">
        <v>4</v>
      </c>
      <c r="S68" s="40" t="s">
        <v>530</v>
      </c>
      <c r="T68" s="85" t="s">
        <v>531</v>
      </c>
      <c r="U68" s="85"/>
      <c r="V68" s="85"/>
      <c r="W68" s="85"/>
      <c r="X68" s="85"/>
      <c r="Y68" s="85"/>
      <c r="Z68" s="85"/>
      <c r="AA68" s="85"/>
      <c r="AB68" s="85"/>
      <c r="AC68" s="85"/>
      <c r="AD68" s="85"/>
      <c r="AE68" s="85"/>
      <c r="AF68" s="85"/>
      <c r="AG68" s="85"/>
      <c r="AH68" s="85"/>
      <c r="AI68" s="85"/>
      <c r="AJ68" s="85"/>
      <c r="AK68" s="85"/>
      <c r="AL68" s="85"/>
      <c r="AM68" s="85"/>
      <c r="AN68" s="85"/>
    </row>
    <row r="69" spans="1:40" ht="14.25" customHeight="1" x14ac:dyDescent="0.2">
      <c r="A69" s="181"/>
      <c r="B69" s="219"/>
      <c r="C69" s="181"/>
      <c r="D69" s="181"/>
      <c r="E69" s="181"/>
      <c r="F69" s="181"/>
      <c r="G69" s="181"/>
      <c r="H69" s="181"/>
      <c r="I69" s="181"/>
      <c r="J69" s="181"/>
      <c r="K69" s="181"/>
      <c r="L69" s="181"/>
      <c r="M69" s="181"/>
      <c r="N69" s="212"/>
      <c r="O69" s="181"/>
      <c r="P69" s="181"/>
      <c r="Q69" s="215"/>
      <c r="R69" s="181"/>
      <c r="S69" s="14" t="s">
        <v>947</v>
      </c>
      <c r="T69" s="85" t="s">
        <v>948</v>
      </c>
      <c r="U69" s="85"/>
      <c r="V69" s="85"/>
      <c r="W69" s="85"/>
      <c r="X69" s="85"/>
      <c r="Y69" s="85"/>
      <c r="Z69" s="85"/>
      <c r="AA69" s="85"/>
      <c r="AB69" s="85"/>
      <c r="AC69" s="85"/>
      <c r="AD69" s="85"/>
      <c r="AE69" s="85"/>
      <c r="AF69" s="85"/>
      <c r="AG69" s="85"/>
      <c r="AH69" s="85"/>
      <c r="AI69" s="85"/>
      <c r="AJ69" s="85"/>
      <c r="AK69" s="85"/>
      <c r="AL69" s="85"/>
      <c r="AM69" s="85"/>
      <c r="AN69" s="85"/>
    </row>
    <row r="70" spans="1:40" ht="14.25" customHeight="1" x14ac:dyDescent="0.2">
      <c r="A70" s="181"/>
      <c r="B70" s="220"/>
      <c r="C70" s="176"/>
      <c r="D70" s="176"/>
      <c r="E70" s="176"/>
      <c r="F70" s="176"/>
      <c r="G70" s="176"/>
      <c r="H70" s="176"/>
      <c r="I70" s="176"/>
      <c r="J70" s="176"/>
      <c r="K70" s="176"/>
      <c r="L70" s="176"/>
      <c r="M70" s="176"/>
      <c r="N70" s="213"/>
      <c r="O70" s="181"/>
      <c r="P70" s="181"/>
      <c r="Q70" s="216"/>
      <c r="R70" s="176"/>
      <c r="S70" s="14" t="s">
        <v>536</v>
      </c>
      <c r="T70" s="85" t="s">
        <v>537</v>
      </c>
      <c r="U70" s="85"/>
      <c r="V70" s="85"/>
      <c r="W70" s="85"/>
      <c r="X70" s="85"/>
      <c r="Y70" s="85"/>
      <c r="Z70" s="85"/>
      <c r="AA70" s="85"/>
      <c r="AB70" s="85"/>
      <c r="AC70" s="85"/>
      <c r="AD70" s="85"/>
      <c r="AE70" s="85"/>
      <c r="AF70" s="85"/>
      <c r="AG70" s="85"/>
      <c r="AH70" s="85"/>
      <c r="AI70" s="85"/>
      <c r="AJ70" s="85"/>
      <c r="AK70" s="85"/>
      <c r="AL70" s="85"/>
      <c r="AM70" s="85"/>
      <c r="AN70" s="85"/>
    </row>
    <row r="71" spans="1:40" ht="14.25" customHeight="1" x14ac:dyDescent="0.2">
      <c r="A71" s="181"/>
      <c r="B71" s="183" t="s">
        <v>1024</v>
      </c>
      <c r="C71" s="183" t="s">
        <v>715</v>
      </c>
      <c r="D71" s="225" t="s">
        <v>1025</v>
      </c>
      <c r="E71" s="179" t="s">
        <v>13</v>
      </c>
      <c r="F71" s="179" t="s">
        <v>13</v>
      </c>
      <c r="G71" s="226">
        <v>1</v>
      </c>
      <c r="H71" s="187">
        <v>11700</v>
      </c>
      <c r="I71" s="187" t="s">
        <v>166</v>
      </c>
      <c r="J71" s="222">
        <f>0.05/12</f>
        <v>4.1666666666666666E-3</v>
      </c>
      <c r="K71" s="179" t="s">
        <v>27</v>
      </c>
      <c r="L71" s="178">
        <v>0.56899999999999995</v>
      </c>
      <c r="M71" s="179" t="s">
        <v>1026</v>
      </c>
      <c r="N71" s="211">
        <f>H71*L71</f>
        <v>6657.2999999999993</v>
      </c>
      <c r="O71" s="181"/>
      <c r="P71" s="181"/>
      <c r="Q71" s="214">
        <f>N71/$N$2</f>
        <v>0.12590638297872339</v>
      </c>
      <c r="R71" s="177">
        <v>4</v>
      </c>
      <c r="S71" s="14" t="s">
        <v>325</v>
      </c>
      <c r="T71" s="85" t="s">
        <v>326</v>
      </c>
      <c r="U71" s="85"/>
      <c r="V71" s="85"/>
      <c r="W71" s="85"/>
      <c r="X71" s="85"/>
      <c r="Y71" s="85"/>
      <c r="Z71" s="85"/>
      <c r="AA71" s="85"/>
      <c r="AB71" s="85"/>
      <c r="AC71" s="85"/>
      <c r="AD71" s="85"/>
      <c r="AE71" s="85"/>
      <c r="AF71" s="85"/>
      <c r="AG71" s="85"/>
      <c r="AH71" s="85"/>
      <c r="AI71" s="85"/>
      <c r="AJ71" s="85"/>
      <c r="AK71" s="85"/>
      <c r="AL71" s="85"/>
      <c r="AM71" s="85"/>
      <c r="AN71" s="85"/>
    </row>
    <row r="72" spans="1:40" ht="14.25" customHeight="1" x14ac:dyDescent="0.2">
      <c r="A72" s="181"/>
      <c r="B72" s="181"/>
      <c r="C72" s="181"/>
      <c r="D72" s="215"/>
      <c r="E72" s="181"/>
      <c r="F72" s="181"/>
      <c r="G72" s="227"/>
      <c r="H72" s="181"/>
      <c r="I72" s="181"/>
      <c r="J72" s="215"/>
      <c r="K72" s="181"/>
      <c r="L72" s="181"/>
      <c r="M72" s="181"/>
      <c r="N72" s="212"/>
      <c r="O72" s="181"/>
      <c r="P72" s="181"/>
      <c r="Q72" s="215"/>
      <c r="R72" s="181"/>
      <c r="S72" s="14" t="s">
        <v>327</v>
      </c>
      <c r="T72" s="85" t="s">
        <v>328</v>
      </c>
      <c r="U72" s="85"/>
      <c r="V72" s="85"/>
      <c r="W72" s="85"/>
      <c r="X72" s="85"/>
      <c r="Y72" s="85"/>
      <c r="Z72" s="85"/>
      <c r="AA72" s="85"/>
      <c r="AB72" s="85"/>
      <c r="AC72" s="85"/>
      <c r="AD72" s="85"/>
      <c r="AE72" s="85"/>
      <c r="AF72" s="85"/>
      <c r="AG72" s="85"/>
      <c r="AH72" s="85"/>
      <c r="AI72" s="85"/>
      <c r="AJ72" s="85"/>
      <c r="AK72" s="85"/>
      <c r="AL72" s="85"/>
      <c r="AM72" s="85"/>
      <c r="AN72" s="85"/>
    </row>
    <row r="73" spans="1:40" ht="14.25" customHeight="1" x14ac:dyDescent="0.2">
      <c r="A73" s="181"/>
      <c r="B73" s="181"/>
      <c r="C73" s="181"/>
      <c r="D73" s="216"/>
      <c r="E73" s="176"/>
      <c r="F73" s="176"/>
      <c r="G73" s="228"/>
      <c r="H73" s="181"/>
      <c r="I73" s="181"/>
      <c r="J73" s="216"/>
      <c r="K73" s="176"/>
      <c r="L73" s="176"/>
      <c r="M73" s="176"/>
      <c r="N73" s="213"/>
      <c r="O73" s="181"/>
      <c r="P73" s="181"/>
      <c r="Q73" s="216"/>
      <c r="R73" s="176"/>
      <c r="S73" s="14" t="s">
        <v>1028</v>
      </c>
      <c r="T73" s="85" t="s">
        <v>330</v>
      </c>
      <c r="U73" s="85"/>
      <c r="V73" s="85"/>
      <c r="W73" s="85"/>
      <c r="X73" s="85"/>
      <c r="Y73" s="85"/>
      <c r="Z73" s="85"/>
      <c r="AA73" s="85"/>
      <c r="AB73" s="85"/>
      <c r="AC73" s="85"/>
      <c r="AD73" s="85"/>
      <c r="AE73" s="85"/>
      <c r="AF73" s="85"/>
      <c r="AG73" s="85"/>
      <c r="AH73" s="85"/>
      <c r="AI73" s="85"/>
      <c r="AJ73" s="85"/>
      <c r="AK73" s="85"/>
      <c r="AL73" s="85"/>
      <c r="AM73" s="85"/>
      <c r="AN73" s="85"/>
    </row>
    <row r="74" spans="1:40" ht="14.25" customHeight="1" x14ac:dyDescent="0.2">
      <c r="A74" s="181"/>
      <c r="B74" s="181"/>
      <c r="C74" s="181"/>
      <c r="D74" s="225" t="s">
        <v>278</v>
      </c>
      <c r="E74" s="179" t="s">
        <v>279</v>
      </c>
      <c r="F74" s="179" t="s">
        <v>15</v>
      </c>
      <c r="G74" s="226">
        <v>1</v>
      </c>
      <c r="H74" s="181"/>
      <c r="I74" s="181"/>
      <c r="J74" s="214" t="s">
        <v>27</v>
      </c>
      <c r="K74" s="179" t="s">
        <v>27</v>
      </c>
      <c r="L74" s="178">
        <v>0.215</v>
      </c>
      <c r="M74" s="179" t="s">
        <v>1029</v>
      </c>
      <c r="N74" s="211">
        <f>L74*H71</f>
        <v>2515.5</v>
      </c>
      <c r="O74" s="181"/>
      <c r="P74" s="181"/>
      <c r="Q74" s="214">
        <f>N74/$N$2</f>
        <v>4.7574468085106382E-2</v>
      </c>
      <c r="R74" s="177">
        <v>3</v>
      </c>
      <c r="S74" s="14" t="s">
        <v>1031</v>
      </c>
      <c r="T74" s="85" t="s">
        <v>334</v>
      </c>
      <c r="U74" s="85"/>
      <c r="V74" s="85"/>
      <c r="W74" s="85"/>
      <c r="X74" s="85"/>
      <c r="Y74" s="85"/>
      <c r="Z74" s="85"/>
      <c r="AA74" s="85"/>
      <c r="AB74" s="85"/>
      <c r="AC74" s="85"/>
      <c r="AD74" s="85"/>
      <c r="AE74" s="85"/>
      <c r="AF74" s="85"/>
      <c r="AG74" s="85"/>
      <c r="AH74" s="85"/>
      <c r="AI74" s="85"/>
      <c r="AJ74" s="85"/>
      <c r="AK74" s="85"/>
      <c r="AL74" s="85"/>
      <c r="AM74" s="85"/>
      <c r="AN74" s="85"/>
    </row>
    <row r="75" spans="1:40" ht="14.25" customHeight="1" x14ac:dyDescent="0.2">
      <c r="A75" s="181"/>
      <c r="B75" s="181"/>
      <c r="C75" s="181"/>
      <c r="D75" s="216"/>
      <c r="E75" s="176"/>
      <c r="F75" s="176"/>
      <c r="G75" s="228"/>
      <c r="H75" s="181"/>
      <c r="I75" s="181"/>
      <c r="J75" s="216"/>
      <c r="K75" s="176"/>
      <c r="L75" s="176"/>
      <c r="M75" s="176"/>
      <c r="N75" s="213"/>
      <c r="O75" s="181"/>
      <c r="P75" s="181"/>
      <c r="Q75" s="216"/>
      <c r="R75" s="176"/>
      <c r="S75" s="14" t="s">
        <v>530</v>
      </c>
      <c r="T75" s="85" t="s">
        <v>336</v>
      </c>
      <c r="U75" s="85"/>
      <c r="V75" s="85"/>
      <c r="W75" s="85"/>
      <c r="X75" s="85"/>
      <c r="Y75" s="85"/>
      <c r="Z75" s="85"/>
      <c r="AA75" s="85"/>
      <c r="AB75" s="85"/>
      <c r="AC75" s="85"/>
      <c r="AD75" s="85"/>
      <c r="AE75" s="85"/>
      <c r="AF75" s="85"/>
      <c r="AG75" s="85"/>
      <c r="AH75" s="85"/>
      <c r="AI75" s="85"/>
      <c r="AJ75" s="85"/>
      <c r="AK75" s="85"/>
      <c r="AL75" s="85"/>
      <c r="AM75" s="85"/>
      <c r="AN75" s="85"/>
    </row>
    <row r="76" spans="1:40" ht="15" customHeight="1" x14ac:dyDescent="0.2">
      <c r="A76" s="181"/>
      <c r="B76" s="181"/>
      <c r="C76" s="181"/>
      <c r="D76" s="225" t="s">
        <v>239</v>
      </c>
      <c r="E76" s="179" t="s">
        <v>92</v>
      </c>
      <c r="F76" s="179" t="s">
        <v>5</v>
      </c>
      <c r="G76" s="226">
        <v>1</v>
      </c>
      <c r="H76" s="181"/>
      <c r="I76" s="181"/>
      <c r="J76" s="214">
        <f>5/8/12</f>
        <v>5.2083333333333336E-2</v>
      </c>
      <c r="K76" s="179" t="s">
        <v>27</v>
      </c>
      <c r="L76" s="178">
        <v>1.56</v>
      </c>
      <c r="M76" s="179" t="s">
        <v>1032</v>
      </c>
      <c r="N76" s="211">
        <f>L76*H71</f>
        <v>18252</v>
      </c>
      <c r="O76" s="181"/>
      <c r="P76" s="181"/>
      <c r="Q76" s="214">
        <f>N76/$N$2</f>
        <v>0.34519148936170213</v>
      </c>
      <c r="R76" s="177">
        <v>3</v>
      </c>
      <c r="S76" s="14" t="s">
        <v>736</v>
      </c>
      <c r="T76" s="85" t="s">
        <v>339</v>
      </c>
      <c r="U76" s="85"/>
      <c r="V76" s="85"/>
      <c r="W76" s="85"/>
      <c r="X76" s="85"/>
      <c r="Y76" s="85"/>
      <c r="Z76" s="85"/>
      <c r="AA76" s="85"/>
      <c r="AB76" s="85"/>
      <c r="AC76" s="85"/>
      <c r="AD76" s="85"/>
      <c r="AE76" s="85"/>
      <c r="AF76" s="85"/>
      <c r="AG76" s="85"/>
      <c r="AH76" s="85"/>
      <c r="AI76" s="85"/>
      <c r="AJ76" s="85"/>
      <c r="AK76" s="85"/>
      <c r="AL76" s="85"/>
      <c r="AM76" s="85"/>
      <c r="AN76" s="85"/>
    </row>
    <row r="77" spans="1:40" ht="14.25" customHeight="1" x14ac:dyDescent="0.2">
      <c r="A77" s="181"/>
      <c r="B77" s="181"/>
      <c r="C77" s="181"/>
      <c r="D77" s="215"/>
      <c r="E77" s="181"/>
      <c r="F77" s="181"/>
      <c r="G77" s="227"/>
      <c r="H77" s="181"/>
      <c r="I77" s="181"/>
      <c r="J77" s="215"/>
      <c r="K77" s="181"/>
      <c r="L77" s="181"/>
      <c r="M77" s="181"/>
      <c r="N77" s="212"/>
      <c r="O77" s="181"/>
      <c r="P77" s="181"/>
      <c r="Q77" s="215"/>
      <c r="R77" s="181"/>
      <c r="S77" s="14" t="s">
        <v>738</v>
      </c>
      <c r="T77" s="85" t="s">
        <v>341</v>
      </c>
      <c r="U77" s="85"/>
      <c r="V77" s="85"/>
      <c r="W77" s="85"/>
      <c r="X77" s="85"/>
      <c r="Y77" s="85"/>
      <c r="Z77" s="85"/>
      <c r="AA77" s="85"/>
      <c r="AB77" s="85"/>
      <c r="AC77" s="85"/>
      <c r="AD77" s="85"/>
      <c r="AE77" s="85"/>
      <c r="AF77" s="85"/>
      <c r="AG77" s="85"/>
      <c r="AH77" s="85"/>
      <c r="AI77" s="85"/>
      <c r="AJ77" s="85"/>
      <c r="AK77" s="85"/>
      <c r="AL77" s="85"/>
      <c r="AM77" s="85"/>
      <c r="AN77" s="85"/>
    </row>
    <row r="78" spans="1:40" ht="14.25" customHeight="1" x14ac:dyDescent="0.2">
      <c r="A78" s="181"/>
      <c r="B78" s="181"/>
      <c r="C78" s="181"/>
      <c r="D78" s="216"/>
      <c r="E78" s="176"/>
      <c r="F78" s="176"/>
      <c r="G78" s="228"/>
      <c r="H78" s="181"/>
      <c r="I78" s="181"/>
      <c r="J78" s="216"/>
      <c r="K78" s="176"/>
      <c r="L78" s="176"/>
      <c r="M78" s="176"/>
      <c r="N78" s="213"/>
      <c r="O78" s="181"/>
      <c r="P78" s="181"/>
      <c r="Q78" s="216"/>
      <c r="R78" s="176"/>
      <c r="S78" s="14" t="s">
        <v>1031</v>
      </c>
      <c r="T78" s="85" t="s">
        <v>1034</v>
      </c>
      <c r="U78" s="85"/>
      <c r="V78" s="85"/>
      <c r="W78" s="85"/>
      <c r="X78" s="85"/>
      <c r="Y78" s="85"/>
      <c r="Z78" s="85"/>
      <c r="AA78" s="85"/>
      <c r="AB78" s="85"/>
      <c r="AC78" s="85"/>
      <c r="AD78" s="85"/>
      <c r="AE78" s="85"/>
      <c r="AF78" s="85"/>
      <c r="AG78" s="85"/>
      <c r="AH78" s="85"/>
      <c r="AI78" s="85"/>
      <c r="AJ78" s="85"/>
      <c r="AK78" s="85"/>
      <c r="AL78" s="85"/>
      <c r="AM78" s="85"/>
      <c r="AN78" s="85"/>
    </row>
    <row r="79" spans="1:40" ht="17.25" customHeight="1" x14ac:dyDescent="0.2">
      <c r="A79" s="181"/>
      <c r="B79" s="181"/>
      <c r="C79" s="181"/>
      <c r="D79" s="225" t="s">
        <v>286</v>
      </c>
      <c r="E79" s="179" t="s">
        <v>287</v>
      </c>
      <c r="F79" s="179" t="s">
        <v>10</v>
      </c>
      <c r="G79" s="226">
        <v>2</v>
      </c>
      <c r="H79" s="181"/>
      <c r="I79" s="181"/>
      <c r="J79" s="214">
        <v>0.125</v>
      </c>
      <c r="K79" s="179" t="s">
        <v>27</v>
      </c>
      <c r="L79" s="178">
        <v>2.5</v>
      </c>
      <c r="M79" s="179" t="s">
        <v>1036</v>
      </c>
      <c r="N79" s="211">
        <f>L79*H71*J79*G79</f>
        <v>7312.5</v>
      </c>
      <c r="O79" s="181"/>
      <c r="P79" s="181"/>
      <c r="Q79" s="214">
        <f>N79/$O$2</f>
        <v>0.67068696688984686</v>
      </c>
      <c r="R79" s="177">
        <v>3</v>
      </c>
      <c r="S79" s="14" t="s">
        <v>343</v>
      </c>
      <c r="T79" s="14" t="s">
        <v>344</v>
      </c>
    </row>
    <row r="80" spans="1:40" ht="14.25" customHeight="1" x14ac:dyDescent="0.2">
      <c r="A80" s="181"/>
      <c r="B80" s="181"/>
      <c r="C80" s="181"/>
      <c r="D80" s="215"/>
      <c r="E80" s="181"/>
      <c r="F80" s="181"/>
      <c r="G80" s="227"/>
      <c r="H80" s="181"/>
      <c r="I80" s="181"/>
      <c r="J80" s="215"/>
      <c r="K80" s="181"/>
      <c r="L80" s="181"/>
      <c r="M80" s="181"/>
      <c r="N80" s="212"/>
      <c r="O80" s="181"/>
      <c r="P80" s="181"/>
      <c r="Q80" s="215"/>
      <c r="R80" s="181"/>
      <c r="S80" s="97" t="s">
        <v>345</v>
      </c>
      <c r="T80" s="44" t="s">
        <v>346</v>
      </c>
    </row>
    <row r="81" spans="1:20" ht="14.25" customHeight="1" x14ac:dyDescent="0.2">
      <c r="A81" s="181"/>
      <c r="B81" s="181"/>
      <c r="C81" s="181"/>
      <c r="D81" s="215"/>
      <c r="E81" s="181"/>
      <c r="F81" s="181"/>
      <c r="G81" s="227"/>
      <c r="H81" s="181"/>
      <c r="I81" s="181"/>
      <c r="J81" s="215"/>
      <c r="K81" s="181"/>
      <c r="L81" s="181"/>
      <c r="M81" s="181"/>
      <c r="N81" s="212"/>
      <c r="O81" s="181"/>
      <c r="P81" s="181"/>
      <c r="Q81" s="215"/>
      <c r="R81" s="181"/>
      <c r="S81" s="14" t="s">
        <v>347</v>
      </c>
      <c r="T81" s="14" t="s">
        <v>348</v>
      </c>
    </row>
    <row r="82" spans="1:20" ht="14.25" customHeight="1" x14ac:dyDescent="0.2">
      <c r="A82" s="176"/>
      <c r="B82" s="176"/>
      <c r="C82" s="176"/>
      <c r="D82" s="216"/>
      <c r="E82" s="176"/>
      <c r="F82" s="176"/>
      <c r="G82" s="228"/>
      <c r="H82" s="176"/>
      <c r="I82" s="176"/>
      <c r="J82" s="216"/>
      <c r="K82" s="176"/>
      <c r="L82" s="176"/>
      <c r="M82" s="176"/>
      <c r="N82" s="213"/>
      <c r="O82" s="176"/>
      <c r="P82" s="176"/>
      <c r="Q82" s="216"/>
      <c r="R82" s="176"/>
      <c r="S82" s="14" t="s">
        <v>349</v>
      </c>
      <c r="T82" s="14" t="s">
        <v>350</v>
      </c>
    </row>
    <row r="83" spans="1:20" ht="14.25" customHeight="1" x14ac:dyDescent="0.2">
      <c r="T83" s="84"/>
    </row>
    <row r="84" spans="1:20" ht="14.25" customHeight="1" x14ac:dyDescent="0.2">
      <c r="T84" s="84"/>
    </row>
    <row r="85" spans="1:20" ht="14.25" customHeight="1" x14ac:dyDescent="0.2">
      <c r="F85" s="28" t="s">
        <v>309</v>
      </c>
      <c r="G85" s="28" t="s">
        <v>128</v>
      </c>
      <c r="H85" s="28" t="s">
        <v>1037</v>
      </c>
      <c r="T85" s="84"/>
    </row>
    <row r="86" spans="1:20" ht="14.25" customHeight="1" x14ac:dyDescent="0.2">
      <c r="F86" s="14" t="s">
        <v>156</v>
      </c>
      <c r="G86" s="72">
        <f t="shared" ref="G86:G100" si="6">SUMIF($F$2:$F$82,F86,N$2:N$82)</f>
        <v>36050.625</v>
      </c>
      <c r="H86" s="73">
        <f t="shared" ref="H86:H100" si="7">SUMIF($F$2:$F$82,F86,Q$2:Q$82)</f>
        <v>3.3064867467669448</v>
      </c>
      <c r="T86" s="84"/>
    </row>
    <row r="87" spans="1:20" ht="14.25" customHeight="1" x14ac:dyDescent="0.2">
      <c r="F87" s="41" t="s">
        <v>140</v>
      </c>
      <c r="G87" s="72">
        <f t="shared" si="6"/>
        <v>907875</v>
      </c>
      <c r="H87" s="73">
        <f t="shared" si="7"/>
        <v>83.268366504631757</v>
      </c>
      <c r="T87" s="84"/>
    </row>
    <row r="88" spans="1:20" ht="14.25" customHeight="1" x14ac:dyDescent="0.2">
      <c r="F88" s="50" t="s">
        <v>4</v>
      </c>
      <c r="G88" s="72">
        <f t="shared" si="6"/>
        <v>39443.311499999996</v>
      </c>
      <c r="H88" s="73">
        <f t="shared" si="7"/>
        <v>3.6176567458497662</v>
      </c>
      <c r="T88" s="84"/>
    </row>
    <row r="89" spans="1:20" ht="14.25" customHeight="1" x14ac:dyDescent="0.2">
      <c r="F89" s="50" t="s">
        <v>3</v>
      </c>
      <c r="G89" s="72">
        <f t="shared" si="6"/>
        <v>19008</v>
      </c>
      <c r="H89" s="73">
        <f t="shared" si="7"/>
        <v>1.7433733834724388</v>
      </c>
      <c r="T89" s="84"/>
    </row>
    <row r="90" spans="1:20" ht="14.25" customHeight="1" x14ac:dyDescent="0.2">
      <c r="F90" s="50" t="s">
        <v>712</v>
      </c>
      <c r="G90" s="72">
        <f t="shared" si="6"/>
        <v>49500</v>
      </c>
      <c r="H90" s="73">
        <f t="shared" si="7"/>
        <v>4.5400348527928092</v>
      </c>
      <c r="T90" s="84"/>
    </row>
    <row r="91" spans="1:20" ht="14.25" customHeight="1" x14ac:dyDescent="0.2">
      <c r="F91" s="50" t="s">
        <v>14</v>
      </c>
      <c r="G91" s="72">
        <f t="shared" si="6"/>
        <v>675</v>
      </c>
      <c r="H91" s="73">
        <f t="shared" si="7"/>
        <v>6.19095661744474E-2</v>
      </c>
      <c r="T91" s="84"/>
    </row>
    <row r="92" spans="1:20" ht="14.25" customHeight="1" x14ac:dyDescent="0.2">
      <c r="F92" s="50" t="s">
        <v>12</v>
      </c>
      <c r="G92" s="72">
        <f t="shared" si="6"/>
        <v>20750</v>
      </c>
      <c r="H92" s="73">
        <f t="shared" si="7"/>
        <v>1.90314592314042</v>
      </c>
      <c r="T92" s="84"/>
    </row>
    <row r="93" spans="1:20" ht="14.25" customHeight="1" x14ac:dyDescent="0.2">
      <c r="F93" s="50" t="s">
        <v>13</v>
      </c>
      <c r="G93" s="72">
        <f t="shared" si="6"/>
        <v>7593.063888888888</v>
      </c>
      <c r="H93" s="73">
        <f t="shared" si="7"/>
        <v>0.2117326591310566</v>
      </c>
      <c r="T93" s="84"/>
    </row>
    <row r="94" spans="1:20" ht="14.25" customHeight="1" x14ac:dyDescent="0.2">
      <c r="F94" s="50" t="s">
        <v>18</v>
      </c>
      <c r="G94" s="72">
        <f t="shared" si="6"/>
        <v>4772.9166666666661</v>
      </c>
      <c r="H94" s="73">
        <f t="shared" si="7"/>
        <v>0.43776177810388572</v>
      </c>
      <c r="T94" s="84"/>
    </row>
    <row r="95" spans="1:20" ht="14.25" customHeight="1" x14ac:dyDescent="0.2">
      <c r="F95" s="41" t="s">
        <v>19</v>
      </c>
      <c r="G95" s="72">
        <f t="shared" si="6"/>
        <v>246.5</v>
      </c>
      <c r="H95" s="73">
        <f t="shared" si="7"/>
        <v>2.2608456388150053E-2</v>
      </c>
      <c r="T95" s="84"/>
    </row>
    <row r="96" spans="1:20" ht="14.25" customHeight="1" x14ac:dyDescent="0.2">
      <c r="F96" s="50" t="s">
        <v>10</v>
      </c>
      <c r="G96" s="72">
        <f t="shared" si="6"/>
        <v>11125</v>
      </c>
      <c r="H96" s="73">
        <f t="shared" si="7"/>
        <v>1.0203613684307071</v>
      </c>
      <c r="T96" s="84"/>
    </row>
    <row r="97" spans="6:20" ht="14.25" customHeight="1" x14ac:dyDescent="0.2">
      <c r="F97" s="50" t="s">
        <v>517</v>
      </c>
      <c r="G97" s="72">
        <f t="shared" si="6"/>
        <v>38430</v>
      </c>
      <c r="H97" s="73">
        <f t="shared" si="7"/>
        <v>3.5247179675318718</v>
      </c>
      <c r="T97" s="84"/>
    </row>
    <row r="98" spans="6:20" ht="14.25" customHeight="1" x14ac:dyDescent="0.2">
      <c r="F98" s="50" t="s">
        <v>23</v>
      </c>
      <c r="G98" s="72">
        <f t="shared" si="6"/>
        <v>6100</v>
      </c>
      <c r="H98" s="73">
        <f t="shared" si="7"/>
        <v>0.5594790424653765</v>
      </c>
      <c r="T98" s="84"/>
    </row>
    <row r="99" spans="6:20" ht="14.25" customHeight="1" x14ac:dyDescent="0.2">
      <c r="F99" s="50" t="s">
        <v>15</v>
      </c>
      <c r="G99" s="72">
        <f t="shared" si="6"/>
        <v>2515.5</v>
      </c>
      <c r="H99" s="73">
        <f t="shared" si="7"/>
        <v>4.7574468085106382E-2</v>
      </c>
      <c r="T99" s="84"/>
    </row>
    <row r="100" spans="6:20" ht="14.25" customHeight="1" x14ac:dyDescent="0.2">
      <c r="F100" s="50" t="s">
        <v>5</v>
      </c>
      <c r="G100" s="72">
        <f t="shared" si="6"/>
        <v>18252</v>
      </c>
      <c r="H100" s="73">
        <f t="shared" si="7"/>
        <v>0.34519148936170213</v>
      </c>
      <c r="T100" s="84"/>
    </row>
    <row r="101" spans="6:20" ht="14.25" customHeight="1" x14ac:dyDescent="0.2">
      <c r="G101" s="75"/>
      <c r="H101" s="111"/>
      <c r="T101" s="84"/>
    </row>
    <row r="102" spans="6:20" ht="14.25" customHeight="1" x14ac:dyDescent="0.2">
      <c r="G102" s="75"/>
      <c r="H102" s="111"/>
      <c r="T102" s="84"/>
    </row>
    <row r="103" spans="6:20" ht="14.25" customHeight="1" x14ac:dyDescent="0.2">
      <c r="G103" s="75"/>
      <c r="T103" s="84"/>
    </row>
    <row r="104" spans="6:20" ht="14.25" customHeight="1" x14ac:dyDescent="0.2">
      <c r="F104" s="93" t="s">
        <v>119</v>
      </c>
      <c r="G104" s="28" t="s">
        <v>128</v>
      </c>
      <c r="H104" s="28" t="s">
        <v>1039</v>
      </c>
      <c r="T104" s="84"/>
    </row>
    <row r="105" spans="6:20" ht="14.25" customHeight="1" x14ac:dyDescent="0.2">
      <c r="F105" s="14" t="s">
        <v>155</v>
      </c>
      <c r="G105" s="72">
        <f t="shared" ref="G105:G115" si="8">SUMIF($E$2:$E$82,F105,$N$2:$N$82)</f>
        <v>36050.625</v>
      </c>
      <c r="H105" s="73">
        <f t="shared" ref="H105:H115" si="9">SUMIF($E$2:$E$82,F105,Q$2:Q$82)</f>
        <v>3.3064867467669448</v>
      </c>
      <c r="T105" s="84"/>
    </row>
    <row r="106" spans="6:20" ht="14.25" customHeight="1" x14ac:dyDescent="0.2">
      <c r="F106" s="41" t="s">
        <v>140</v>
      </c>
      <c r="G106" s="72">
        <f t="shared" si="8"/>
        <v>907875</v>
      </c>
      <c r="H106" s="73">
        <f t="shared" si="9"/>
        <v>83.268366504631757</v>
      </c>
      <c r="T106" s="84"/>
    </row>
    <row r="107" spans="6:20" ht="14.25" customHeight="1" x14ac:dyDescent="0.2">
      <c r="F107" s="50" t="s">
        <v>92</v>
      </c>
      <c r="G107" s="72">
        <f t="shared" si="8"/>
        <v>76703.311499999996</v>
      </c>
      <c r="H107" s="73">
        <f t="shared" si="9"/>
        <v>5.706221618683907</v>
      </c>
      <c r="T107" s="84"/>
    </row>
    <row r="108" spans="6:20" ht="14.25" customHeight="1" x14ac:dyDescent="0.2">
      <c r="F108" s="50" t="s">
        <v>712</v>
      </c>
      <c r="G108" s="72">
        <f t="shared" si="8"/>
        <v>49500</v>
      </c>
      <c r="H108" s="73">
        <f t="shared" si="9"/>
        <v>4.5400348527928092</v>
      </c>
      <c r="T108" s="84"/>
    </row>
    <row r="109" spans="6:20" ht="14.25" customHeight="1" x14ac:dyDescent="0.2">
      <c r="F109" s="50" t="s">
        <v>279</v>
      </c>
      <c r="G109" s="72">
        <f t="shared" si="8"/>
        <v>3190.5</v>
      </c>
      <c r="H109" s="73">
        <f t="shared" si="9"/>
        <v>0.10948403425955378</v>
      </c>
      <c r="T109" s="84"/>
    </row>
    <row r="110" spans="6:20" ht="14.25" customHeight="1" x14ac:dyDescent="0.2">
      <c r="F110" s="50" t="s">
        <v>294</v>
      </c>
      <c r="G110" s="72">
        <f t="shared" si="8"/>
        <v>20750</v>
      </c>
      <c r="H110" s="73">
        <f t="shared" si="9"/>
        <v>1.90314592314042</v>
      </c>
      <c r="T110" s="84"/>
    </row>
    <row r="111" spans="6:20" ht="14.25" customHeight="1" x14ac:dyDescent="0.2">
      <c r="F111" s="50" t="s">
        <v>13</v>
      </c>
      <c r="G111" s="72">
        <f t="shared" si="8"/>
        <v>7593.063888888888</v>
      </c>
      <c r="H111" s="73">
        <f t="shared" si="9"/>
        <v>0.2117326591310566</v>
      </c>
      <c r="T111" s="84"/>
    </row>
    <row r="112" spans="6:20" ht="14.25" customHeight="1" x14ac:dyDescent="0.2">
      <c r="F112" s="50" t="s">
        <v>1042</v>
      </c>
      <c r="G112" s="72">
        <f t="shared" si="8"/>
        <v>4772.9166666666661</v>
      </c>
      <c r="H112" s="73">
        <f t="shared" si="9"/>
        <v>0.43776177810388572</v>
      </c>
      <c r="T112" s="84"/>
    </row>
    <row r="113" spans="6:20" ht="14.25" customHeight="1" x14ac:dyDescent="0.2">
      <c r="F113" s="41" t="s">
        <v>287</v>
      </c>
      <c r="G113" s="72">
        <f t="shared" si="8"/>
        <v>11371.5</v>
      </c>
      <c r="H113" s="73">
        <f t="shared" si="9"/>
        <v>1.0429698248188572</v>
      </c>
      <c r="T113" s="84"/>
    </row>
    <row r="114" spans="6:20" ht="14.25" customHeight="1" x14ac:dyDescent="0.2">
      <c r="F114" s="50" t="s">
        <v>516</v>
      </c>
      <c r="G114" s="72">
        <f t="shared" si="8"/>
        <v>38430</v>
      </c>
      <c r="H114" s="73">
        <f t="shared" si="9"/>
        <v>3.5247179675318718</v>
      </c>
      <c r="T114" s="84"/>
    </row>
    <row r="115" spans="6:20" ht="14.25" customHeight="1" x14ac:dyDescent="0.2">
      <c r="F115" s="50" t="s">
        <v>527</v>
      </c>
      <c r="G115" s="72">
        <f t="shared" si="8"/>
        <v>6100</v>
      </c>
      <c r="H115" s="73">
        <f t="shared" si="9"/>
        <v>0.5594790424653765</v>
      </c>
      <c r="T115" s="84"/>
    </row>
    <row r="116" spans="6:20" ht="14.25" customHeight="1" x14ac:dyDescent="0.2">
      <c r="T116" s="84"/>
    </row>
    <row r="117" spans="6:20" ht="14.25" customHeight="1" x14ac:dyDescent="0.2">
      <c r="T117" s="84"/>
    </row>
    <row r="118" spans="6:20" ht="14.25" customHeight="1" x14ac:dyDescent="0.2">
      <c r="T118" s="84"/>
    </row>
    <row r="119" spans="6:20" ht="14.25" customHeight="1" x14ac:dyDescent="0.2">
      <c r="T119" s="84"/>
    </row>
    <row r="120" spans="6:20" ht="14.25" customHeight="1" x14ac:dyDescent="0.2">
      <c r="T120" s="84"/>
    </row>
    <row r="121" spans="6:20" ht="14.25" customHeight="1" x14ac:dyDescent="0.2">
      <c r="T121" s="84"/>
    </row>
    <row r="122" spans="6:20" ht="14.25" customHeight="1" x14ac:dyDescent="0.2">
      <c r="T122" s="84"/>
    </row>
    <row r="123" spans="6:20" ht="14.25" customHeight="1" x14ac:dyDescent="0.2">
      <c r="T123" s="84"/>
    </row>
    <row r="124" spans="6:20" ht="14.25" customHeight="1" x14ac:dyDescent="0.2">
      <c r="T124" s="84"/>
    </row>
    <row r="125" spans="6:20" ht="14.25" customHeight="1" x14ac:dyDescent="0.2">
      <c r="T125" s="84"/>
    </row>
    <row r="126" spans="6:20" ht="14.25" customHeight="1" x14ac:dyDescent="0.2">
      <c r="T126" s="84"/>
    </row>
    <row r="127" spans="6:20" ht="14.25" customHeight="1" x14ac:dyDescent="0.2">
      <c r="T127" s="84"/>
    </row>
    <row r="128" spans="6: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288">
    <mergeCell ref="B21:B35"/>
    <mergeCell ref="C21:C24"/>
    <mergeCell ref="C25:C32"/>
    <mergeCell ref="C34:C35"/>
    <mergeCell ref="D39:D41"/>
    <mergeCell ref="E39:E41"/>
    <mergeCell ref="E48:E51"/>
    <mergeCell ref="F48:F51"/>
    <mergeCell ref="G44:G53"/>
    <mergeCell ref="D52:D53"/>
    <mergeCell ref="E52:E53"/>
    <mergeCell ref="F52:F53"/>
    <mergeCell ref="Q58:Q59"/>
    <mergeCell ref="R58:R59"/>
    <mergeCell ref="F58:F59"/>
    <mergeCell ref="G58:G59"/>
    <mergeCell ref="K54:K56"/>
    <mergeCell ref="L54:L56"/>
    <mergeCell ref="B54:B59"/>
    <mergeCell ref="C54:C59"/>
    <mergeCell ref="D54:D57"/>
    <mergeCell ref="E54:E56"/>
    <mergeCell ref="I54:I59"/>
    <mergeCell ref="J54:J56"/>
    <mergeCell ref="J58:J59"/>
    <mergeCell ref="M54:M56"/>
    <mergeCell ref="N54:N56"/>
    <mergeCell ref="D58:D59"/>
    <mergeCell ref="E58:E59"/>
    <mergeCell ref="K58:K59"/>
    <mergeCell ref="L58:L59"/>
    <mergeCell ref="K52:K53"/>
    <mergeCell ref="L52:L53"/>
    <mergeCell ref="M52:M53"/>
    <mergeCell ref="N52:N53"/>
    <mergeCell ref="F54:F56"/>
    <mergeCell ref="G54:G57"/>
    <mergeCell ref="H54:H59"/>
    <mergeCell ref="M58:M59"/>
    <mergeCell ref="N58:N59"/>
    <mergeCell ref="Q60:Q62"/>
    <mergeCell ref="R60:R62"/>
    <mergeCell ref="R63:R65"/>
    <mergeCell ref="Q74:Q75"/>
    <mergeCell ref="R74:R75"/>
    <mergeCell ref="Q76:Q78"/>
    <mergeCell ref="R76:R78"/>
    <mergeCell ref="Q79:Q82"/>
    <mergeCell ref="R79:R82"/>
    <mergeCell ref="Q63:Q65"/>
    <mergeCell ref="Q66:Q67"/>
    <mergeCell ref="R66:R67"/>
    <mergeCell ref="Q68:Q70"/>
    <mergeCell ref="R68:R70"/>
    <mergeCell ref="Q71:Q73"/>
    <mergeCell ref="R71:R73"/>
    <mergeCell ref="J60:J62"/>
    <mergeCell ref="J66:J67"/>
    <mergeCell ref="K66:K67"/>
    <mergeCell ref="L66:L67"/>
    <mergeCell ref="I68:I70"/>
    <mergeCell ref="J68:J70"/>
    <mergeCell ref="K68:K70"/>
    <mergeCell ref="L68:L70"/>
    <mergeCell ref="B60:B70"/>
    <mergeCell ref="C60:C70"/>
    <mergeCell ref="D60:D62"/>
    <mergeCell ref="E60:E62"/>
    <mergeCell ref="F60:F62"/>
    <mergeCell ref="G60:G62"/>
    <mergeCell ref="D63:D65"/>
    <mergeCell ref="E63:E65"/>
    <mergeCell ref="F63:F65"/>
    <mergeCell ref="G63:G65"/>
    <mergeCell ref="H60:H70"/>
    <mergeCell ref="I60:I67"/>
    <mergeCell ref="K60:K62"/>
    <mergeCell ref="L60:L62"/>
    <mergeCell ref="L63:L65"/>
    <mergeCell ref="F39:F41"/>
    <mergeCell ref="B44:B53"/>
    <mergeCell ref="C44:C53"/>
    <mergeCell ref="D44:D47"/>
    <mergeCell ref="E44:E47"/>
    <mergeCell ref="F44:F47"/>
    <mergeCell ref="D48:D51"/>
    <mergeCell ref="B36:B41"/>
    <mergeCell ref="C36:C41"/>
    <mergeCell ref="K36:K37"/>
    <mergeCell ref="L36:L37"/>
    <mergeCell ref="J36:J37"/>
    <mergeCell ref="J39:J41"/>
    <mergeCell ref="K39:K41"/>
    <mergeCell ref="L39:L41"/>
    <mergeCell ref="J48:J51"/>
    <mergeCell ref="J52:J53"/>
    <mergeCell ref="J63:J65"/>
    <mergeCell ref="K63:K65"/>
    <mergeCell ref="F74:F75"/>
    <mergeCell ref="G74:G75"/>
    <mergeCell ref="D76:D78"/>
    <mergeCell ref="E76:E78"/>
    <mergeCell ref="F76:F78"/>
    <mergeCell ref="G76:G78"/>
    <mergeCell ref="D79:D82"/>
    <mergeCell ref="E79:E82"/>
    <mergeCell ref="F79:F82"/>
    <mergeCell ref="G79:G82"/>
    <mergeCell ref="D74:D75"/>
    <mergeCell ref="E74:E75"/>
    <mergeCell ref="A2:A82"/>
    <mergeCell ref="C2:C4"/>
    <mergeCell ref="E2:E3"/>
    <mergeCell ref="F2:F3"/>
    <mergeCell ref="G2:G4"/>
    <mergeCell ref="G5:G6"/>
    <mergeCell ref="G7:G10"/>
    <mergeCell ref="D66:D67"/>
    <mergeCell ref="E66:E67"/>
    <mergeCell ref="F66:F67"/>
    <mergeCell ref="G66:G67"/>
    <mergeCell ref="D68:D70"/>
    <mergeCell ref="E68:E70"/>
    <mergeCell ref="F68:F70"/>
    <mergeCell ref="G68:G70"/>
    <mergeCell ref="B71:B82"/>
    <mergeCell ref="C71:C82"/>
    <mergeCell ref="D71:D73"/>
    <mergeCell ref="E71:E73"/>
    <mergeCell ref="F71:F73"/>
    <mergeCell ref="G71:G73"/>
    <mergeCell ref="B5:B6"/>
    <mergeCell ref="C5:C6"/>
    <mergeCell ref="B2:B4"/>
    <mergeCell ref="N63:N65"/>
    <mergeCell ref="M66:M67"/>
    <mergeCell ref="N66:N67"/>
    <mergeCell ref="N68:N70"/>
    <mergeCell ref="N71:N73"/>
    <mergeCell ref="J74:J75"/>
    <mergeCell ref="K74:K75"/>
    <mergeCell ref="L74:L75"/>
    <mergeCell ref="M74:M75"/>
    <mergeCell ref="N74:N75"/>
    <mergeCell ref="M68:M70"/>
    <mergeCell ref="F19:F20"/>
    <mergeCell ref="G19:G20"/>
    <mergeCell ref="H71:H82"/>
    <mergeCell ref="I71:I82"/>
    <mergeCell ref="J71:J73"/>
    <mergeCell ref="K71:K73"/>
    <mergeCell ref="L71:L73"/>
    <mergeCell ref="M71:M73"/>
    <mergeCell ref="O2:O82"/>
    <mergeCell ref="H2:H4"/>
    <mergeCell ref="I2:I4"/>
    <mergeCell ref="J2:J4"/>
    <mergeCell ref="K2:K4"/>
    <mergeCell ref="L2:L3"/>
    <mergeCell ref="M2:M3"/>
    <mergeCell ref="N2:N3"/>
    <mergeCell ref="H5:H6"/>
    <mergeCell ref="I5:I6"/>
    <mergeCell ref="J5:J6"/>
    <mergeCell ref="K5:K6"/>
    <mergeCell ref="J19:J20"/>
    <mergeCell ref="K19:K20"/>
    <mergeCell ref="L19:L20"/>
    <mergeCell ref="M19:M20"/>
    <mergeCell ref="R19:R20"/>
    <mergeCell ref="Q19:Q20"/>
    <mergeCell ref="B7:B20"/>
    <mergeCell ref="L21:L24"/>
    <mergeCell ref="M21:M24"/>
    <mergeCell ref="N21:N24"/>
    <mergeCell ref="D2:D3"/>
    <mergeCell ref="D7:D10"/>
    <mergeCell ref="D36:D37"/>
    <mergeCell ref="E36:E37"/>
    <mergeCell ref="F36:F37"/>
    <mergeCell ref="G36:G41"/>
    <mergeCell ref="I36:I41"/>
    <mergeCell ref="M7:M10"/>
    <mergeCell ref="N7:N10"/>
    <mergeCell ref="E11:E18"/>
    <mergeCell ref="F11:F18"/>
    <mergeCell ref="J7:J10"/>
    <mergeCell ref="J11:J18"/>
    <mergeCell ref="K11:K18"/>
    <mergeCell ref="L11:L18"/>
    <mergeCell ref="M11:M18"/>
    <mergeCell ref="N11:N18"/>
    <mergeCell ref="E19:E20"/>
    <mergeCell ref="K7:K10"/>
    <mergeCell ref="L7:L10"/>
    <mergeCell ref="G11:G18"/>
    <mergeCell ref="Q2:Q3"/>
    <mergeCell ref="R2:R3"/>
    <mergeCell ref="Q7:Q10"/>
    <mergeCell ref="R7:R10"/>
    <mergeCell ref="Q11:Q18"/>
    <mergeCell ref="R11:R18"/>
    <mergeCell ref="P2:P82"/>
    <mergeCell ref="N19:N20"/>
    <mergeCell ref="J76:J78"/>
    <mergeCell ref="K76:K78"/>
    <mergeCell ref="L76:L78"/>
    <mergeCell ref="M76:M78"/>
    <mergeCell ref="N76:N78"/>
    <mergeCell ref="J79:J82"/>
    <mergeCell ref="K79:K82"/>
    <mergeCell ref="L79:L82"/>
    <mergeCell ref="M79:M82"/>
    <mergeCell ref="N79:N82"/>
    <mergeCell ref="M60:M62"/>
    <mergeCell ref="N60:N62"/>
    <mergeCell ref="M63:M65"/>
    <mergeCell ref="Q21:Q24"/>
    <mergeCell ref="R21:R24"/>
    <mergeCell ref="Q25:Q32"/>
    <mergeCell ref="R25:R32"/>
    <mergeCell ref="Q34:Q35"/>
    <mergeCell ref="R34:R35"/>
    <mergeCell ref="Q48:Q51"/>
    <mergeCell ref="Q52:Q53"/>
    <mergeCell ref="Q36:Q37"/>
    <mergeCell ref="R36:R37"/>
    <mergeCell ref="Q39:Q41"/>
    <mergeCell ref="R39:R41"/>
    <mergeCell ref="Q44:Q47"/>
    <mergeCell ref="R44:R47"/>
    <mergeCell ref="R48:R51"/>
    <mergeCell ref="R52:R53"/>
    <mergeCell ref="C7:C20"/>
    <mergeCell ref="D11:D18"/>
    <mergeCell ref="D19:D20"/>
    <mergeCell ref="H21:H35"/>
    <mergeCell ref="I21:I35"/>
    <mergeCell ref="J21:J24"/>
    <mergeCell ref="K21:K24"/>
    <mergeCell ref="D21:D24"/>
    <mergeCell ref="E21:E24"/>
    <mergeCell ref="F21:F24"/>
    <mergeCell ref="G21:G24"/>
    <mergeCell ref="D25:D32"/>
    <mergeCell ref="E25:E32"/>
    <mergeCell ref="F25:F32"/>
    <mergeCell ref="G25:G32"/>
    <mergeCell ref="D34:D35"/>
    <mergeCell ref="E34:E35"/>
    <mergeCell ref="F34:F35"/>
    <mergeCell ref="G34:G35"/>
    <mergeCell ref="J25:J32"/>
    <mergeCell ref="E7:E10"/>
    <mergeCell ref="F7:F10"/>
    <mergeCell ref="H7:H20"/>
    <mergeCell ref="I7:I20"/>
    <mergeCell ref="K25:K32"/>
    <mergeCell ref="L25:L32"/>
    <mergeCell ref="M25:M32"/>
    <mergeCell ref="N25:N32"/>
    <mergeCell ref="L34:L35"/>
    <mergeCell ref="M34:M35"/>
    <mergeCell ref="N34:N35"/>
    <mergeCell ref="J34:J35"/>
    <mergeCell ref="K34:K35"/>
    <mergeCell ref="T55:U55"/>
    <mergeCell ref="H44:H47"/>
    <mergeCell ref="H48:H53"/>
    <mergeCell ref="I48:I53"/>
    <mergeCell ref="K48:K51"/>
    <mergeCell ref="L48:L51"/>
    <mergeCell ref="M48:M51"/>
    <mergeCell ref="N48:N51"/>
    <mergeCell ref="M39:M41"/>
    <mergeCell ref="N39:N41"/>
    <mergeCell ref="H36:H41"/>
    <mergeCell ref="I44:I47"/>
    <mergeCell ref="J44:J47"/>
    <mergeCell ref="K44:K47"/>
    <mergeCell ref="L44:L47"/>
    <mergeCell ref="M44:M47"/>
    <mergeCell ref="N44:N47"/>
    <mergeCell ref="M36:M37"/>
    <mergeCell ref="N36:N37"/>
    <mergeCell ref="T37:AC37"/>
    <mergeCell ref="Q54:Q56"/>
    <mergeCell ref="R54:R56"/>
  </mergeCells>
  <conditionalFormatting sqref="R2:R82">
    <cfRule type="colorScale" priority="1">
      <colorScale>
        <cfvo type="min"/>
        <cfvo type="percentile" val="50"/>
        <cfvo type="max"/>
        <color rgb="FFF8696B"/>
        <color rgb="FFFFEB84"/>
        <color rgb="FF63BE7B"/>
      </colorScale>
    </cfRule>
  </conditionalFormatting>
  <hyperlinks>
    <hyperlink ref="S7" r:id="rId1" xr:uid="{00000000-0004-0000-0C00-000000000000}"/>
    <hyperlink ref="S9" r:id="rId2" xr:uid="{00000000-0004-0000-0C00-000001000000}"/>
    <hyperlink ref="S12" r:id="rId3" xr:uid="{00000000-0004-0000-0C00-000002000000}"/>
    <hyperlink ref="S15" r:id="rId4" xr:uid="{00000000-0004-0000-0C00-000003000000}"/>
    <hyperlink ref="S20" r:id="rId5" xr:uid="{00000000-0004-0000-0C00-000004000000}"/>
    <hyperlink ref="S21" r:id="rId6" xr:uid="{00000000-0004-0000-0C00-000005000000}"/>
    <hyperlink ref="S22" r:id="rId7" xr:uid="{00000000-0004-0000-0C00-000006000000}"/>
    <hyperlink ref="S26" r:id="rId8" xr:uid="{00000000-0004-0000-0C00-000007000000}"/>
    <hyperlink ref="S32" r:id="rId9" xr:uid="{00000000-0004-0000-0C00-000008000000}"/>
    <hyperlink ref="S33" r:id="rId10" xr:uid="{00000000-0004-0000-0C00-000009000000}"/>
    <hyperlink ref="S42" r:id="rId11" xr:uid="{00000000-0004-0000-0C00-00000A000000}"/>
    <hyperlink ref="S45" r:id="rId12" xr:uid="{00000000-0004-0000-0C00-00000B000000}"/>
    <hyperlink ref="S51" r:id="rId13" xr:uid="{00000000-0004-0000-0C00-00000C000000}"/>
    <hyperlink ref="S53" r:id="rId14" xr:uid="{00000000-0004-0000-0C00-00000D000000}"/>
    <hyperlink ref="S57" r:id="rId15" xr:uid="{00000000-0004-0000-0C00-00000E000000}"/>
    <hyperlink ref="S59" r:id="rId16" xr:uid="{00000000-0004-0000-0C00-00000F000000}"/>
    <hyperlink ref="S65" r:id="rId17" xr:uid="{00000000-0004-0000-0C00-000010000000}"/>
    <hyperlink ref="S68" r:id="rId18" xr:uid="{00000000-0004-0000-0C00-000011000000}"/>
  </hyperlinks>
  <pageMargins left="0.7" right="0.7" top="0.75" bottom="0.75" header="0" footer="0"/>
  <pageSetup orientation="portrait"/>
  <drawing r:id="rId19"/>
  <legacyDrawing r:id="rId2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115</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746</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748</v>
      </c>
      <c r="B2" s="183" t="s">
        <v>53</v>
      </c>
      <c r="C2" s="183" t="s">
        <v>139</v>
      </c>
      <c r="D2" s="179" t="s">
        <v>140</v>
      </c>
      <c r="E2" s="179" t="s">
        <v>140</v>
      </c>
      <c r="F2" s="179" t="s">
        <v>140</v>
      </c>
      <c r="G2" s="182">
        <v>1</v>
      </c>
      <c r="H2" s="182">
        <v>410</v>
      </c>
      <c r="I2" s="183" t="s">
        <v>142</v>
      </c>
      <c r="J2" s="178">
        <v>0.5</v>
      </c>
      <c r="K2" s="178">
        <v>1.5</v>
      </c>
      <c r="L2" s="178">
        <v>150</v>
      </c>
      <c r="M2" s="179" t="s">
        <v>749</v>
      </c>
      <c r="N2" s="188">
        <f>L2*K2*J2*H2</f>
        <v>46125</v>
      </c>
      <c r="O2" s="186">
        <v>8670</v>
      </c>
      <c r="P2" s="187" t="s">
        <v>750</v>
      </c>
      <c r="Q2" s="175">
        <f>N2/O2</f>
        <v>5.320069204152249</v>
      </c>
      <c r="R2" s="191">
        <v>4</v>
      </c>
      <c r="S2" s="14" t="s">
        <v>149</v>
      </c>
      <c r="T2" s="85" t="s">
        <v>150</v>
      </c>
      <c r="U2" s="85"/>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181"/>
      <c r="C3" s="181"/>
      <c r="D3" s="176"/>
      <c r="E3" s="176"/>
      <c r="F3" s="176"/>
      <c r="G3" s="181"/>
      <c r="H3" s="181"/>
      <c r="I3" s="181"/>
      <c r="J3" s="181"/>
      <c r="K3" s="181"/>
      <c r="L3" s="176"/>
      <c r="M3" s="176"/>
      <c r="N3" s="176"/>
      <c r="O3" s="181"/>
      <c r="P3" s="181"/>
      <c r="Q3" s="176"/>
      <c r="R3" s="176"/>
      <c r="S3" s="14" t="s">
        <v>401</v>
      </c>
      <c r="T3" s="85" t="s">
        <v>714</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76"/>
      <c r="C4" s="176"/>
      <c r="D4" s="14" t="s">
        <v>154</v>
      </c>
      <c r="E4" s="14" t="s">
        <v>155</v>
      </c>
      <c r="F4" s="14" t="s">
        <v>156</v>
      </c>
      <c r="G4" s="176"/>
      <c r="H4" s="176"/>
      <c r="I4" s="176"/>
      <c r="J4" s="176"/>
      <c r="K4" s="176"/>
      <c r="L4" s="14">
        <v>5.25</v>
      </c>
      <c r="M4" s="14" t="s">
        <v>755</v>
      </c>
      <c r="N4" s="38">
        <f>L4*K2*J2*H2</f>
        <v>1614.375</v>
      </c>
      <c r="O4" s="181"/>
      <c r="P4" s="181"/>
      <c r="Q4" s="19">
        <f t="shared" ref="Q4:Q7" si="0">N4/$O$2</f>
        <v>0.18620242214532873</v>
      </c>
      <c r="R4" s="48">
        <v>4</v>
      </c>
      <c r="S4" s="40" t="s">
        <v>240</v>
      </c>
      <c r="T4" s="14" t="s">
        <v>757</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183" t="s">
        <v>164</v>
      </c>
      <c r="C5" s="183" t="s">
        <v>165</v>
      </c>
      <c r="D5" s="14" t="s">
        <v>140</v>
      </c>
      <c r="E5" s="41" t="s">
        <v>140</v>
      </c>
      <c r="F5" s="41" t="s">
        <v>140</v>
      </c>
      <c r="G5" s="182">
        <v>1</v>
      </c>
      <c r="H5" s="182">
        <v>8750</v>
      </c>
      <c r="I5" s="183" t="s">
        <v>166</v>
      </c>
      <c r="J5" s="175">
        <v>0.58333333333333337</v>
      </c>
      <c r="K5" s="179" t="s">
        <v>27</v>
      </c>
      <c r="L5" s="14">
        <v>150</v>
      </c>
      <c r="M5" s="14" t="s">
        <v>760</v>
      </c>
      <c r="N5" s="38">
        <f>L5*J5*H5</f>
        <v>765625</v>
      </c>
      <c r="O5" s="181"/>
      <c r="P5" s="181"/>
      <c r="Q5" s="19">
        <f t="shared" si="0"/>
        <v>88.307381776239907</v>
      </c>
      <c r="R5" s="49">
        <v>5</v>
      </c>
      <c r="S5" s="14" t="s">
        <v>388</v>
      </c>
      <c r="T5" s="85"/>
      <c r="U5" s="85"/>
      <c r="V5" s="85"/>
      <c r="W5" s="85"/>
      <c r="X5" s="85"/>
      <c r="Y5" s="85"/>
      <c r="Z5" s="85"/>
      <c r="AA5" s="85"/>
      <c r="AB5" s="85"/>
      <c r="AC5" s="85"/>
      <c r="AD5" s="85"/>
      <c r="AE5" s="85"/>
      <c r="AF5" s="85"/>
      <c r="AG5" s="85"/>
      <c r="AH5" s="85"/>
      <c r="AI5" s="85"/>
      <c r="AJ5" s="85"/>
      <c r="AK5" s="85"/>
      <c r="AL5" s="85"/>
      <c r="AM5" s="85"/>
      <c r="AN5" s="85"/>
    </row>
    <row r="6" spans="1:40" ht="14.25" customHeight="1" x14ac:dyDescent="0.2">
      <c r="A6" s="181"/>
      <c r="B6" s="176"/>
      <c r="C6" s="176"/>
      <c r="D6" s="14" t="s">
        <v>154</v>
      </c>
      <c r="E6" s="41" t="s">
        <v>155</v>
      </c>
      <c r="F6" s="41" t="s">
        <v>156</v>
      </c>
      <c r="G6" s="176"/>
      <c r="H6" s="176"/>
      <c r="I6" s="176"/>
      <c r="J6" s="176"/>
      <c r="K6" s="176"/>
      <c r="L6" s="14">
        <v>6</v>
      </c>
      <c r="M6" s="14" t="s">
        <v>763</v>
      </c>
      <c r="N6" s="38">
        <f>L6*J5*H5</f>
        <v>30625</v>
      </c>
      <c r="O6" s="181"/>
      <c r="P6" s="181"/>
      <c r="Q6" s="19">
        <f t="shared" si="0"/>
        <v>3.5322952710495965</v>
      </c>
      <c r="R6" s="49">
        <v>5</v>
      </c>
      <c r="S6" s="14" t="s">
        <v>174</v>
      </c>
      <c r="T6" s="85" t="s">
        <v>175</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183" t="s">
        <v>209</v>
      </c>
      <c r="C7" s="184" t="s">
        <v>768</v>
      </c>
      <c r="D7" s="179" t="s">
        <v>743</v>
      </c>
      <c r="E7" s="179" t="s">
        <v>92</v>
      </c>
      <c r="F7" s="179" t="s">
        <v>3</v>
      </c>
      <c r="G7" s="182">
        <v>1</v>
      </c>
      <c r="H7" s="182">
        <v>8850</v>
      </c>
      <c r="I7" s="183" t="s">
        <v>166</v>
      </c>
      <c r="J7" s="175">
        <v>3.6458333333333336E-2</v>
      </c>
      <c r="K7" s="179" t="s">
        <v>27</v>
      </c>
      <c r="L7" s="178">
        <v>1.44</v>
      </c>
      <c r="M7" s="179" t="s">
        <v>773</v>
      </c>
      <c r="N7" s="195">
        <f>L7*H7</f>
        <v>12744</v>
      </c>
      <c r="O7" s="181"/>
      <c r="P7" s="181"/>
      <c r="Q7" s="175">
        <f t="shared" si="0"/>
        <v>1.4698961937716264</v>
      </c>
      <c r="R7" s="190">
        <v>3</v>
      </c>
      <c r="S7" s="40" t="s">
        <v>365</v>
      </c>
      <c r="T7" s="85" t="s">
        <v>366</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181"/>
      <c r="C8" s="181"/>
      <c r="D8" s="181"/>
      <c r="E8" s="181"/>
      <c r="F8" s="181"/>
      <c r="G8" s="181"/>
      <c r="H8" s="181"/>
      <c r="I8" s="181"/>
      <c r="J8" s="181"/>
      <c r="K8" s="181"/>
      <c r="L8" s="181"/>
      <c r="M8" s="181"/>
      <c r="N8" s="181"/>
      <c r="O8" s="181"/>
      <c r="P8" s="181"/>
      <c r="Q8" s="181"/>
      <c r="R8" s="181"/>
      <c r="S8" s="14" t="s">
        <v>368</v>
      </c>
      <c r="T8" s="85" t="s">
        <v>369</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181"/>
      <c r="C9" s="181"/>
      <c r="D9" s="181"/>
      <c r="E9" s="181"/>
      <c r="F9" s="181"/>
      <c r="G9" s="181"/>
      <c r="H9" s="181"/>
      <c r="I9" s="181"/>
      <c r="J9" s="181"/>
      <c r="K9" s="181"/>
      <c r="L9" s="181"/>
      <c r="M9" s="181"/>
      <c r="N9" s="181"/>
      <c r="O9" s="181"/>
      <c r="P9" s="181"/>
      <c r="Q9" s="181"/>
      <c r="R9" s="181"/>
      <c r="S9" s="40" t="s">
        <v>370</v>
      </c>
      <c r="T9" s="85" t="s">
        <v>372</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181"/>
      <c r="C10" s="181"/>
      <c r="D10" s="176"/>
      <c r="E10" s="176"/>
      <c r="F10" s="176"/>
      <c r="G10" s="176"/>
      <c r="H10" s="181"/>
      <c r="I10" s="181"/>
      <c r="J10" s="176"/>
      <c r="K10" s="176"/>
      <c r="L10" s="176"/>
      <c r="M10" s="176"/>
      <c r="N10" s="176"/>
      <c r="O10" s="181"/>
      <c r="P10" s="181"/>
      <c r="Q10" s="176"/>
      <c r="R10" s="176"/>
      <c r="S10" s="40" t="s">
        <v>685</v>
      </c>
      <c r="T10" s="85" t="s">
        <v>686</v>
      </c>
      <c r="U10" s="85"/>
      <c r="V10" s="85"/>
      <c r="W10" s="85"/>
      <c r="X10" s="85"/>
      <c r="Y10" s="85"/>
      <c r="Z10" s="85"/>
      <c r="AA10" s="85"/>
      <c r="AB10" s="85"/>
      <c r="AC10" s="85"/>
      <c r="AD10" s="85"/>
      <c r="AE10" s="85"/>
      <c r="AF10" s="85"/>
      <c r="AG10" s="85"/>
      <c r="AH10" s="85"/>
      <c r="AI10" s="85"/>
      <c r="AJ10" s="85"/>
      <c r="AK10" s="85"/>
      <c r="AL10" s="85"/>
      <c r="AM10" s="85"/>
      <c r="AN10" s="85"/>
    </row>
    <row r="11" spans="1:40" ht="14.25" customHeight="1" x14ac:dyDescent="0.2">
      <c r="A11" s="181"/>
      <c r="B11" s="181"/>
      <c r="C11" s="181"/>
      <c r="D11" s="179" t="s">
        <v>753</v>
      </c>
      <c r="E11" s="179" t="s">
        <v>92</v>
      </c>
      <c r="F11" s="179" t="s">
        <v>4</v>
      </c>
      <c r="G11" s="178">
        <v>144</v>
      </c>
      <c r="H11" s="181"/>
      <c r="I11" s="181"/>
      <c r="J11" s="175" t="s">
        <v>784</v>
      </c>
      <c r="K11" s="178">
        <v>18</v>
      </c>
      <c r="L11" s="178">
        <v>3.75</v>
      </c>
      <c r="M11" s="179" t="s">
        <v>376</v>
      </c>
      <c r="N11" s="180">
        <f>L11*K11*G11</f>
        <v>9720</v>
      </c>
      <c r="O11" s="181"/>
      <c r="P11" s="181"/>
      <c r="Q11" s="175">
        <f>N11/$O$2</f>
        <v>1.1211072664359862</v>
      </c>
      <c r="R11" s="190">
        <v>2</v>
      </c>
      <c r="S11" s="14" t="s">
        <v>579</v>
      </c>
      <c r="T11" s="14" t="s">
        <v>789</v>
      </c>
      <c r="U11" s="85"/>
      <c r="V11" s="85"/>
      <c r="W11" s="85"/>
      <c r="X11" s="85"/>
      <c r="Y11" s="85"/>
      <c r="Z11" s="85"/>
      <c r="AA11" s="85"/>
      <c r="AB11" s="85"/>
      <c r="AC11" s="85"/>
      <c r="AD11" s="85"/>
      <c r="AE11" s="85"/>
      <c r="AF11" s="85"/>
      <c r="AG11" s="85"/>
      <c r="AH11" s="85"/>
      <c r="AI11" s="85"/>
      <c r="AJ11" s="85"/>
      <c r="AK11" s="85"/>
      <c r="AL11" s="85"/>
      <c r="AM11" s="85"/>
      <c r="AN11" s="85"/>
    </row>
    <row r="12" spans="1:40" ht="14.25" customHeight="1" x14ac:dyDescent="0.2">
      <c r="A12" s="181"/>
      <c r="B12" s="181"/>
      <c r="C12" s="181"/>
      <c r="D12" s="181"/>
      <c r="E12" s="181"/>
      <c r="F12" s="181"/>
      <c r="G12" s="181"/>
      <c r="H12" s="181"/>
      <c r="I12" s="181"/>
      <c r="J12" s="181"/>
      <c r="K12" s="181"/>
      <c r="L12" s="181"/>
      <c r="M12" s="181"/>
      <c r="N12" s="181"/>
      <c r="O12" s="181"/>
      <c r="P12" s="181"/>
      <c r="Q12" s="181"/>
      <c r="R12" s="181"/>
      <c r="S12" s="40" t="s">
        <v>758</v>
      </c>
      <c r="T12" s="14" t="s">
        <v>759</v>
      </c>
      <c r="U12" s="85"/>
      <c r="V12" s="85"/>
      <c r="W12" s="85"/>
      <c r="X12" s="85"/>
      <c r="Y12" s="85"/>
      <c r="Z12" s="85"/>
      <c r="AA12" s="85"/>
      <c r="AB12" s="85"/>
      <c r="AC12" s="85"/>
      <c r="AD12" s="85"/>
      <c r="AE12" s="85"/>
      <c r="AF12" s="85"/>
      <c r="AG12" s="85"/>
      <c r="AH12" s="85"/>
      <c r="AI12" s="85"/>
      <c r="AJ12" s="85"/>
      <c r="AK12" s="85"/>
      <c r="AL12" s="85"/>
      <c r="AM12" s="85"/>
      <c r="AN12" s="85"/>
    </row>
    <row r="13" spans="1:40" ht="14.25" customHeight="1" x14ac:dyDescent="0.2">
      <c r="A13" s="181"/>
      <c r="B13" s="181"/>
      <c r="C13" s="181"/>
      <c r="D13" s="181"/>
      <c r="E13" s="181"/>
      <c r="F13" s="181"/>
      <c r="G13" s="181"/>
      <c r="H13" s="181"/>
      <c r="I13" s="181"/>
      <c r="J13" s="181"/>
      <c r="K13" s="181"/>
      <c r="L13" s="181"/>
      <c r="M13" s="181"/>
      <c r="N13" s="181"/>
      <c r="O13" s="181"/>
      <c r="P13" s="181"/>
      <c r="Q13" s="181"/>
      <c r="R13" s="181"/>
      <c r="S13" s="40" t="s">
        <v>761</v>
      </c>
      <c r="T13" s="14" t="s">
        <v>762</v>
      </c>
      <c r="U13" s="85"/>
      <c r="V13" s="85"/>
      <c r="W13" s="85"/>
      <c r="X13" s="85"/>
      <c r="Y13" s="85"/>
      <c r="Z13" s="85"/>
      <c r="AA13" s="85"/>
      <c r="AB13" s="85"/>
      <c r="AC13" s="85"/>
      <c r="AD13" s="85"/>
      <c r="AE13" s="85"/>
      <c r="AF13" s="85"/>
      <c r="AG13" s="85"/>
      <c r="AH13" s="85"/>
      <c r="AI13" s="85"/>
      <c r="AJ13" s="85"/>
      <c r="AK13" s="85"/>
      <c r="AL13" s="85"/>
      <c r="AM13" s="85"/>
      <c r="AN13" s="85"/>
    </row>
    <row r="14" spans="1:40" ht="14.25" customHeight="1" x14ac:dyDescent="0.2">
      <c r="A14" s="181"/>
      <c r="B14" s="181"/>
      <c r="C14" s="181"/>
      <c r="D14" s="181"/>
      <c r="E14" s="181"/>
      <c r="F14" s="181"/>
      <c r="G14" s="181"/>
      <c r="H14" s="181"/>
      <c r="I14" s="181"/>
      <c r="J14" s="181"/>
      <c r="K14" s="181"/>
      <c r="L14" s="181"/>
      <c r="M14" s="181"/>
      <c r="N14" s="181"/>
      <c r="O14" s="181"/>
      <c r="P14" s="181"/>
      <c r="Q14" s="181"/>
      <c r="R14" s="181"/>
      <c r="S14" s="40" t="s">
        <v>195</v>
      </c>
      <c r="T14" s="14" t="s">
        <v>797</v>
      </c>
      <c r="U14" s="85"/>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181"/>
      <c r="C15" s="181"/>
      <c r="D15" s="181"/>
      <c r="E15" s="181"/>
      <c r="F15" s="181"/>
      <c r="G15" s="181"/>
      <c r="H15" s="181"/>
      <c r="I15" s="181"/>
      <c r="J15" s="181"/>
      <c r="K15" s="181"/>
      <c r="L15" s="181"/>
      <c r="M15" s="181"/>
      <c r="N15" s="181"/>
      <c r="O15" s="181"/>
      <c r="P15" s="181"/>
      <c r="Q15" s="181"/>
      <c r="R15" s="181"/>
      <c r="S15" s="40" t="s">
        <v>764</v>
      </c>
      <c r="T15" s="14" t="s">
        <v>826</v>
      </c>
      <c r="U15" s="85"/>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181"/>
      <c r="C16" s="181"/>
      <c r="D16" s="181"/>
      <c r="E16" s="181"/>
      <c r="F16" s="181"/>
      <c r="G16" s="181"/>
      <c r="H16" s="181"/>
      <c r="I16" s="181"/>
      <c r="J16" s="181"/>
      <c r="K16" s="181"/>
      <c r="L16" s="181"/>
      <c r="M16" s="181"/>
      <c r="N16" s="181"/>
      <c r="O16" s="181"/>
      <c r="P16" s="181"/>
      <c r="Q16" s="181"/>
      <c r="R16" s="181"/>
      <c r="S16" s="40" t="s">
        <v>831</v>
      </c>
      <c r="T16" s="14" t="s">
        <v>834</v>
      </c>
      <c r="U16" s="85"/>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181"/>
      <c r="C17" s="181"/>
      <c r="D17" s="181"/>
      <c r="E17" s="181"/>
      <c r="F17" s="181"/>
      <c r="G17" s="181"/>
      <c r="H17" s="181"/>
      <c r="I17" s="181"/>
      <c r="J17" s="181"/>
      <c r="K17" s="181"/>
      <c r="L17" s="181"/>
      <c r="M17" s="181"/>
      <c r="N17" s="181"/>
      <c r="O17" s="181"/>
      <c r="P17" s="181"/>
      <c r="Q17" s="181"/>
      <c r="R17" s="181"/>
      <c r="S17" s="14" t="s">
        <v>181</v>
      </c>
      <c r="T17" s="14" t="s">
        <v>836</v>
      </c>
      <c r="U17" s="85"/>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181"/>
      <c r="C18" s="181"/>
      <c r="D18" s="176"/>
      <c r="E18" s="176"/>
      <c r="F18" s="176"/>
      <c r="G18" s="176"/>
      <c r="H18" s="181"/>
      <c r="I18" s="181"/>
      <c r="J18" s="176"/>
      <c r="K18" s="176"/>
      <c r="L18" s="176"/>
      <c r="M18" s="176"/>
      <c r="N18" s="176"/>
      <c r="O18" s="181"/>
      <c r="P18" s="181"/>
      <c r="Q18" s="176"/>
      <c r="R18" s="176"/>
      <c r="S18" s="14" t="s">
        <v>842</v>
      </c>
      <c r="T18" s="14" t="s">
        <v>843</v>
      </c>
      <c r="U18" s="85"/>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181"/>
      <c r="C19" s="181"/>
      <c r="D19" s="50" t="s">
        <v>850</v>
      </c>
      <c r="E19" s="50" t="s">
        <v>92</v>
      </c>
      <c r="F19" s="50" t="s">
        <v>4</v>
      </c>
      <c r="G19" s="53">
        <v>35</v>
      </c>
      <c r="H19" s="181"/>
      <c r="I19" s="181"/>
      <c r="J19" s="51" t="s">
        <v>839</v>
      </c>
      <c r="K19" s="53">
        <v>10</v>
      </c>
      <c r="L19" s="53">
        <v>11.25</v>
      </c>
      <c r="M19" s="50" t="s">
        <v>385</v>
      </c>
      <c r="N19" s="54">
        <f>L19*K19*G19</f>
        <v>3937.5</v>
      </c>
      <c r="O19" s="181"/>
      <c r="P19" s="181"/>
      <c r="Q19" s="51">
        <f>N19/O2</f>
        <v>0.45415224913494812</v>
      </c>
      <c r="R19" s="62">
        <v>1</v>
      </c>
      <c r="S19" s="14" t="s">
        <v>181</v>
      </c>
      <c r="T19" s="14" t="s">
        <v>857</v>
      </c>
      <c r="U19" s="85"/>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181"/>
      <c r="C20" s="181"/>
      <c r="D20" s="179" t="s">
        <v>860</v>
      </c>
      <c r="E20" s="179" t="s">
        <v>92</v>
      </c>
      <c r="F20" s="179" t="s">
        <v>4</v>
      </c>
      <c r="G20" s="178">
        <v>36</v>
      </c>
      <c r="H20" s="181"/>
      <c r="I20" s="181"/>
      <c r="J20" s="194">
        <f>48/12</f>
        <v>4</v>
      </c>
      <c r="K20" s="178">
        <v>55</v>
      </c>
      <c r="L20" s="178">
        <v>743</v>
      </c>
      <c r="M20" s="179" t="s">
        <v>865</v>
      </c>
      <c r="N20" s="180">
        <f>L20*G20</f>
        <v>26748</v>
      </c>
      <c r="O20" s="181"/>
      <c r="P20" s="181"/>
      <c r="Q20" s="175">
        <f>N20/O2</f>
        <v>3.0851211072664362</v>
      </c>
      <c r="R20" s="190">
        <v>1</v>
      </c>
      <c r="S20" s="14" t="s">
        <v>869</v>
      </c>
      <c r="T20" s="14" t="s">
        <v>870</v>
      </c>
      <c r="U20" s="85"/>
      <c r="V20" s="85"/>
      <c r="W20" s="85"/>
      <c r="X20" s="85"/>
      <c r="Y20" s="85"/>
      <c r="Z20" s="85"/>
      <c r="AA20" s="85"/>
      <c r="AB20" s="85"/>
      <c r="AC20" s="85"/>
      <c r="AD20" s="85"/>
      <c r="AE20" s="85"/>
      <c r="AF20" s="85"/>
      <c r="AG20" s="85"/>
      <c r="AH20" s="85"/>
      <c r="AI20" s="85"/>
      <c r="AJ20" s="85"/>
      <c r="AK20" s="85"/>
      <c r="AL20" s="85"/>
      <c r="AM20" s="85"/>
      <c r="AN20" s="85"/>
    </row>
    <row r="21" spans="1:40" ht="14.25" customHeight="1" x14ac:dyDescent="0.2">
      <c r="A21" s="181"/>
      <c r="B21" s="181"/>
      <c r="C21" s="181"/>
      <c r="D21" s="181"/>
      <c r="E21" s="181"/>
      <c r="F21" s="181"/>
      <c r="G21" s="181"/>
      <c r="H21" s="181"/>
      <c r="I21" s="181"/>
      <c r="J21" s="181"/>
      <c r="K21" s="181"/>
      <c r="L21" s="181"/>
      <c r="M21" s="181"/>
      <c r="N21" s="181"/>
      <c r="O21" s="181"/>
      <c r="P21" s="181"/>
      <c r="Q21" s="181"/>
      <c r="R21" s="181"/>
      <c r="S21" s="14" t="s">
        <v>181</v>
      </c>
      <c r="T21" s="14" t="s">
        <v>876</v>
      </c>
      <c r="U21" s="85"/>
      <c r="V21" s="85"/>
      <c r="W21" s="85"/>
      <c r="X21" s="85"/>
      <c r="Y21" s="85"/>
      <c r="Z21" s="85"/>
      <c r="AA21" s="85"/>
      <c r="AB21" s="85"/>
      <c r="AC21" s="85"/>
      <c r="AD21" s="85"/>
      <c r="AE21" s="85"/>
      <c r="AF21" s="85"/>
      <c r="AG21" s="85"/>
      <c r="AH21" s="85"/>
      <c r="AI21" s="85"/>
      <c r="AJ21" s="85"/>
      <c r="AK21" s="85"/>
      <c r="AL21" s="85"/>
      <c r="AM21" s="85"/>
      <c r="AN21" s="85"/>
    </row>
    <row r="22" spans="1:40" ht="14.25" customHeight="1" x14ac:dyDescent="0.2">
      <c r="A22" s="181"/>
      <c r="B22" s="181"/>
      <c r="C22" s="181"/>
      <c r="D22" s="181"/>
      <c r="E22" s="181"/>
      <c r="F22" s="181"/>
      <c r="G22" s="181"/>
      <c r="H22" s="181"/>
      <c r="I22" s="181"/>
      <c r="J22" s="181"/>
      <c r="K22" s="181"/>
      <c r="L22" s="181"/>
      <c r="M22" s="181"/>
      <c r="N22" s="181"/>
      <c r="O22" s="181"/>
      <c r="P22" s="181"/>
      <c r="Q22" s="181"/>
      <c r="R22" s="181"/>
      <c r="S22" s="40" t="s">
        <v>879</v>
      </c>
      <c r="T22" s="14" t="s">
        <v>881</v>
      </c>
      <c r="U22" s="85"/>
      <c r="V22" s="85"/>
      <c r="W22" s="85"/>
      <c r="X22" s="85"/>
      <c r="Y22" s="85"/>
      <c r="Z22" s="85"/>
      <c r="AA22" s="85"/>
      <c r="AB22" s="85"/>
      <c r="AC22" s="85"/>
      <c r="AD22" s="85"/>
      <c r="AE22" s="85"/>
      <c r="AF22" s="85"/>
      <c r="AG22" s="85"/>
      <c r="AH22" s="85"/>
      <c r="AI22" s="85"/>
      <c r="AJ22" s="85"/>
      <c r="AK22" s="85"/>
      <c r="AL22" s="85"/>
      <c r="AM22" s="85"/>
      <c r="AN22" s="85"/>
    </row>
    <row r="23" spans="1:40" ht="14.25" customHeight="1" x14ac:dyDescent="0.2">
      <c r="A23" s="181"/>
      <c r="B23" s="181"/>
      <c r="C23" s="181"/>
      <c r="D23" s="181"/>
      <c r="E23" s="181"/>
      <c r="F23" s="181"/>
      <c r="G23" s="181"/>
      <c r="H23" s="181"/>
      <c r="I23" s="181"/>
      <c r="J23" s="181"/>
      <c r="K23" s="181"/>
      <c r="L23" s="181"/>
      <c r="M23" s="181"/>
      <c r="N23" s="181"/>
      <c r="O23" s="181"/>
      <c r="P23" s="181"/>
      <c r="Q23" s="181"/>
      <c r="R23" s="181"/>
      <c r="S23" s="40" t="s">
        <v>887</v>
      </c>
      <c r="T23" s="14" t="s">
        <v>889</v>
      </c>
      <c r="U23" s="85"/>
      <c r="V23" s="85"/>
      <c r="W23" s="85"/>
      <c r="X23" s="85"/>
      <c r="Y23" s="85"/>
      <c r="Z23" s="85"/>
      <c r="AA23" s="85"/>
      <c r="AB23" s="85"/>
      <c r="AC23" s="85"/>
      <c r="AD23" s="85"/>
      <c r="AE23" s="85"/>
      <c r="AF23" s="85"/>
      <c r="AG23" s="85"/>
      <c r="AH23" s="85"/>
      <c r="AI23" s="85"/>
      <c r="AJ23" s="85"/>
      <c r="AK23" s="85"/>
      <c r="AL23" s="85"/>
      <c r="AM23" s="85"/>
      <c r="AN23" s="85"/>
    </row>
    <row r="24" spans="1:40" ht="14.25" customHeight="1" x14ac:dyDescent="0.2">
      <c r="A24" s="181"/>
      <c r="B24" s="181"/>
      <c r="C24" s="181"/>
      <c r="D24" s="181"/>
      <c r="E24" s="181"/>
      <c r="F24" s="181"/>
      <c r="G24" s="181"/>
      <c r="H24" s="181"/>
      <c r="I24" s="181"/>
      <c r="J24" s="181"/>
      <c r="K24" s="181"/>
      <c r="L24" s="181"/>
      <c r="M24" s="181"/>
      <c r="N24" s="181"/>
      <c r="O24" s="181"/>
      <c r="P24" s="181"/>
      <c r="Q24" s="181"/>
      <c r="R24" s="181"/>
      <c r="S24" s="40" t="s">
        <v>891</v>
      </c>
      <c r="T24" s="14" t="s">
        <v>893</v>
      </c>
      <c r="U24" s="85"/>
      <c r="V24" s="85"/>
      <c r="W24" s="85"/>
      <c r="X24" s="85"/>
      <c r="Y24" s="85"/>
      <c r="Z24" s="85"/>
      <c r="AA24" s="85"/>
      <c r="AB24" s="85"/>
      <c r="AC24" s="85"/>
      <c r="AD24" s="85"/>
      <c r="AE24" s="85"/>
      <c r="AF24" s="85"/>
      <c r="AG24" s="85"/>
      <c r="AH24" s="85"/>
      <c r="AI24" s="85"/>
      <c r="AJ24" s="85"/>
      <c r="AK24" s="85"/>
      <c r="AL24" s="85"/>
      <c r="AM24" s="85"/>
      <c r="AN24" s="85"/>
    </row>
    <row r="25" spans="1:40" ht="14.25" customHeight="1" x14ac:dyDescent="0.2">
      <c r="A25" s="181"/>
      <c r="B25" s="181"/>
      <c r="C25" s="181"/>
      <c r="D25" s="176"/>
      <c r="E25" s="176"/>
      <c r="F25" s="176"/>
      <c r="G25" s="176"/>
      <c r="H25" s="181"/>
      <c r="I25" s="181"/>
      <c r="J25" s="176"/>
      <c r="K25" s="176"/>
      <c r="L25" s="176"/>
      <c r="M25" s="176"/>
      <c r="N25" s="176"/>
      <c r="O25" s="181"/>
      <c r="P25" s="181"/>
      <c r="Q25" s="176"/>
      <c r="R25" s="176"/>
      <c r="S25" s="14" t="s">
        <v>181</v>
      </c>
      <c r="T25" s="14" t="s">
        <v>894</v>
      </c>
      <c r="U25" s="85"/>
      <c r="V25" s="85"/>
      <c r="W25" s="85"/>
      <c r="X25" s="85"/>
      <c r="Y25" s="85"/>
      <c r="Z25" s="85"/>
      <c r="AA25" s="85"/>
      <c r="AB25" s="85"/>
      <c r="AC25" s="85"/>
      <c r="AD25" s="85"/>
      <c r="AE25" s="85"/>
      <c r="AF25" s="85"/>
      <c r="AG25" s="85"/>
      <c r="AH25" s="85"/>
      <c r="AI25" s="85"/>
      <c r="AJ25" s="85"/>
      <c r="AK25" s="85"/>
      <c r="AL25" s="85"/>
      <c r="AM25" s="85"/>
      <c r="AN25" s="85"/>
    </row>
    <row r="26" spans="1:40" ht="14.25" customHeight="1" x14ac:dyDescent="0.2">
      <c r="A26" s="181"/>
      <c r="B26" s="181"/>
      <c r="C26" s="181"/>
      <c r="D26" s="123" t="s">
        <v>828</v>
      </c>
      <c r="E26" s="123" t="s">
        <v>92</v>
      </c>
      <c r="F26" s="123" t="s">
        <v>4</v>
      </c>
      <c r="G26" s="124">
        <v>18</v>
      </c>
      <c r="H26" s="181"/>
      <c r="I26" s="181"/>
      <c r="J26" s="125" t="s">
        <v>898</v>
      </c>
      <c r="K26" s="124">
        <v>17</v>
      </c>
      <c r="L26" s="124">
        <v>5.4989999999999997</v>
      </c>
      <c r="M26" s="123" t="s">
        <v>188</v>
      </c>
      <c r="N26" s="128">
        <f t="shared" ref="N26:N27" si="1">L26*K26*G26</f>
        <v>1682.6939999999997</v>
      </c>
      <c r="O26" s="181"/>
      <c r="P26" s="181"/>
      <c r="Q26" s="120">
        <f>N26/O2</f>
        <v>0.19408235294117643</v>
      </c>
      <c r="R26" s="129">
        <v>1</v>
      </c>
      <c r="S26" s="14" t="s">
        <v>901</v>
      </c>
      <c r="T26" s="14" t="s">
        <v>902</v>
      </c>
      <c r="U26" s="85"/>
      <c r="V26" s="85"/>
      <c r="W26" s="85"/>
      <c r="X26" s="85"/>
      <c r="Y26" s="85"/>
      <c r="Z26" s="85"/>
      <c r="AA26" s="85"/>
      <c r="AB26" s="85"/>
      <c r="AC26" s="85"/>
      <c r="AD26" s="85"/>
      <c r="AE26" s="85"/>
      <c r="AF26" s="85"/>
      <c r="AG26" s="85"/>
      <c r="AH26" s="85"/>
      <c r="AI26" s="85"/>
      <c r="AJ26" s="85"/>
      <c r="AK26" s="85"/>
      <c r="AL26" s="85"/>
      <c r="AM26" s="85"/>
      <c r="AN26" s="85"/>
    </row>
    <row r="27" spans="1:40" ht="14.25" customHeight="1" x14ac:dyDescent="0.2">
      <c r="A27" s="181"/>
      <c r="B27" s="181"/>
      <c r="C27" s="181"/>
      <c r="D27" s="179" t="s">
        <v>904</v>
      </c>
      <c r="E27" s="179" t="s">
        <v>92</v>
      </c>
      <c r="F27" s="179" t="s">
        <v>4</v>
      </c>
      <c r="G27" s="178">
        <v>280</v>
      </c>
      <c r="H27" s="181"/>
      <c r="I27" s="181"/>
      <c r="J27" s="194" t="s">
        <v>706</v>
      </c>
      <c r="K27" s="178">
        <v>17</v>
      </c>
      <c r="L27" s="178">
        <v>1.833</v>
      </c>
      <c r="M27" s="179" t="s">
        <v>188</v>
      </c>
      <c r="N27" s="180">
        <f t="shared" si="1"/>
        <v>8725.08</v>
      </c>
      <c r="O27" s="181"/>
      <c r="P27" s="181"/>
      <c r="Q27" s="175">
        <f>N27/O2</f>
        <v>1.0063529411764707</v>
      </c>
      <c r="R27" s="190">
        <v>3</v>
      </c>
      <c r="S27" s="14" t="s">
        <v>181</v>
      </c>
      <c r="T27" s="14" t="s">
        <v>781</v>
      </c>
      <c r="U27" s="85"/>
      <c r="V27" s="85"/>
      <c r="W27" s="85"/>
      <c r="X27" s="85"/>
      <c r="Y27" s="85"/>
      <c r="Z27" s="85"/>
      <c r="AA27" s="85"/>
      <c r="AB27" s="85"/>
      <c r="AC27" s="85"/>
      <c r="AD27" s="85"/>
      <c r="AE27" s="85"/>
      <c r="AF27" s="85"/>
      <c r="AG27" s="85"/>
      <c r="AH27" s="85"/>
      <c r="AI27" s="85"/>
      <c r="AJ27" s="85"/>
      <c r="AK27" s="85"/>
      <c r="AL27" s="85"/>
      <c r="AM27" s="85"/>
      <c r="AN27" s="85"/>
    </row>
    <row r="28" spans="1:40" ht="14.25" customHeight="1" x14ac:dyDescent="0.2">
      <c r="A28" s="181"/>
      <c r="B28" s="181"/>
      <c r="C28" s="181"/>
      <c r="D28" s="181"/>
      <c r="E28" s="181"/>
      <c r="F28" s="181"/>
      <c r="G28" s="181"/>
      <c r="H28" s="181"/>
      <c r="I28" s="181"/>
      <c r="J28" s="181"/>
      <c r="K28" s="181"/>
      <c r="L28" s="181"/>
      <c r="M28" s="181"/>
      <c r="N28" s="181"/>
      <c r="O28" s="181"/>
      <c r="P28" s="181"/>
      <c r="Q28" s="181"/>
      <c r="R28" s="181"/>
      <c r="S28" s="40" t="s">
        <v>708</v>
      </c>
      <c r="T28" s="14" t="s">
        <v>709</v>
      </c>
      <c r="U28" s="85"/>
      <c r="V28" s="85"/>
      <c r="W28" s="85"/>
      <c r="X28" s="85"/>
      <c r="Y28" s="85"/>
      <c r="Z28" s="85"/>
      <c r="AA28" s="85"/>
      <c r="AB28" s="85"/>
      <c r="AC28" s="85"/>
      <c r="AD28" s="85"/>
      <c r="AE28" s="85"/>
      <c r="AF28" s="85"/>
      <c r="AG28" s="85"/>
      <c r="AH28" s="85"/>
      <c r="AI28" s="85"/>
      <c r="AJ28" s="85"/>
      <c r="AK28" s="85"/>
      <c r="AL28" s="85"/>
      <c r="AM28" s="85"/>
      <c r="AN28" s="85"/>
    </row>
    <row r="29" spans="1:40" ht="14.25" customHeight="1" x14ac:dyDescent="0.2">
      <c r="A29" s="181"/>
      <c r="B29" s="176"/>
      <c r="C29" s="176"/>
      <c r="D29" s="176"/>
      <c r="E29" s="176"/>
      <c r="F29" s="176"/>
      <c r="G29" s="176"/>
      <c r="H29" s="176"/>
      <c r="I29" s="176"/>
      <c r="J29" s="176"/>
      <c r="K29" s="176"/>
      <c r="L29" s="176"/>
      <c r="M29" s="176"/>
      <c r="N29" s="176"/>
      <c r="O29" s="181"/>
      <c r="P29" s="181"/>
      <c r="Q29" s="176"/>
      <c r="R29" s="176"/>
      <c r="S29" s="14" t="s">
        <v>191</v>
      </c>
      <c r="T29" s="14" t="s">
        <v>910</v>
      </c>
      <c r="U29" s="85"/>
      <c r="V29" s="85"/>
      <c r="W29" s="85"/>
      <c r="X29" s="85"/>
      <c r="Y29" s="85"/>
      <c r="Z29" s="85"/>
      <c r="AA29" s="85"/>
      <c r="AB29" s="85"/>
      <c r="AC29" s="85"/>
      <c r="AD29" s="85"/>
      <c r="AE29" s="85"/>
      <c r="AF29" s="85"/>
      <c r="AG29" s="85"/>
      <c r="AH29" s="85"/>
      <c r="AI29" s="85"/>
      <c r="AJ29" s="85"/>
      <c r="AK29" s="85"/>
      <c r="AL29" s="85"/>
      <c r="AM29" s="85"/>
      <c r="AN29" s="85"/>
    </row>
    <row r="30" spans="1:40" ht="15" customHeight="1" x14ac:dyDescent="0.2">
      <c r="A30" s="181"/>
      <c r="B30" s="183" t="s">
        <v>251</v>
      </c>
      <c r="C30" s="184" t="s">
        <v>841</v>
      </c>
      <c r="D30" s="179" t="s">
        <v>6</v>
      </c>
      <c r="E30" s="179" t="s">
        <v>712</v>
      </c>
      <c r="F30" s="179" t="s">
        <v>712</v>
      </c>
      <c r="G30" s="182">
        <v>1</v>
      </c>
      <c r="H30" s="182">
        <v>4000</v>
      </c>
      <c r="I30" s="183" t="s">
        <v>166</v>
      </c>
      <c r="J30" s="175">
        <v>8.3333333333333329E-2</v>
      </c>
      <c r="K30" s="179" t="s">
        <v>27</v>
      </c>
      <c r="L30" s="178">
        <v>11</v>
      </c>
      <c r="M30" s="179" t="s">
        <v>914</v>
      </c>
      <c r="N30" s="180">
        <f>L30*H30</f>
        <v>44000</v>
      </c>
      <c r="O30" s="181"/>
      <c r="P30" s="181"/>
      <c r="Q30" s="230">
        <f>N30/$O$2</f>
        <v>5.0749711649365628</v>
      </c>
      <c r="R30" s="190">
        <v>5</v>
      </c>
      <c r="S30" s="14" t="s">
        <v>716</v>
      </c>
      <c r="T30" s="85" t="s">
        <v>717</v>
      </c>
      <c r="U30" s="61"/>
      <c r="V30" s="61"/>
      <c r="W30" s="61"/>
      <c r="X30" s="61"/>
      <c r="Y30" s="61"/>
      <c r="Z30" s="61"/>
      <c r="AA30" s="61"/>
      <c r="AB30" s="61"/>
      <c r="AC30" s="61"/>
      <c r="AD30" s="61"/>
      <c r="AE30" s="61"/>
      <c r="AF30" s="61"/>
      <c r="AG30" s="61"/>
      <c r="AH30" s="61"/>
      <c r="AI30" s="61"/>
      <c r="AJ30" s="61"/>
      <c r="AK30" s="61"/>
      <c r="AL30" s="61"/>
      <c r="AM30" s="85"/>
      <c r="AN30" s="85"/>
    </row>
    <row r="31" spans="1:40" ht="15" customHeight="1" x14ac:dyDescent="0.2">
      <c r="A31" s="181"/>
      <c r="B31" s="181"/>
      <c r="C31" s="181"/>
      <c r="D31" s="176"/>
      <c r="E31" s="176"/>
      <c r="F31" s="176"/>
      <c r="G31" s="181"/>
      <c r="H31" s="181"/>
      <c r="I31" s="181"/>
      <c r="J31" s="176"/>
      <c r="K31" s="176"/>
      <c r="L31" s="176"/>
      <c r="M31" s="176"/>
      <c r="N31" s="176"/>
      <c r="O31" s="181"/>
      <c r="P31" s="181"/>
      <c r="Q31" s="176"/>
      <c r="R31" s="176"/>
      <c r="S31" s="14" t="s">
        <v>718</v>
      </c>
      <c r="T31" s="208" t="s">
        <v>720</v>
      </c>
      <c r="U31" s="172"/>
      <c r="V31" s="172"/>
      <c r="W31" s="172"/>
      <c r="X31" s="172"/>
      <c r="Y31" s="172"/>
      <c r="Z31" s="172"/>
      <c r="AA31" s="172"/>
      <c r="AB31" s="172"/>
      <c r="AC31" s="173"/>
      <c r="AD31" s="61"/>
      <c r="AE31" s="61"/>
      <c r="AF31" s="61"/>
      <c r="AG31" s="61"/>
      <c r="AH31" s="61"/>
      <c r="AI31" s="61"/>
      <c r="AJ31" s="61"/>
      <c r="AK31" s="61"/>
      <c r="AL31" s="61"/>
      <c r="AM31" s="85"/>
      <c r="AN31" s="85"/>
    </row>
    <row r="32" spans="1:40" ht="15" customHeight="1" x14ac:dyDescent="0.2">
      <c r="A32" s="181"/>
      <c r="B32" s="181"/>
      <c r="C32" s="181"/>
      <c r="D32" s="50" t="s">
        <v>872</v>
      </c>
      <c r="E32" s="50" t="s">
        <v>279</v>
      </c>
      <c r="F32" s="50" t="s">
        <v>14</v>
      </c>
      <c r="G32" s="181"/>
      <c r="H32" s="181"/>
      <c r="I32" s="181"/>
      <c r="J32" s="51" t="s">
        <v>27</v>
      </c>
      <c r="K32" s="50" t="s">
        <v>27</v>
      </c>
      <c r="L32" s="53">
        <v>0.15</v>
      </c>
      <c r="M32" s="14" t="s">
        <v>917</v>
      </c>
      <c r="N32" s="54">
        <f>L32*H30</f>
        <v>600</v>
      </c>
      <c r="O32" s="181"/>
      <c r="P32" s="181"/>
      <c r="Q32" s="57">
        <f t="shared" ref="Q32:Q33" si="2">N32/$O$2</f>
        <v>6.9204152249134954E-2</v>
      </c>
      <c r="R32" s="71">
        <v>3</v>
      </c>
      <c r="S32" s="14" t="s">
        <v>283</v>
      </c>
      <c r="T32" s="85" t="s">
        <v>284</v>
      </c>
      <c r="U32" s="61"/>
      <c r="V32" s="61"/>
      <c r="W32" s="61"/>
      <c r="X32" s="61"/>
      <c r="Y32" s="61"/>
      <c r="Z32" s="61"/>
      <c r="AA32" s="61"/>
      <c r="AB32" s="61"/>
      <c r="AC32" s="61"/>
      <c r="AD32" s="61"/>
      <c r="AE32" s="61"/>
      <c r="AF32" s="61"/>
      <c r="AG32" s="61"/>
      <c r="AH32" s="61"/>
      <c r="AI32" s="61"/>
      <c r="AJ32" s="61"/>
      <c r="AK32" s="61"/>
      <c r="AL32" s="61"/>
      <c r="AM32" s="85"/>
      <c r="AN32" s="85"/>
    </row>
    <row r="33" spans="1:40" ht="15" customHeight="1" x14ac:dyDescent="0.2">
      <c r="A33" s="181"/>
      <c r="B33" s="181"/>
      <c r="C33" s="181"/>
      <c r="D33" s="179" t="s">
        <v>293</v>
      </c>
      <c r="E33" s="179" t="s">
        <v>294</v>
      </c>
      <c r="F33" s="179" t="s">
        <v>12</v>
      </c>
      <c r="G33" s="181"/>
      <c r="H33" s="181"/>
      <c r="I33" s="181"/>
      <c r="J33" s="175">
        <v>4.1666666666666664E-2</v>
      </c>
      <c r="K33" s="179" t="s">
        <v>27</v>
      </c>
      <c r="L33" s="178">
        <v>1.9</v>
      </c>
      <c r="M33" s="179" t="s">
        <v>919</v>
      </c>
      <c r="N33" s="180">
        <f>L33*H30</f>
        <v>7600</v>
      </c>
      <c r="O33" s="181"/>
      <c r="P33" s="181"/>
      <c r="Q33" s="230">
        <f t="shared" si="2"/>
        <v>0.87658592848904271</v>
      </c>
      <c r="R33" s="191">
        <v>4</v>
      </c>
      <c r="S33" s="14" t="s">
        <v>731</v>
      </c>
      <c r="T33" s="85" t="s">
        <v>732</v>
      </c>
      <c r="U33" s="85"/>
      <c r="V33" s="85"/>
      <c r="W33" s="85"/>
      <c r="X33" s="85"/>
      <c r="Y33" s="85"/>
      <c r="Z33" s="85"/>
      <c r="AA33" s="85"/>
      <c r="AB33" s="85"/>
      <c r="AC33" s="85"/>
      <c r="AD33" s="61"/>
      <c r="AE33" s="61"/>
      <c r="AF33" s="61"/>
      <c r="AG33" s="61"/>
      <c r="AH33" s="61"/>
      <c r="AI33" s="61"/>
      <c r="AJ33" s="61"/>
      <c r="AK33" s="61"/>
      <c r="AL33" s="61"/>
      <c r="AM33" s="85"/>
      <c r="AN33" s="85"/>
    </row>
    <row r="34" spans="1:40" ht="15" customHeight="1" x14ac:dyDescent="0.2">
      <c r="A34" s="181"/>
      <c r="B34" s="181"/>
      <c r="C34" s="181"/>
      <c r="D34" s="181"/>
      <c r="E34" s="181"/>
      <c r="F34" s="181"/>
      <c r="G34" s="181"/>
      <c r="H34" s="181"/>
      <c r="I34" s="181"/>
      <c r="J34" s="181"/>
      <c r="K34" s="181"/>
      <c r="L34" s="181"/>
      <c r="M34" s="181"/>
      <c r="N34" s="181"/>
      <c r="O34" s="181"/>
      <c r="P34" s="181"/>
      <c r="Q34" s="181"/>
      <c r="R34" s="181"/>
      <c r="S34" s="14" t="s">
        <v>734</v>
      </c>
      <c r="T34" s="85" t="s">
        <v>735</v>
      </c>
      <c r="U34" s="85"/>
      <c r="V34" s="85"/>
      <c r="W34" s="85"/>
      <c r="X34" s="85"/>
      <c r="Y34" s="85"/>
      <c r="Z34" s="85"/>
      <c r="AA34" s="85"/>
      <c r="AB34" s="85"/>
      <c r="AC34" s="85"/>
      <c r="AD34" s="61"/>
      <c r="AE34" s="61"/>
      <c r="AF34" s="61"/>
      <c r="AG34" s="61"/>
      <c r="AH34" s="61"/>
      <c r="AI34" s="61"/>
      <c r="AJ34" s="61"/>
      <c r="AK34" s="61"/>
      <c r="AL34" s="61"/>
      <c r="AM34" s="85"/>
      <c r="AN34" s="85"/>
    </row>
    <row r="35" spans="1:40" ht="15" customHeight="1" x14ac:dyDescent="0.2">
      <c r="A35" s="181"/>
      <c r="B35" s="176"/>
      <c r="C35" s="176"/>
      <c r="D35" s="176"/>
      <c r="E35" s="176"/>
      <c r="F35" s="176"/>
      <c r="G35" s="176"/>
      <c r="H35" s="176"/>
      <c r="I35" s="176"/>
      <c r="J35" s="176"/>
      <c r="K35" s="176"/>
      <c r="L35" s="176"/>
      <c r="M35" s="176"/>
      <c r="N35" s="176"/>
      <c r="O35" s="181"/>
      <c r="P35" s="181"/>
      <c r="Q35" s="176"/>
      <c r="R35" s="176"/>
      <c r="S35" s="14" t="s">
        <v>181</v>
      </c>
      <c r="T35" s="85" t="s">
        <v>739</v>
      </c>
      <c r="U35" s="61"/>
      <c r="V35" s="61"/>
      <c r="W35" s="61"/>
      <c r="X35" s="61"/>
      <c r="Y35" s="61"/>
      <c r="Z35" s="61"/>
      <c r="AA35" s="61"/>
      <c r="AB35" s="61"/>
      <c r="AC35" s="61"/>
      <c r="AD35" s="61"/>
      <c r="AE35" s="61"/>
      <c r="AF35" s="61"/>
      <c r="AG35" s="61"/>
      <c r="AH35" s="61"/>
      <c r="AI35" s="61"/>
      <c r="AJ35" s="61"/>
      <c r="AK35" s="61"/>
      <c r="AL35" s="61"/>
      <c r="AM35" s="85"/>
      <c r="AN35" s="85"/>
    </row>
    <row r="36" spans="1:40" ht="15" customHeight="1" x14ac:dyDescent="0.2">
      <c r="A36" s="181"/>
      <c r="B36" s="183" t="s">
        <v>251</v>
      </c>
      <c r="C36" s="184" t="s">
        <v>927</v>
      </c>
      <c r="D36" s="179" t="s">
        <v>928</v>
      </c>
      <c r="E36" s="179" t="s">
        <v>929</v>
      </c>
      <c r="F36" s="179" t="s">
        <v>932</v>
      </c>
      <c r="G36" s="178">
        <v>5400</v>
      </c>
      <c r="H36" s="182">
        <v>800</v>
      </c>
      <c r="I36" s="183" t="s">
        <v>166</v>
      </c>
      <c r="J36" s="175" t="s">
        <v>27</v>
      </c>
      <c r="K36" s="178" t="s">
        <v>27</v>
      </c>
      <c r="L36" s="178">
        <v>4.8</v>
      </c>
      <c r="M36" s="179" t="s">
        <v>935</v>
      </c>
      <c r="N36" s="180">
        <f>L36*G36</f>
        <v>25920</v>
      </c>
      <c r="O36" s="181"/>
      <c r="P36" s="181"/>
      <c r="Q36" s="230">
        <f>N36/O2</f>
        <v>2.9896193771626298</v>
      </c>
      <c r="R36" s="191">
        <v>4</v>
      </c>
      <c r="S36" s="14" t="s">
        <v>938</v>
      </c>
      <c r="T36" s="14" t="s">
        <v>939</v>
      </c>
      <c r="U36" s="61"/>
      <c r="V36" s="61"/>
      <c r="W36" s="61"/>
      <c r="X36" s="61"/>
      <c r="Y36" s="61"/>
      <c r="Z36" s="61"/>
      <c r="AA36" s="61"/>
      <c r="AB36" s="61"/>
      <c r="AC36" s="61"/>
      <c r="AD36" s="61"/>
      <c r="AE36" s="61"/>
      <c r="AF36" s="61"/>
      <c r="AG36" s="61"/>
      <c r="AH36" s="61"/>
      <c r="AI36" s="61"/>
      <c r="AJ36" s="61"/>
      <c r="AK36" s="61"/>
      <c r="AL36" s="61"/>
      <c r="AM36" s="85"/>
      <c r="AN36" s="85"/>
    </row>
    <row r="37" spans="1:40" ht="15" customHeight="1" x14ac:dyDescent="0.2">
      <c r="A37" s="181"/>
      <c r="B37" s="181"/>
      <c r="C37" s="181"/>
      <c r="D37" s="181"/>
      <c r="E37" s="181"/>
      <c r="F37" s="181"/>
      <c r="G37" s="181"/>
      <c r="H37" s="181"/>
      <c r="I37" s="181"/>
      <c r="J37" s="181"/>
      <c r="K37" s="181"/>
      <c r="L37" s="181"/>
      <c r="M37" s="181"/>
      <c r="N37" s="181"/>
      <c r="O37" s="181"/>
      <c r="P37" s="181"/>
      <c r="Q37" s="181"/>
      <c r="R37" s="181"/>
      <c r="S37" s="14" t="s">
        <v>940</v>
      </c>
      <c r="T37" s="61" t="s">
        <v>941</v>
      </c>
      <c r="U37" s="61"/>
      <c r="V37" s="61"/>
      <c r="W37" s="61"/>
      <c r="X37" s="61"/>
      <c r="Y37" s="61"/>
      <c r="Z37" s="61"/>
      <c r="AA37" s="61"/>
      <c r="AB37" s="61"/>
      <c r="AC37" s="61"/>
      <c r="AD37" s="61"/>
      <c r="AE37" s="61"/>
      <c r="AF37" s="61"/>
      <c r="AG37" s="61"/>
      <c r="AH37" s="61"/>
      <c r="AI37" s="61"/>
      <c r="AJ37" s="61"/>
      <c r="AK37" s="61"/>
      <c r="AL37" s="61"/>
      <c r="AM37" s="85"/>
      <c r="AN37" s="85"/>
    </row>
    <row r="38" spans="1:40" ht="15" customHeight="1" x14ac:dyDescent="0.2">
      <c r="A38" s="181"/>
      <c r="B38" s="181"/>
      <c r="C38" s="181"/>
      <c r="D38" s="181"/>
      <c r="E38" s="181"/>
      <c r="F38" s="181"/>
      <c r="G38" s="181"/>
      <c r="H38" s="181"/>
      <c r="I38" s="181"/>
      <c r="J38" s="181"/>
      <c r="K38" s="181"/>
      <c r="L38" s="181"/>
      <c r="M38" s="181"/>
      <c r="N38" s="181"/>
      <c r="O38" s="181"/>
      <c r="P38" s="181"/>
      <c r="Q38" s="181"/>
      <c r="R38" s="181"/>
      <c r="S38" s="40" t="s">
        <v>945</v>
      </c>
      <c r="T38" s="61" t="s">
        <v>949</v>
      </c>
      <c r="U38" s="61"/>
      <c r="V38" s="61"/>
      <c r="W38" s="61"/>
      <c r="X38" s="61"/>
      <c r="Y38" s="61"/>
      <c r="Z38" s="61"/>
      <c r="AA38" s="61"/>
      <c r="AB38" s="61"/>
      <c r="AC38" s="61"/>
      <c r="AD38" s="61"/>
      <c r="AE38" s="61"/>
      <c r="AF38" s="61"/>
      <c r="AG38" s="61"/>
      <c r="AH38" s="61"/>
      <c r="AI38" s="61"/>
      <c r="AJ38" s="61"/>
      <c r="AK38" s="61"/>
      <c r="AL38" s="61"/>
      <c r="AM38" s="85"/>
      <c r="AN38" s="85"/>
    </row>
    <row r="39" spans="1:40" ht="15" customHeight="1" x14ac:dyDescent="0.2">
      <c r="A39" s="181"/>
      <c r="B39" s="181"/>
      <c r="C39" s="181"/>
      <c r="D39" s="176"/>
      <c r="E39" s="176"/>
      <c r="F39" s="176"/>
      <c r="G39" s="176"/>
      <c r="H39" s="181"/>
      <c r="I39" s="181"/>
      <c r="J39" s="176"/>
      <c r="K39" s="176"/>
      <c r="L39" s="176"/>
      <c r="M39" s="176"/>
      <c r="N39" s="176"/>
      <c r="O39" s="181"/>
      <c r="P39" s="181"/>
      <c r="Q39" s="176"/>
      <c r="R39" s="176"/>
      <c r="S39" s="14" t="s">
        <v>954</v>
      </c>
      <c r="T39" s="14" t="s">
        <v>955</v>
      </c>
      <c r="U39" s="61"/>
      <c r="V39" s="61"/>
      <c r="W39" s="61"/>
      <c r="X39" s="61"/>
      <c r="Y39" s="61"/>
      <c r="Z39" s="61"/>
      <c r="AA39" s="61"/>
      <c r="AB39" s="61"/>
      <c r="AC39" s="61"/>
      <c r="AD39" s="61"/>
      <c r="AE39" s="61"/>
      <c r="AF39" s="61"/>
      <c r="AG39" s="61"/>
      <c r="AH39" s="61"/>
      <c r="AI39" s="61"/>
      <c r="AJ39" s="61"/>
      <c r="AK39" s="61"/>
      <c r="AL39" s="61"/>
      <c r="AM39" s="85"/>
      <c r="AN39" s="85"/>
    </row>
    <row r="40" spans="1:40" ht="15" customHeight="1" x14ac:dyDescent="0.2">
      <c r="A40" s="181"/>
      <c r="B40" s="181"/>
      <c r="C40" s="181"/>
      <c r="D40" s="179" t="s">
        <v>958</v>
      </c>
      <c r="E40" s="179" t="s">
        <v>958</v>
      </c>
      <c r="F40" s="179" t="s">
        <v>22</v>
      </c>
      <c r="G40" s="182">
        <v>1</v>
      </c>
      <c r="H40" s="181"/>
      <c r="I40" s="181"/>
      <c r="J40" s="193">
        <v>0.33333333333333331</v>
      </c>
      <c r="K40" s="179">
        <v>3.125E-2</v>
      </c>
      <c r="L40" s="178">
        <v>0.64</v>
      </c>
      <c r="M40" s="179" t="s">
        <v>935</v>
      </c>
      <c r="N40" s="195">
        <f>L40*G36</f>
        <v>3456</v>
      </c>
      <c r="O40" s="181"/>
      <c r="P40" s="181"/>
      <c r="Q40" s="230">
        <f>N40/O2</f>
        <v>0.3986159169550173</v>
      </c>
      <c r="R40" s="191">
        <v>2</v>
      </c>
      <c r="S40" s="14" t="s">
        <v>966</v>
      </c>
      <c r="T40" s="14" t="s">
        <v>968</v>
      </c>
      <c r="U40" s="61"/>
      <c r="V40" s="61"/>
      <c r="W40" s="61"/>
      <c r="X40" s="61"/>
      <c r="Y40" s="61"/>
      <c r="Z40" s="61"/>
      <c r="AA40" s="61"/>
      <c r="AB40" s="61"/>
      <c r="AC40" s="61"/>
      <c r="AD40" s="61"/>
      <c r="AE40" s="61"/>
      <c r="AF40" s="61"/>
      <c r="AG40" s="61"/>
      <c r="AH40" s="61"/>
      <c r="AI40" s="61"/>
      <c r="AJ40" s="61"/>
      <c r="AK40" s="61"/>
      <c r="AL40" s="61"/>
      <c r="AM40" s="85"/>
      <c r="AN40" s="85"/>
    </row>
    <row r="41" spans="1:40" ht="15" customHeight="1" x14ac:dyDescent="0.2">
      <c r="A41" s="181"/>
      <c r="B41" s="181"/>
      <c r="C41" s="181"/>
      <c r="D41" s="181"/>
      <c r="E41" s="181"/>
      <c r="F41" s="181"/>
      <c r="G41" s="181"/>
      <c r="H41" s="181"/>
      <c r="I41" s="181"/>
      <c r="J41" s="181"/>
      <c r="K41" s="181"/>
      <c r="L41" s="181"/>
      <c r="M41" s="181"/>
      <c r="N41" s="181"/>
      <c r="O41" s="181"/>
      <c r="P41" s="181"/>
      <c r="Q41" s="181"/>
      <c r="R41" s="181"/>
      <c r="S41" s="40" t="s">
        <v>974</v>
      </c>
      <c r="T41" s="14" t="s">
        <v>975</v>
      </c>
      <c r="U41" s="61"/>
      <c r="V41" s="61"/>
      <c r="W41" s="61"/>
      <c r="X41" s="61"/>
      <c r="Y41" s="61"/>
      <c r="Z41" s="61"/>
      <c r="AA41" s="61"/>
      <c r="AB41" s="61"/>
      <c r="AC41" s="61"/>
      <c r="AD41" s="61"/>
      <c r="AE41" s="61"/>
      <c r="AF41" s="61"/>
      <c r="AG41" s="61"/>
      <c r="AH41" s="61"/>
      <c r="AI41" s="61"/>
      <c r="AJ41" s="61"/>
      <c r="AK41" s="61"/>
      <c r="AL41" s="61"/>
      <c r="AM41" s="85"/>
      <c r="AN41" s="85"/>
    </row>
    <row r="42" spans="1:40" ht="15" customHeight="1" x14ac:dyDescent="0.2">
      <c r="A42" s="181"/>
      <c r="B42" s="181"/>
      <c r="C42" s="181"/>
      <c r="D42" s="181"/>
      <c r="E42" s="181"/>
      <c r="F42" s="181"/>
      <c r="G42" s="181"/>
      <c r="H42" s="181"/>
      <c r="I42" s="181"/>
      <c r="J42" s="181"/>
      <c r="K42" s="181"/>
      <c r="L42" s="181"/>
      <c r="M42" s="181"/>
      <c r="N42" s="181"/>
      <c r="O42" s="181"/>
      <c r="P42" s="181"/>
      <c r="Q42" s="181"/>
      <c r="R42" s="181"/>
      <c r="S42" s="14" t="s">
        <v>979</v>
      </c>
      <c r="T42" s="14" t="s">
        <v>980</v>
      </c>
      <c r="U42" s="61"/>
      <c r="V42" s="61"/>
      <c r="W42" s="61"/>
      <c r="X42" s="61"/>
      <c r="Y42" s="61"/>
      <c r="Z42" s="61"/>
      <c r="AA42" s="61"/>
      <c r="AB42" s="61"/>
      <c r="AC42" s="61"/>
      <c r="AD42" s="61"/>
      <c r="AE42" s="61"/>
      <c r="AF42" s="61"/>
      <c r="AG42" s="61"/>
      <c r="AH42" s="61"/>
      <c r="AI42" s="61"/>
      <c r="AJ42" s="61"/>
      <c r="AK42" s="61"/>
      <c r="AL42" s="61"/>
      <c r="AM42" s="85"/>
      <c r="AN42" s="85"/>
    </row>
    <row r="43" spans="1:40" ht="15" customHeight="1" x14ac:dyDescent="0.2">
      <c r="A43" s="181"/>
      <c r="B43" s="181"/>
      <c r="C43" s="181"/>
      <c r="D43" s="181"/>
      <c r="E43" s="181"/>
      <c r="F43" s="181"/>
      <c r="G43" s="181"/>
      <c r="H43" s="181"/>
      <c r="I43" s="181"/>
      <c r="J43" s="181"/>
      <c r="K43" s="181"/>
      <c r="L43" s="181"/>
      <c r="M43" s="181"/>
      <c r="N43" s="181"/>
      <c r="O43" s="181"/>
      <c r="P43" s="181"/>
      <c r="Q43" s="181"/>
      <c r="R43" s="181"/>
      <c r="S43" s="14" t="s">
        <v>981</v>
      </c>
      <c r="T43" s="14" t="s">
        <v>982</v>
      </c>
      <c r="U43" s="61"/>
      <c r="V43" s="61"/>
      <c r="W43" s="61"/>
      <c r="X43" s="61"/>
      <c r="Y43" s="61"/>
      <c r="Z43" s="61"/>
      <c r="AA43" s="61"/>
      <c r="AB43" s="61"/>
      <c r="AC43" s="61"/>
      <c r="AD43" s="61"/>
      <c r="AE43" s="61"/>
      <c r="AF43" s="61"/>
      <c r="AG43" s="61"/>
      <c r="AH43" s="61"/>
      <c r="AI43" s="61"/>
      <c r="AJ43" s="61"/>
      <c r="AK43" s="61"/>
      <c r="AL43" s="61"/>
      <c r="AM43" s="85"/>
      <c r="AN43" s="85"/>
    </row>
    <row r="44" spans="1:40" ht="15" customHeight="1" x14ac:dyDescent="0.2">
      <c r="A44" s="181"/>
      <c r="B44" s="181"/>
      <c r="C44" s="181"/>
      <c r="D44" s="176"/>
      <c r="E44" s="176"/>
      <c r="F44" s="176"/>
      <c r="G44" s="181"/>
      <c r="H44" s="181"/>
      <c r="I44" s="181"/>
      <c r="J44" s="176"/>
      <c r="K44" s="176"/>
      <c r="L44" s="176"/>
      <c r="M44" s="176"/>
      <c r="N44" s="176"/>
      <c r="O44" s="181"/>
      <c r="P44" s="181"/>
      <c r="Q44" s="176"/>
      <c r="R44" s="176"/>
      <c r="S44" s="40" t="s">
        <v>984</v>
      </c>
      <c r="T44" s="14" t="s">
        <v>985</v>
      </c>
      <c r="U44" s="61"/>
      <c r="V44" s="61"/>
      <c r="W44" s="61"/>
      <c r="X44" s="61"/>
      <c r="Y44" s="61"/>
      <c r="Z44" s="61"/>
      <c r="AA44" s="61"/>
      <c r="AB44" s="61"/>
      <c r="AC44" s="61"/>
      <c r="AD44" s="61"/>
      <c r="AE44" s="61"/>
      <c r="AF44" s="61"/>
      <c r="AG44" s="61"/>
      <c r="AH44" s="61"/>
      <c r="AI44" s="61"/>
      <c r="AJ44" s="61"/>
      <c r="AK44" s="61"/>
      <c r="AL44" s="61"/>
      <c r="AM44" s="85"/>
      <c r="AN44" s="85"/>
    </row>
    <row r="45" spans="1:40" ht="15" customHeight="1" x14ac:dyDescent="0.2">
      <c r="A45" s="181"/>
      <c r="B45" s="181"/>
      <c r="C45" s="181"/>
      <c r="D45" s="50" t="s">
        <v>872</v>
      </c>
      <c r="E45" s="50" t="s">
        <v>279</v>
      </c>
      <c r="F45" s="50" t="s">
        <v>14</v>
      </c>
      <c r="G45" s="181"/>
      <c r="H45" s="181"/>
      <c r="I45" s="181"/>
      <c r="J45" s="51" t="s">
        <v>27</v>
      </c>
      <c r="K45" s="50" t="s">
        <v>27</v>
      </c>
      <c r="L45" s="53">
        <v>0.15</v>
      </c>
      <c r="M45" s="14" t="s">
        <v>987</v>
      </c>
      <c r="N45" s="54">
        <f>L45*H36</f>
        <v>120</v>
      </c>
      <c r="O45" s="181"/>
      <c r="P45" s="181"/>
      <c r="Q45" s="57">
        <f t="shared" ref="Q45:Q46" si="3">N45/$O$2</f>
        <v>1.384083044982699E-2</v>
      </c>
      <c r="R45" s="71">
        <v>3</v>
      </c>
      <c r="S45" s="14" t="s">
        <v>181</v>
      </c>
      <c r="T45" s="14" t="s">
        <v>988</v>
      </c>
      <c r="U45" s="61"/>
      <c r="V45" s="61"/>
      <c r="W45" s="61"/>
      <c r="X45" s="61"/>
      <c r="Y45" s="61"/>
      <c r="Z45" s="61"/>
      <c r="AA45" s="61"/>
      <c r="AB45" s="61"/>
      <c r="AC45" s="61"/>
      <c r="AD45" s="61"/>
      <c r="AE45" s="61"/>
      <c r="AF45" s="61"/>
      <c r="AG45" s="61"/>
      <c r="AH45" s="61"/>
      <c r="AI45" s="61"/>
      <c r="AJ45" s="61"/>
      <c r="AK45" s="61"/>
      <c r="AL45" s="61"/>
      <c r="AM45" s="85"/>
      <c r="AN45" s="85"/>
    </row>
    <row r="46" spans="1:40" ht="15" customHeight="1" x14ac:dyDescent="0.2">
      <c r="A46" s="181"/>
      <c r="B46" s="181"/>
      <c r="C46" s="181"/>
      <c r="D46" s="179" t="s">
        <v>293</v>
      </c>
      <c r="E46" s="179" t="s">
        <v>294</v>
      </c>
      <c r="F46" s="179" t="s">
        <v>12</v>
      </c>
      <c r="G46" s="181"/>
      <c r="H46" s="181"/>
      <c r="I46" s="181"/>
      <c r="J46" s="175">
        <v>4.1666666666666664E-2</v>
      </c>
      <c r="K46" s="179" t="s">
        <v>27</v>
      </c>
      <c r="L46" s="178">
        <v>1.9</v>
      </c>
      <c r="M46" s="179" t="s">
        <v>991</v>
      </c>
      <c r="N46" s="180">
        <f>L46*H36</f>
        <v>1520</v>
      </c>
      <c r="O46" s="181"/>
      <c r="P46" s="181"/>
      <c r="Q46" s="230">
        <f t="shared" si="3"/>
        <v>0.17531718569780855</v>
      </c>
      <c r="R46" s="191">
        <v>4</v>
      </c>
      <c r="S46" s="14" t="s">
        <v>283</v>
      </c>
      <c r="T46" s="14" t="s">
        <v>284</v>
      </c>
      <c r="U46" s="61"/>
      <c r="V46" s="61"/>
      <c r="W46" s="61"/>
      <c r="X46" s="61"/>
      <c r="Y46" s="61"/>
      <c r="Z46" s="61"/>
      <c r="AA46" s="61"/>
      <c r="AB46" s="61"/>
      <c r="AC46" s="61"/>
      <c r="AD46" s="61"/>
      <c r="AE46" s="61"/>
      <c r="AF46" s="61"/>
      <c r="AG46" s="61"/>
      <c r="AH46" s="61"/>
      <c r="AI46" s="61"/>
      <c r="AJ46" s="61"/>
      <c r="AK46" s="61"/>
      <c r="AL46" s="61"/>
      <c r="AM46" s="85"/>
      <c r="AN46" s="85"/>
    </row>
    <row r="47" spans="1:40" ht="15" customHeight="1" x14ac:dyDescent="0.2">
      <c r="A47" s="181"/>
      <c r="B47" s="181"/>
      <c r="C47" s="181"/>
      <c r="D47" s="181"/>
      <c r="E47" s="181"/>
      <c r="F47" s="181"/>
      <c r="G47" s="181"/>
      <c r="H47" s="181"/>
      <c r="I47" s="181"/>
      <c r="J47" s="181"/>
      <c r="K47" s="181"/>
      <c r="L47" s="181"/>
      <c r="M47" s="181"/>
      <c r="N47" s="181"/>
      <c r="O47" s="181"/>
      <c r="P47" s="181"/>
      <c r="Q47" s="181"/>
      <c r="R47" s="181"/>
      <c r="S47" s="14" t="s">
        <v>731</v>
      </c>
      <c r="T47" s="14" t="s">
        <v>732</v>
      </c>
      <c r="U47" s="61"/>
      <c r="V47" s="61"/>
      <c r="W47" s="61"/>
      <c r="X47" s="61"/>
      <c r="Y47" s="61"/>
      <c r="Z47" s="61"/>
      <c r="AA47" s="61"/>
      <c r="AB47" s="61"/>
      <c r="AC47" s="61"/>
      <c r="AD47" s="61"/>
      <c r="AE47" s="61"/>
      <c r="AF47" s="61"/>
      <c r="AG47" s="61"/>
      <c r="AH47" s="61"/>
      <c r="AI47" s="61"/>
      <c r="AJ47" s="61"/>
      <c r="AK47" s="61"/>
      <c r="AL47" s="61"/>
      <c r="AM47" s="85"/>
      <c r="AN47" s="85"/>
    </row>
    <row r="48" spans="1:40" ht="15" customHeight="1" x14ac:dyDescent="0.2">
      <c r="A48" s="181"/>
      <c r="B48" s="197"/>
      <c r="C48" s="197"/>
      <c r="D48" s="176"/>
      <c r="E48" s="176"/>
      <c r="F48" s="176"/>
      <c r="G48" s="197"/>
      <c r="H48" s="197"/>
      <c r="I48" s="197"/>
      <c r="J48" s="176"/>
      <c r="K48" s="176"/>
      <c r="L48" s="176"/>
      <c r="M48" s="176"/>
      <c r="N48" s="176"/>
      <c r="O48" s="181"/>
      <c r="P48" s="181"/>
      <c r="Q48" s="176"/>
      <c r="R48" s="176"/>
      <c r="S48" s="14" t="s">
        <v>734</v>
      </c>
      <c r="T48" s="14" t="s">
        <v>735</v>
      </c>
      <c r="U48" s="61"/>
      <c r="V48" s="61"/>
      <c r="W48" s="61"/>
      <c r="X48" s="61"/>
      <c r="Y48" s="61"/>
      <c r="Z48" s="61"/>
      <c r="AA48" s="61"/>
      <c r="AB48" s="61"/>
      <c r="AC48" s="61"/>
      <c r="AD48" s="61"/>
      <c r="AE48" s="61"/>
      <c r="AF48" s="61"/>
      <c r="AG48" s="61"/>
      <c r="AH48" s="61"/>
      <c r="AI48" s="61"/>
      <c r="AJ48" s="61"/>
      <c r="AK48" s="61"/>
      <c r="AL48" s="61"/>
      <c r="AM48" s="85"/>
      <c r="AN48" s="85"/>
    </row>
    <row r="49" spans="1:40" ht="15" customHeight="1" x14ac:dyDescent="0.2">
      <c r="A49" s="181"/>
      <c r="B49" s="68" t="s">
        <v>463</v>
      </c>
      <c r="C49" s="68" t="s">
        <v>995</v>
      </c>
      <c r="D49" s="50" t="s">
        <v>996</v>
      </c>
      <c r="E49" s="50" t="s">
        <v>27</v>
      </c>
      <c r="F49" s="50" t="s">
        <v>27</v>
      </c>
      <c r="G49" s="70">
        <v>5</v>
      </c>
      <c r="H49" s="53">
        <v>264</v>
      </c>
      <c r="I49" s="50" t="s">
        <v>166</v>
      </c>
      <c r="J49" s="51" t="s">
        <v>27</v>
      </c>
      <c r="K49" s="50" t="s">
        <v>27</v>
      </c>
      <c r="L49" s="59" t="s">
        <v>27</v>
      </c>
      <c r="M49" s="50" t="s">
        <v>304</v>
      </c>
      <c r="N49" s="54">
        <f t="shared" ref="N49:N50" si="4">H49*G49</f>
        <v>1320</v>
      </c>
      <c r="O49" s="181"/>
      <c r="P49" s="181"/>
      <c r="Q49" s="51">
        <f>N49/O2</f>
        <v>0.15224913494809689</v>
      </c>
      <c r="R49" s="71">
        <v>4</v>
      </c>
      <c r="S49" s="14" t="s">
        <v>665</v>
      </c>
      <c r="T49" s="14" t="s">
        <v>999</v>
      </c>
      <c r="U49" s="85"/>
      <c r="V49" s="85"/>
      <c r="W49" s="85"/>
      <c r="X49" s="85"/>
      <c r="Y49" s="85"/>
      <c r="Z49" s="85"/>
      <c r="AA49" s="85"/>
      <c r="AB49" s="85"/>
      <c r="AC49" s="85"/>
      <c r="AD49" s="85"/>
      <c r="AE49" s="85"/>
      <c r="AF49" s="85"/>
      <c r="AG49" s="85"/>
      <c r="AH49" s="85"/>
      <c r="AI49" s="85"/>
      <c r="AJ49" s="85"/>
      <c r="AK49" s="85"/>
      <c r="AL49" s="85"/>
      <c r="AM49" s="85"/>
      <c r="AN49" s="85"/>
    </row>
    <row r="50" spans="1:40" ht="14.25" customHeight="1" x14ac:dyDescent="0.2">
      <c r="A50" s="181"/>
      <c r="B50" s="68" t="s">
        <v>463</v>
      </c>
      <c r="C50" s="68" t="s">
        <v>300</v>
      </c>
      <c r="D50" s="50" t="s">
        <v>301</v>
      </c>
      <c r="E50" s="50" t="s">
        <v>27</v>
      </c>
      <c r="F50" s="50" t="s">
        <v>27</v>
      </c>
      <c r="G50" s="70">
        <v>4</v>
      </c>
      <c r="H50" s="59">
        <v>21</v>
      </c>
      <c r="I50" s="53" t="s">
        <v>166</v>
      </c>
      <c r="J50" s="51" t="s">
        <v>27</v>
      </c>
      <c r="K50" s="53" t="s">
        <v>27</v>
      </c>
      <c r="L50" s="53" t="s">
        <v>27</v>
      </c>
      <c r="M50" s="50" t="s">
        <v>304</v>
      </c>
      <c r="N50" s="72">
        <f t="shared" si="4"/>
        <v>84</v>
      </c>
      <c r="O50" s="181"/>
      <c r="P50" s="181"/>
      <c r="Q50" s="51">
        <f>N50/O2</f>
        <v>9.688581314878892E-3</v>
      </c>
      <c r="R50" s="71">
        <v>4</v>
      </c>
      <c r="S50" s="14" t="s">
        <v>307</v>
      </c>
      <c r="T50" s="14" t="s">
        <v>308</v>
      </c>
      <c r="U50" s="85"/>
      <c r="V50" s="85"/>
      <c r="W50" s="85"/>
      <c r="X50" s="85"/>
      <c r="Y50" s="85"/>
      <c r="Z50" s="85"/>
      <c r="AA50" s="85"/>
      <c r="AB50" s="85"/>
      <c r="AC50" s="85"/>
      <c r="AD50" s="85"/>
      <c r="AE50" s="85"/>
      <c r="AF50" s="85"/>
      <c r="AG50" s="85"/>
      <c r="AH50" s="85"/>
      <c r="AI50" s="85"/>
      <c r="AJ50" s="85"/>
      <c r="AK50" s="85"/>
      <c r="AL50" s="85"/>
      <c r="AM50" s="85"/>
      <c r="AN50" s="85"/>
    </row>
    <row r="51" spans="1:40" ht="14.25" customHeight="1" x14ac:dyDescent="0.2">
      <c r="A51" s="181"/>
      <c r="B51" s="183" t="s">
        <v>417</v>
      </c>
      <c r="C51" s="183" t="s">
        <v>662</v>
      </c>
      <c r="D51" s="179" t="s">
        <v>663</v>
      </c>
      <c r="E51" s="179" t="s">
        <v>13</v>
      </c>
      <c r="F51" s="179" t="s">
        <v>13</v>
      </c>
      <c r="G51" s="182">
        <v>21</v>
      </c>
      <c r="H51" s="178">
        <v>15</v>
      </c>
      <c r="I51" s="179" t="s">
        <v>166</v>
      </c>
      <c r="J51" s="175" t="s">
        <v>27</v>
      </c>
      <c r="K51" s="179" t="s">
        <v>27</v>
      </c>
      <c r="L51" s="178">
        <v>1</v>
      </c>
      <c r="M51" s="179" t="s">
        <v>1013</v>
      </c>
      <c r="N51" s="180">
        <f>L51*G51*H51</f>
        <v>315</v>
      </c>
      <c r="O51" s="181"/>
      <c r="P51" s="181"/>
      <c r="Q51" s="175">
        <f>N51/$O$2</f>
        <v>3.6332179930795849E-2</v>
      </c>
      <c r="R51" s="190">
        <v>2</v>
      </c>
      <c r="S51" s="14" t="s">
        <v>623</v>
      </c>
      <c r="T51" s="85" t="s">
        <v>1015</v>
      </c>
      <c r="U51" s="85"/>
      <c r="V51" s="85"/>
      <c r="W51" s="85"/>
      <c r="X51" s="85"/>
      <c r="Y51" s="85"/>
      <c r="Z51" s="85"/>
      <c r="AA51" s="85"/>
      <c r="AB51" s="85"/>
      <c r="AC51" s="85"/>
      <c r="AD51" s="85"/>
      <c r="AE51" s="85"/>
      <c r="AF51" s="85"/>
      <c r="AG51" s="85"/>
      <c r="AH51" s="85"/>
      <c r="AI51" s="85"/>
      <c r="AJ51" s="85"/>
      <c r="AK51" s="85"/>
      <c r="AL51" s="85"/>
      <c r="AM51" s="85"/>
      <c r="AN51" s="85"/>
    </row>
    <row r="52" spans="1:40" ht="14.25" customHeight="1" x14ac:dyDescent="0.2">
      <c r="A52" s="181"/>
      <c r="B52" s="181"/>
      <c r="C52" s="181"/>
      <c r="D52" s="181"/>
      <c r="E52" s="181"/>
      <c r="F52" s="181"/>
      <c r="G52" s="181"/>
      <c r="H52" s="181"/>
      <c r="I52" s="181"/>
      <c r="J52" s="181"/>
      <c r="K52" s="181"/>
      <c r="L52" s="181"/>
      <c r="M52" s="181"/>
      <c r="N52" s="181"/>
      <c r="O52" s="181"/>
      <c r="P52" s="181"/>
      <c r="Q52" s="181"/>
      <c r="R52" s="181"/>
      <c r="S52" s="40" t="s">
        <v>667</v>
      </c>
      <c r="T52" s="85" t="s">
        <v>668</v>
      </c>
      <c r="U52" s="85"/>
      <c r="V52" s="85"/>
      <c r="W52" s="85"/>
      <c r="X52" s="85"/>
      <c r="Y52" s="85"/>
      <c r="Z52" s="85"/>
      <c r="AA52" s="85"/>
      <c r="AB52" s="85"/>
      <c r="AC52" s="85"/>
      <c r="AD52" s="85"/>
      <c r="AE52" s="85"/>
      <c r="AF52" s="85"/>
      <c r="AG52" s="85"/>
      <c r="AH52" s="85"/>
      <c r="AI52" s="85"/>
      <c r="AJ52" s="85"/>
      <c r="AK52" s="85"/>
      <c r="AL52" s="85"/>
      <c r="AM52" s="85"/>
      <c r="AN52" s="85"/>
    </row>
    <row r="53" spans="1:40" ht="14.25" customHeight="1" x14ac:dyDescent="0.2">
      <c r="A53" s="181"/>
      <c r="B53" s="181"/>
      <c r="C53" s="181"/>
      <c r="D53" s="181"/>
      <c r="E53" s="181"/>
      <c r="F53" s="181"/>
      <c r="G53" s="181"/>
      <c r="H53" s="181"/>
      <c r="I53" s="181"/>
      <c r="J53" s="181"/>
      <c r="K53" s="181"/>
      <c r="L53" s="181"/>
      <c r="M53" s="181"/>
      <c r="N53" s="181"/>
      <c r="O53" s="181"/>
      <c r="P53" s="181"/>
      <c r="Q53" s="181"/>
      <c r="R53" s="181"/>
      <c r="S53" s="14" t="s">
        <v>669</v>
      </c>
      <c r="T53" s="85" t="s">
        <v>670</v>
      </c>
      <c r="U53" s="85"/>
      <c r="V53" s="85"/>
      <c r="W53" s="85"/>
      <c r="X53" s="85"/>
      <c r="Y53" s="85"/>
      <c r="Z53" s="85"/>
      <c r="AA53" s="85"/>
      <c r="AB53" s="85"/>
      <c r="AC53" s="85"/>
      <c r="AD53" s="85"/>
      <c r="AE53" s="85"/>
      <c r="AF53" s="85"/>
      <c r="AG53" s="85"/>
      <c r="AH53" s="85"/>
      <c r="AI53" s="85"/>
      <c r="AJ53" s="85"/>
      <c r="AK53" s="85"/>
      <c r="AL53" s="85"/>
      <c r="AM53" s="85"/>
      <c r="AN53" s="85"/>
    </row>
    <row r="54" spans="1:40" ht="14.25" customHeight="1" x14ac:dyDescent="0.2">
      <c r="A54" s="181"/>
      <c r="B54" s="181"/>
      <c r="C54" s="181"/>
      <c r="D54" s="176"/>
      <c r="E54" s="176"/>
      <c r="F54" s="176"/>
      <c r="G54" s="181"/>
      <c r="H54" s="176"/>
      <c r="I54" s="176"/>
      <c r="J54" s="176"/>
      <c r="K54" s="176"/>
      <c r="L54" s="176"/>
      <c r="M54" s="176"/>
      <c r="N54" s="176"/>
      <c r="O54" s="181"/>
      <c r="P54" s="181"/>
      <c r="Q54" s="176"/>
      <c r="R54" s="176"/>
      <c r="S54" s="14" t="s">
        <v>671</v>
      </c>
      <c r="T54" s="85" t="s">
        <v>672</v>
      </c>
      <c r="U54" s="85"/>
      <c r="V54" s="85"/>
      <c r="W54" s="85"/>
      <c r="X54" s="85"/>
      <c r="Y54" s="85"/>
      <c r="Z54" s="85"/>
      <c r="AA54" s="85"/>
      <c r="AB54" s="85"/>
      <c r="AC54" s="85"/>
      <c r="AD54" s="85"/>
      <c r="AE54" s="85"/>
      <c r="AF54" s="85"/>
      <c r="AG54" s="85"/>
      <c r="AH54" s="85"/>
      <c r="AI54" s="85"/>
      <c r="AJ54" s="85"/>
      <c r="AK54" s="85"/>
      <c r="AL54" s="85"/>
      <c r="AM54" s="85"/>
      <c r="AN54" s="85"/>
    </row>
    <row r="55" spans="1:40" ht="14.25" customHeight="1" x14ac:dyDescent="0.2">
      <c r="A55" s="181"/>
      <c r="B55" s="181"/>
      <c r="C55" s="181"/>
      <c r="D55" s="179" t="s">
        <v>433</v>
      </c>
      <c r="E55" s="179" t="s">
        <v>434</v>
      </c>
      <c r="F55" s="179" t="s">
        <v>435</v>
      </c>
      <c r="G55" s="181"/>
      <c r="H55" s="178">
        <v>15</v>
      </c>
      <c r="I55" s="179" t="s">
        <v>166</v>
      </c>
      <c r="J55" s="175">
        <v>2.0833333333333332E-2</v>
      </c>
      <c r="K55" s="193" t="s">
        <v>27</v>
      </c>
      <c r="L55" s="194">
        <v>158</v>
      </c>
      <c r="M55" s="193" t="s">
        <v>1019</v>
      </c>
      <c r="N55" s="180">
        <f>L55*J55*H55*G51*2</f>
        <v>2073.75</v>
      </c>
      <c r="O55" s="181"/>
      <c r="P55" s="181"/>
      <c r="Q55" s="175">
        <f>N55/$O$2</f>
        <v>0.23918685121107267</v>
      </c>
      <c r="R55" s="190">
        <v>3</v>
      </c>
      <c r="S55" s="14" t="s">
        <v>429</v>
      </c>
      <c r="T55" s="85" t="s">
        <v>1020</v>
      </c>
      <c r="U55" s="85"/>
      <c r="V55" s="85"/>
      <c r="W55" s="85"/>
      <c r="X55" s="85"/>
      <c r="Y55" s="85"/>
      <c r="Z55" s="85"/>
      <c r="AA55" s="85"/>
      <c r="AB55" s="85"/>
      <c r="AC55" s="85"/>
      <c r="AD55" s="85"/>
      <c r="AE55" s="85"/>
      <c r="AF55" s="85"/>
      <c r="AG55" s="85"/>
      <c r="AH55" s="85"/>
      <c r="AI55" s="85"/>
      <c r="AJ55" s="85"/>
      <c r="AK55" s="85"/>
      <c r="AL55" s="85"/>
      <c r="AM55" s="85"/>
      <c r="AN55" s="85"/>
    </row>
    <row r="56" spans="1:40" ht="14.25" customHeight="1" x14ac:dyDescent="0.2">
      <c r="A56" s="181"/>
      <c r="B56" s="181"/>
      <c r="C56" s="181"/>
      <c r="D56" s="181"/>
      <c r="E56" s="181"/>
      <c r="F56" s="181"/>
      <c r="G56" s="181"/>
      <c r="H56" s="181"/>
      <c r="I56" s="181"/>
      <c r="J56" s="181"/>
      <c r="K56" s="181"/>
      <c r="L56" s="181"/>
      <c r="M56" s="181"/>
      <c r="N56" s="181"/>
      <c r="O56" s="181"/>
      <c r="P56" s="181"/>
      <c r="Q56" s="181"/>
      <c r="R56" s="181"/>
      <c r="S56" s="14" t="s">
        <v>443</v>
      </c>
      <c r="T56" s="85" t="s">
        <v>444</v>
      </c>
      <c r="U56" s="85"/>
      <c r="V56" s="85"/>
      <c r="W56" s="85"/>
      <c r="X56" s="85"/>
      <c r="Y56" s="85"/>
      <c r="Z56" s="85"/>
      <c r="AA56" s="85"/>
      <c r="AB56" s="85"/>
      <c r="AC56" s="85"/>
      <c r="AD56" s="85"/>
      <c r="AE56" s="85"/>
      <c r="AF56" s="85"/>
      <c r="AG56" s="85"/>
      <c r="AH56" s="85"/>
      <c r="AI56" s="85"/>
      <c r="AJ56" s="85"/>
      <c r="AK56" s="85"/>
      <c r="AL56" s="85"/>
      <c r="AM56" s="85"/>
      <c r="AN56" s="85"/>
    </row>
    <row r="57" spans="1:40" ht="14.25" customHeight="1" x14ac:dyDescent="0.2">
      <c r="A57" s="181"/>
      <c r="B57" s="181"/>
      <c r="C57" s="181"/>
      <c r="D57" s="181"/>
      <c r="E57" s="181"/>
      <c r="F57" s="181"/>
      <c r="G57" s="181"/>
      <c r="H57" s="181"/>
      <c r="I57" s="181"/>
      <c r="J57" s="181"/>
      <c r="K57" s="181"/>
      <c r="L57" s="181"/>
      <c r="M57" s="181"/>
      <c r="N57" s="181"/>
      <c r="O57" s="181"/>
      <c r="P57" s="181"/>
      <c r="Q57" s="181"/>
      <c r="R57" s="181"/>
      <c r="S57" s="14" t="s">
        <v>451</v>
      </c>
      <c r="T57" s="85" t="s">
        <v>452</v>
      </c>
      <c r="U57" s="85"/>
      <c r="V57" s="85"/>
      <c r="W57" s="85"/>
      <c r="X57" s="85"/>
      <c r="Y57" s="85"/>
      <c r="Z57" s="85"/>
      <c r="AA57" s="85"/>
      <c r="AB57" s="85"/>
      <c r="AC57" s="85"/>
      <c r="AD57" s="85"/>
      <c r="AE57" s="85"/>
      <c r="AF57" s="85"/>
      <c r="AG57" s="85"/>
      <c r="AH57" s="85"/>
      <c r="AI57" s="85"/>
      <c r="AJ57" s="85"/>
      <c r="AK57" s="85"/>
      <c r="AL57" s="85"/>
      <c r="AM57" s="85"/>
      <c r="AN57" s="85"/>
    </row>
    <row r="58" spans="1:40" ht="14.25" customHeight="1" x14ac:dyDescent="0.2">
      <c r="A58" s="181"/>
      <c r="B58" s="181"/>
      <c r="C58" s="181"/>
      <c r="D58" s="176"/>
      <c r="E58" s="176"/>
      <c r="F58" s="176"/>
      <c r="G58" s="181"/>
      <c r="H58" s="181"/>
      <c r="I58" s="181"/>
      <c r="J58" s="176"/>
      <c r="K58" s="176"/>
      <c r="L58" s="176"/>
      <c r="M58" s="176"/>
      <c r="N58" s="176"/>
      <c r="O58" s="181"/>
      <c r="P58" s="181"/>
      <c r="Q58" s="176"/>
      <c r="R58" s="176"/>
      <c r="S58" s="40" t="s">
        <v>447</v>
      </c>
      <c r="T58" s="85" t="s">
        <v>449</v>
      </c>
      <c r="U58" s="85"/>
      <c r="V58" s="85"/>
      <c r="W58" s="85"/>
      <c r="X58" s="85"/>
      <c r="Y58" s="85"/>
      <c r="Z58" s="85"/>
      <c r="AA58" s="85"/>
      <c r="AB58" s="85"/>
      <c r="AC58" s="85"/>
      <c r="AD58" s="85"/>
      <c r="AE58" s="85"/>
      <c r="AF58" s="85"/>
      <c r="AG58" s="85"/>
      <c r="AH58" s="85"/>
      <c r="AI58" s="85"/>
      <c r="AJ58" s="85"/>
      <c r="AK58" s="85"/>
      <c r="AL58" s="85"/>
      <c r="AM58" s="85"/>
      <c r="AN58" s="85"/>
    </row>
    <row r="59" spans="1:40" ht="17.25" customHeight="1" x14ac:dyDescent="0.2">
      <c r="A59" s="181"/>
      <c r="B59" s="181"/>
      <c r="C59" s="181"/>
      <c r="D59" s="179" t="s">
        <v>677</v>
      </c>
      <c r="E59" s="179" t="s">
        <v>287</v>
      </c>
      <c r="F59" s="179" t="s">
        <v>19</v>
      </c>
      <c r="G59" s="181"/>
      <c r="H59" s="181"/>
      <c r="I59" s="181"/>
      <c r="J59" s="175">
        <v>2.5000000000000001E-3</v>
      </c>
      <c r="K59" s="179" t="s">
        <v>27</v>
      </c>
      <c r="L59" s="178">
        <v>0.17</v>
      </c>
      <c r="M59" s="179" t="s">
        <v>1023</v>
      </c>
      <c r="N59" s="195">
        <f>L59*H55*G51*2</f>
        <v>107.10000000000001</v>
      </c>
      <c r="O59" s="181"/>
      <c r="P59" s="181"/>
      <c r="Q59" s="175">
        <f>N59/$O$2</f>
        <v>1.2352941176470589E-2</v>
      </c>
      <c r="R59" s="190">
        <v>2</v>
      </c>
      <c r="S59" s="14" t="s">
        <v>451</v>
      </c>
      <c r="T59" s="85" t="s">
        <v>452</v>
      </c>
      <c r="U59" s="85"/>
      <c r="V59" s="85"/>
      <c r="W59" s="85"/>
      <c r="X59" s="85"/>
      <c r="Y59" s="85"/>
      <c r="Z59" s="85"/>
      <c r="AA59" s="85"/>
      <c r="AB59" s="85"/>
      <c r="AC59" s="85"/>
      <c r="AD59" s="85"/>
      <c r="AE59" s="85"/>
      <c r="AF59" s="85"/>
      <c r="AG59" s="85"/>
      <c r="AH59" s="85"/>
      <c r="AI59" s="85"/>
      <c r="AJ59" s="85"/>
      <c r="AK59" s="85"/>
      <c r="AL59" s="85"/>
      <c r="AM59" s="85"/>
      <c r="AN59" s="85"/>
    </row>
    <row r="60" spans="1:40" ht="14.25" customHeight="1" x14ac:dyDescent="0.2">
      <c r="A60" s="181"/>
      <c r="B60" s="176"/>
      <c r="C60" s="176"/>
      <c r="D60" s="176"/>
      <c r="E60" s="176"/>
      <c r="F60" s="176"/>
      <c r="G60" s="176"/>
      <c r="H60" s="176"/>
      <c r="I60" s="176"/>
      <c r="J60" s="176"/>
      <c r="K60" s="176"/>
      <c r="L60" s="176"/>
      <c r="M60" s="176"/>
      <c r="N60" s="176"/>
      <c r="O60" s="181"/>
      <c r="P60" s="181"/>
      <c r="Q60" s="176"/>
      <c r="R60" s="176"/>
      <c r="S60" s="40" t="s">
        <v>460</v>
      </c>
      <c r="T60" s="85" t="s">
        <v>461</v>
      </c>
      <c r="U60" s="85"/>
      <c r="V60" s="85"/>
      <c r="W60" s="85"/>
      <c r="X60" s="85"/>
      <c r="Y60" s="85"/>
      <c r="Z60" s="85"/>
      <c r="AA60" s="85"/>
      <c r="AB60" s="85"/>
      <c r="AC60" s="85"/>
      <c r="AD60" s="85"/>
      <c r="AE60" s="85"/>
      <c r="AF60" s="85"/>
      <c r="AG60" s="85"/>
      <c r="AH60" s="85"/>
      <c r="AI60" s="85"/>
      <c r="AJ60" s="85"/>
      <c r="AK60" s="85"/>
      <c r="AL60" s="85"/>
      <c r="AM60" s="85"/>
      <c r="AN60" s="85"/>
    </row>
    <row r="61" spans="1:40" ht="14.25" customHeight="1" x14ac:dyDescent="0.2">
      <c r="A61" s="181"/>
      <c r="B61" s="183" t="s">
        <v>321</v>
      </c>
      <c r="C61" s="184" t="s">
        <v>484</v>
      </c>
      <c r="D61" s="179" t="s">
        <v>286</v>
      </c>
      <c r="E61" s="179" t="s">
        <v>287</v>
      </c>
      <c r="F61" s="179" t="s">
        <v>10</v>
      </c>
      <c r="G61" s="178">
        <v>2</v>
      </c>
      <c r="H61" s="182">
        <v>9000</v>
      </c>
      <c r="I61" s="183" t="s">
        <v>166</v>
      </c>
      <c r="J61" s="175">
        <v>0.125</v>
      </c>
      <c r="K61" s="179" t="s">
        <v>27</v>
      </c>
      <c r="L61" s="178">
        <v>0.216</v>
      </c>
      <c r="M61" s="179" t="s">
        <v>1027</v>
      </c>
      <c r="N61" s="180">
        <f>H61*L61*(J61*12)*G61</f>
        <v>5832</v>
      </c>
      <c r="O61" s="181"/>
      <c r="P61" s="181"/>
      <c r="Q61" s="175">
        <f>N61/$O$2</f>
        <v>0.67266435986159168</v>
      </c>
      <c r="R61" s="192">
        <v>3</v>
      </c>
      <c r="S61" s="14" t="s">
        <v>347</v>
      </c>
      <c r="T61" s="85" t="s">
        <v>348</v>
      </c>
      <c r="U61" s="85"/>
      <c r="V61" s="85"/>
      <c r="W61" s="85"/>
      <c r="X61" s="85"/>
      <c r="Y61" s="85"/>
      <c r="Z61" s="85"/>
      <c r="AA61" s="85"/>
      <c r="AB61" s="85"/>
      <c r="AC61" s="85"/>
      <c r="AD61" s="85"/>
      <c r="AE61" s="85"/>
      <c r="AF61" s="85"/>
      <c r="AG61" s="85"/>
      <c r="AH61" s="85"/>
      <c r="AI61" s="85"/>
      <c r="AJ61" s="85"/>
      <c r="AK61" s="85"/>
      <c r="AL61" s="85"/>
      <c r="AM61" s="85"/>
      <c r="AN61" s="85"/>
    </row>
    <row r="62" spans="1:40" ht="14.25" customHeight="1" x14ac:dyDescent="0.2">
      <c r="A62" s="181"/>
      <c r="B62" s="181"/>
      <c r="C62" s="181"/>
      <c r="D62" s="181"/>
      <c r="E62" s="181"/>
      <c r="F62" s="181"/>
      <c r="G62" s="181"/>
      <c r="H62" s="181"/>
      <c r="I62" s="181"/>
      <c r="J62" s="181"/>
      <c r="K62" s="181"/>
      <c r="L62" s="181"/>
      <c r="M62" s="181"/>
      <c r="N62" s="181"/>
      <c r="O62" s="181"/>
      <c r="P62" s="181"/>
      <c r="Q62" s="181"/>
      <c r="R62" s="181"/>
      <c r="S62" s="14" t="s">
        <v>349</v>
      </c>
      <c r="T62" s="85" t="s">
        <v>350</v>
      </c>
      <c r="U62" s="85"/>
      <c r="V62" s="85"/>
      <c r="W62" s="85"/>
      <c r="X62" s="85"/>
      <c r="Y62" s="85"/>
      <c r="Z62" s="85"/>
      <c r="AA62" s="85"/>
      <c r="AB62" s="85"/>
      <c r="AC62" s="85"/>
      <c r="AD62" s="85"/>
      <c r="AE62" s="85"/>
      <c r="AF62" s="85"/>
      <c r="AG62" s="85"/>
      <c r="AH62" s="85"/>
      <c r="AI62" s="85"/>
      <c r="AJ62" s="85"/>
      <c r="AK62" s="85"/>
      <c r="AL62" s="85"/>
      <c r="AM62" s="85"/>
      <c r="AN62" s="85"/>
    </row>
    <row r="63" spans="1:40" ht="14.25" customHeight="1" x14ac:dyDescent="0.2">
      <c r="A63" s="181"/>
      <c r="B63" s="181"/>
      <c r="C63" s="181"/>
      <c r="D63" s="176"/>
      <c r="E63" s="176"/>
      <c r="F63" s="176"/>
      <c r="G63" s="176"/>
      <c r="H63" s="181"/>
      <c r="I63" s="181"/>
      <c r="J63" s="176"/>
      <c r="K63" s="176"/>
      <c r="L63" s="176"/>
      <c r="M63" s="176"/>
      <c r="N63" s="176"/>
      <c r="O63" s="181"/>
      <c r="P63" s="181"/>
      <c r="Q63" s="176"/>
      <c r="R63" s="176"/>
      <c r="S63" s="14" t="s">
        <v>494</v>
      </c>
      <c r="T63" s="85" t="s">
        <v>495</v>
      </c>
      <c r="U63" s="85"/>
      <c r="V63" s="85"/>
      <c r="W63" s="85"/>
      <c r="X63" s="85"/>
      <c r="Y63" s="85"/>
      <c r="Z63" s="85"/>
      <c r="AA63" s="85"/>
      <c r="AB63" s="85"/>
      <c r="AC63" s="85"/>
      <c r="AD63" s="85"/>
      <c r="AE63" s="85"/>
      <c r="AF63" s="85"/>
      <c r="AG63" s="85"/>
      <c r="AH63" s="85"/>
      <c r="AI63" s="85"/>
      <c r="AJ63" s="85"/>
      <c r="AK63" s="85"/>
      <c r="AL63" s="85"/>
      <c r="AM63" s="85"/>
      <c r="AN63" s="85"/>
    </row>
    <row r="64" spans="1:40" ht="14.25" customHeight="1" x14ac:dyDescent="0.2">
      <c r="A64" s="181"/>
      <c r="B64" s="181"/>
      <c r="C64" s="181"/>
      <c r="D64" s="179" t="s">
        <v>498</v>
      </c>
      <c r="E64" s="179" t="s">
        <v>294</v>
      </c>
      <c r="F64" s="196" t="s">
        <v>12</v>
      </c>
      <c r="G64" s="178">
        <v>1</v>
      </c>
      <c r="H64" s="181"/>
      <c r="I64" s="181"/>
      <c r="J64" s="193">
        <v>4.1666666666666664E-2</v>
      </c>
      <c r="K64" s="179" t="s">
        <v>27</v>
      </c>
      <c r="L64" s="178">
        <v>2</v>
      </c>
      <c r="M64" s="179" t="s">
        <v>1030</v>
      </c>
      <c r="N64" s="201">
        <f>H61*L64</f>
        <v>18000</v>
      </c>
      <c r="O64" s="181"/>
      <c r="P64" s="181"/>
      <c r="Q64" s="175">
        <f>N64/$O$2</f>
        <v>2.0761245674740483</v>
      </c>
      <c r="R64" s="191">
        <v>1</v>
      </c>
      <c r="S64" s="14" t="s">
        <v>503</v>
      </c>
      <c r="T64" s="85" t="s">
        <v>504</v>
      </c>
      <c r="U64" s="85"/>
      <c r="V64" s="85"/>
      <c r="W64" s="85"/>
      <c r="X64" s="85"/>
      <c r="Y64" s="85"/>
      <c r="Z64" s="85"/>
      <c r="AA64" s="85"/>
      <c r="AB64" s="85"/>
      <c r="AC64" s="85"/>
      <c r="AD64" s="85"/>
      <c r="AE64" s="85"/>
      <c r="AF64" s="85"/>
      <c r="AG64" s="85"/>
      <c r="AH64" s="85"/>
      <c r="AI64" s="85"/>
      <c r="AJ64" s="85"/>
      <c r="AK64" s="85"/>
      <c r="AL64" s="85"/>
      <c r="AM64" s="85"/>
      <c r="AN64" s="85"/>
    </row>
    <row r="65" spans="1:40" ht="14.25" customHeight="1" x14ac:dyDescent="0.2">
      <c r="A65" s="181"/>
      <c r="B65" s="181"/>
      <c r="C65" s="181"/>
      <c r="D65" s="181"/>
      <c r="E65" s="181"/>
      <c r="F65" s="181"/>
      <c r="G65" s="181"/>
      <c r="H65" s="181"/>
      <c r="I65" s="181"/>
      <c r="J65" s="181"/>
      <c r="K65" s="181"/>
      <c r="L65" s="181"/>
      <c r="M65" s="181"/>
      <c r="N65" s="181"/>
      <c r="O65" s="181"/>
      <c r="P65" s="181"/>
      <c r="Q65" s="181"/>
      <c r="R65" s="181"/>
      <c r="S65" s="14" t="s">
        <v>508</v>
      </c>
      <c r="T65" s="85" t="s">
        <v>509</v>
      </c>
      <c r="U65" s="85"/>
      <c r="V65" s="85"/>
      <c r="W65" s="85"/>
      <c r="X65" s="85"/>
      <c r="Y65" s="85"/>
      <c r="Z65" s="85"/>
      <c r="AA65" s="85"/>
      <c r="AB65" s="85"/>
      <c r="AC65" s="85"/>
      <c r="AD65" s="85"/>
      <c r="AE65" s="85"/>
      <c r="AF65" s="85"/>
      <c r="AG65" s="85"/>
      <c r="AH65" s="85"/>
      <c r="AI65" s="85"/>
      <c r="AJ65" s="85"/>
      <c r="AK65" s="85"/>
      <c r="AL65" s="85"/>
      <c r="AM65" s="85"/>
      <c r="AN65" s="85"/>
    </row>
    <row r="66" spans="1:40" ht="14.25" customHeight="1" x14ac:dyDescent="0.2">
      <c r="A66" s="181"/>
      <c r="B66" s="181"/>
      <c r="C66" s="181"/>
      <c r="D66" s="176"/>
      <c r="E66" s="176"/>
      <c r="F66" s="176"/>
      <c r="G66" s="176"/>
      <c r="H66" s="181"/>
      <c r="I66" s="181"/>
      <c r="J66" s="176"/>
      <c r="K66" s="176"/>
      <c r="L66" s="176"/>
      <c r="M66" s="176"/>
      <c r="N66" s="176"/>
      <c r="O66" s="181"/>
      <c r="P66" s="181"/>
      <c r="Q66" s="176"/>
      <c r="R66" s="176"/>
      <c r="S66" s="40" t="s">
        <v>510</v>
      </c>
      <c r="T66" s="85" t="s">
        <v>512</v>
      </c>
      <c r="U66" s="85"/>
      <c r="V66" s="85"/>
      <c r="W66" s="85"/>
      <c r="X66" s="85"/>
      <c r="Y66" s="85"/>
      <c r="Z66" s="85"/>
      <c r="AA66" s="85"/>
      <c r="AB66" s="85"/>
      <c r="AC66" s="85"/>
      <c r="AD66" s="85"/>
      <c r="AE66" s="85"/>
      <c r="AF66" s="85"/>
      <c r="AG66" s="85"/>
      <c r="AH66" s="85"/>
      <c r="AI66" s="85"/>
      <c r="AJ66" s="85"/>
      <c r="AK66" s="85"/>
      <c r="AL66" s="85"/>
      <c r="AM66" s="85"/>
      <c r="AN66" s="85"/>
    </row>
    <row r="67" spans="1:40" ht="15" customHeight="1" x14ac:dyDescent="0.2">
      <c r="A67" s="181"/>
      <c r="B67" s="181"/>
      <c r="C67" s="181"/>
      <c r="D67" s="179" t="s">
        <v>515</v>
      </c>
      <c r="E67" s="179" t="s">
        <v>516</v>
      </c>
      <c r="F67" s="179" t="s">
        <v>517</v>
      </c>
      <c r="G67" s="178">
        <v>1</v>
      </c>
      <c r="H67" s="181"/>
      <c r="I67" s="181"/>
      <c r="J67" s="175" t="s">
        <v>27</v>
      </c>
      <c r="K67" s="179" t="s">
        <v>27</v>
      </c>
      <c r="L67" s="178">
        <v>6.3</v>
      </c>
      <c r="M67" s="179" t="s">
        <v>1033</v>
      </c>
      <c r="N67" s="180">
        <f>L67*H61</f>
        <v>56700</v>
      </c>
      <c r="O67" s="181"/>
      <c r="P67" s="181"/>
      <c r="Q67" s="175">
        <f>N67/$O$2</f>
        <v>6.5397923875432529</v>
      </c>
      <c r="R67" s="191">
        <v>1</v>
      </c>
      <c r="S67" s="14" t="s">
        <v>521</v>
      </c>
      <c r="T67" s="85" t="s">
        <v>522</v>
      </c>
      <c r="U67" s="85"/>
      <c r="V67" s="85"/>
      <c r="W67" s="85"/>
      <c r="X67" s="85"/>
      <c r="Y67" s="85"/>
      <c r="Z67" s="85"/>
      <c r="AA67" s="85"/>
      <c r="AB67" s="85"/>
      <c r="AC67" s="85"/>
      <c r="AD67" s="85"/>
      <c r="AE67" s="85"/>
      <c r="AF67" s="85"/>
      <c r="AG67" s="85"/>
      <c r="AH67" s="85"/>
      <c r="AI67" s="85"/>
      <c r="AJ67" s="85"/>
      <c r="AK67" s="85"/>
      <c r="AL67" s="85"/>
      <c r="AM67" s="85"/>
      <c r="AN67" s="85"/>
    </row>
    <row r="68" spans="1:40" ht="14.25" customHeight="1" x14ac:dyDescent="0.2">
      <c r="A68" s="181"/>
      <c r="B68" s="181"/>
      <c r="C68" s="181"/>
      <c r="D68" s="176"/>
      <c r="E68" s="176"/>
      <c r="F68" s="176"/>
      <c r="G68" s="176"/>
      <c r="H68" s="181"/>
      <c r="I68" s="181"/>
      <c r="J68" s="176"/>
      <c r="K68" s="176"/>
      <c r="L68" s="176"/>
      <c r="M68" s="176"/>
      <c r="N68" s="176"/>
      <c r="O68" s="181"/>
      <c r="P68" s="181"/>
      <c r="Q68" s="176"/>
      <c r="R68" s="176"/>
      <c r="S68" s="14" t="s">
        <v>524</v>
      </c>
      <c r="T68" s="85" t="s">
        <v>525</v>
      </c>
      <c r="U68" s="85"/>
      <c r="V68" s="85"/>
      <c r="W68" s="85"/>
      <c r="X68" s="85"/>
      <c r="Y68" s="85"/>
      <c r="Z68" s="85"/>
      <c r="AA68" s="85"/>
      <c r="AB68" s="85"/>
      <c r="AC68" s="85"/>
      <c r="AD68" s="85"/>
      <c r="AE68" s="85"/>
      <c r="AF68" s="85"/>
      <c r="AG68" s="85"/>
      <c r="AH68" s="85"/>
      <c r="AI68" s="85"/>
      <c r="AJ68" s="85"/>
      <c r="AK68" s="85"/>
      <c r="AL68" s="85"/>
      <c r="AM68" s="85"/>
      <c r="AN68" s="85"/>
    </row>
    <row r="69" spans="1:40" ht="17.25" customHeight="1" x14ac:dyDescent="0.2">
      <c r="A69" s="181"/>
      <c r="B69" s="181"/>
      <c r="C69" s="181"/>
      <c r="D69" s="179" t="s">
        <v>526</v>
      </c>
      <c r="E69" s="179" t="s">
        <v>527</v>
      </c>
      <c r="F69" s="179" t="s">
        <v>23</v>
      </c>
      <c r="G69" s="182">
        <v>1</v>
      </c>
      <c r="H69" s="181"/>
      <c r="I69" s="181"/>
      <c r="J69" s="175" t="s">
        <v>27</v>
      </c>
      <c r="K69" s="179" t="s">
        <v>27</v>
      </c>
      <c r="L69" s="178">
        <v>1</v>
      </c>
      <c r="M69" s="179" t="s">
        <v>1035</v>
      </c>
      <c r="N69" s="180">
        <f>L69*H61</f>
        <v>9000</v>
      </c>
      <c r="O69" s="181"/>
      <c r="P69" s="181"/>
      <c r="Q69" s="175">
        <f>N69/$O$2</f>
        <v>1.0380622837370241</v>
      </c>
      <c r="R69" s="191">
        <v>1</v>
      </c>
      <c r="S69" s="40" t="s">
        <v>530</v>
      </c>
      <c r="T69" s="85" t="s">
        <v>531</v>
      </c>
      <c r="U69" s="85"/>
      <c r="V69" s="85"/>
      <c r="W69" s="85"/>
      <c r="X69" s="85"/>
      <c r="Y69" s="85"/>
      <c r="Z69" s="85"/>
      <c r="AA69" s="85"/>
      <c r="AB69" s="85"/>
      <c r="AC69" s="85"/>
      <c r="AD69" s="85"/>
      <c r="AE69" s="85"/>
      <c r="AF69" s="85"/>
      <c r="AG69" s="85"/>
      <c r="AH69" s="85"/>
      <c r="AI69" s="85"/>
      <c r="AJ69" s="85"/>
      <c r="AK69" s="85"/>
      <c r="AL69" s="85"/>
      <c r="AM69" s="85"/>
      <c r="AN69" s="85"/>
    </row>
    <row r="70" spans="1:40" ht="14.25" customHeight="1" x14ac:dyDescent="0.2">
      <c r="A70" s="181"/>
      <c r="B70" s="181"/>
      <c r="C70" s="181"/>
      <c r="D70" s="181"/>
      <c r="E70" s="181"/>
      <c r="F70" s="181"/>
      <c r="G70" s="181"/>
      <c r="H70" s="181"/>
      <c r="I70" s="181"/>
      <c r="J70" s="181"/>
      <c r="K70" s="181"/>
      <c r="L70" s="181"/>
      <c r="M70" s="181"/>
      <c r="N70" s="181"/>
      <c r="O70" s="181"/>
      <c r="P70" s="181"/>
      <c r="Q70" s="181"/>
      <c r="R70" s="181"/>
      <c r="S70" s="14" t="s">
        <v>947</v>
      </c>
      <c r="T70" s="85" t="s">
        <v>948</v>
      </c>
      <c r="U70" s="85"/>
      <c r="V70" s="85"/>
      <c r="W70" s="85"/>
      <c r="X70" s="85"/>
      <c r="Y70" s="85"/>
      <c r="Z70" s="85"/>
      <c r="AA70" s="85"/>
      <c r="AB70" s="85"/>
      <c r="AC70" s="85"/>
      <c r="AD70" s="85"/>
      <c r="AE70" s="85"/>
      <c r="AF70" s="85"/>
      <c r="AG70" s="85"/>
      <c r="AH70" s="85"/>
      <c r="AI70" s="85"/>
      <c r="AJ70" s="85"/>
      <c r="AK70" s="85"/>
      <c r="AL70" s="85"/>
      <c r="AM70" s="85"/>
      <c r="AN70" s="85"/>
    </row>
    <row r="71" spans="1:40" ht="14.25" customHeight="1" x14ac:dyDescent="0.2">
      <c r="A71" s="176"/>
      <c r="B71" s="176"/>
      <c r="C71" s="176"/>
      <c r="D71" s="176"/>
      <c r="E71" s="176"/>
      <c r="F71" s="176"/>
      <c r="G71" s="176"/>
      <c r="H71" s="176"/>
      <c r="I71" s="176"/>
      <c r="J71" s="176"/>
      <c r="K71" s="176"/>
      <c r="L71" s="176"/>
      <c r="M71" s="176"/>
      <c r="N71" s="176"/>
      <c r="O71" s="176"/>
      <c r="P71" s="176"/>
      <c r="Q71" s="176"/>
      <c r="R71" s="176"/>
      <c r="S71" s="14" t="s">
        <v>536</v>
      </c>
      <c r="T71" s="85" t="s">
        <v>537</v>
      </c>
      <c r="U71" s="85"/>
      <c r="V71" s="85"/>
      <c r="W71" s="85"/>
      <c r="X71" s="85"/>
      <c r="Y71" s="85"/>
      <c r="Z71" s="85"/>
      <c r="AA71" s="85"/>
      <c r="AB71" s="85"/>
      <c r="AC71" s="85"/>
      <c r="AD71" s="85"/>
      <c r="AE71" s="85"/>
      <c r="AF71" s="85"/>
      <c r="AG71" s="85"/>
      <c r="AH71" s="85"/>
      <c r="AI71" s="85"/>
      <c r="AJ71" s="85"/>
      <c r="AK71" s="85"/>
      <c r="AL71" s="85"/>
      <c r="AM71" s="85"/>
      <c r="AN71" s="85"/>
    </row>
    <row r="72" spans="1:40" ht="14.25" customHeight="1" x14ac:dyDescent="0.2">
      <c r="T72" s="84"/>
    </row>
    <row r="73" spans="1:40" ht="14.25" customHeight="1" x14ac:dyDescent="0.2">
      <c r="T73" s="84"/>
    </row>
    <row r="74" spans="1:40" ht="14.25" customHeight="1" x14ac:dyDescent="0.2">
      <c r="F74" s="28" t="s">
        <v>309</v>
      </c>
      <c r="G74" s="28" t="s">
        <v>128</v>
      </c>
      <c r="H74" s="28" t="s">
        <v>1038</v>
      </c>
      <c r="T74" s="84"/>
    </row>
    <row r="75" spans="1:40" ht="14.25" customHeight="1" x14ac:dyDescent="0.2">
      <c r="F75" s="50" t="s">
        <v>140</v>
      </c>
      <c r="G75" s="72">
        <f t="shared" ref="G75:G89" si="5">SUMIF($F$2:$F$71,F75,N$2:N$71)</f>
        <v>811750</v>
      </c>
      <c r="H75" s="73">
        <f t="shared" ref="H75:H89" si="6">SUMIF($F$2:$F$71,F75,Q$2:Q$71)</f>
        <v>93.627450980392155</v>
      </c>
      <c r="T75" s="84"/>
    </row>
    <row r="76" spans="1:40" ht="14.25" customHeight="1" x14ac:dyDescent="0.2">
      <c r="F76" s="14" t="s">
        <v>156</v>
      </c>
      <c r="G76" s="72">
        <f t="shared" si="5"/>
        <v>32239.375</v>
      </c>
      <c r="H76" s="73">
        <f t="shared" si="6"/>
        <v>3.7184976931949252</v>
      </c>
      <c r="T76" s="84"/>
    </row>
    <row r="77" spans="1:40" ht="14.25" customHeight="1" x14ac:dyDescent="0.2">
      <c r="F77" s="50" t="s">
        <v>3</v>
      </c>
      <c r="G77" s="72">
        <f t="shared" si="5"/>
        <v>12744</v>
      </c>
      <c r="H77" s="73">
        <f t="shared" si="6"/>
        <v>1.4698961937716264</v>
      </c>
      <c r="T77" s="84"/>
    </row>
    <row r="78" spans="1:40" ht="14.25" customHeight="1" x14ac:dyDescent="0.2">
      <c r="F78" s="50" t="s">
        <v>4</v>
      </c>
      <c r="G78" s="72">
        <f t="shared" si="5"/>
        <v>50813.274000000005</v>
      </c>
      <c r="H78" s="73">
        <f t="shared" si="6"/>
        <v>5.8608159169550182</v>
      </c>
      <c r="T78" s="84"/>
    </row>
    <row r="79" spans="1:40" ht="14.25" customHeight="1" x14ac:dyDescent="0.2">
      <c r="F79" s="50" t="s">
        <v>712</v>
      </c>
      <c r="G79" s="72">
        <f t="shared" si="5"/>
        <v>44000</v>
      </c>
      <c r="H79" s="73">
        <f t="shared" si="6"/>
        <v>5.0749711649365628</v>
      </c>
      <c r="T79" s="84"/>
    </row>
    <row r="80" spans="1:40" ht="14.25" customHeight="1" x14ac:dyDescent="0.2">
      <c r="F80" s="50" t="s">
        <v>14</v>
      </c>
      <c r="G80" s="72">
        <f t="shared" si="5"/>
        <v>720</v>
      </c>
      <c r="H80" s="73">
        <f t="shared" si="6"/>
        <v>8.3044982698961947E-2</v>
      </c>
      <c r="T80" s="84"/>
    </row>
    <row r="81" spans="6:20" ht="14.25" customHeight="1" x14ac:dyDescent="0.2">
      <c r="F81" s="50" t="s">
        <v>12</v>
      </c>
      <c r="G81" s="72">
        <f t="shared" si="5"/>
        <v>27120</v>
      </c>
      <c r="H81" s="73">
        <f t="shared" si="6"/>
        <v>3.1280276816608996</v>
      </c>
      <c r="T81" s="84"/>
    </row>
    <row r="82" spans="6:20" ht="14.25" customHeight="1" x14ac:dyDescent="0.2">
      <c r="F82" s="50" t="s">
        <v>932</v>
      </c>
      <c r="G82" s="72">
        <f t="shared" si="5"/>
        <v>25920</v>
      </c>
      <c r="H82" s="73">
        <f t="shared" si="6"/>
        <v>2.9896193771626298</v>
      </c>
      <c r="T82" s="84"/>
    </row>
    <row r="83" spans="6:20" ht="14.25" customHeight="1" x14ac:dyDescent="0.2">
      <c r="F83" s="34" t="s">
        <v>22</v>
      </c>
      <c r="G83" s="72">
        <f t="shared" si="5"/>
        <v>3456</v>
      </c>
      <c r="H83" s="73">
        <f t="shared" si="6"/>
        <v>0.3986159169550173</v>
      </c>
      <c r="T83" s="84"/>
    </row>
    <row r="84" spans="6:20" ht="14.25" customHeight="1" x14ac:dyDescent="0.2">
      <c r="F84" s="50" t="s">
        <v>13</v>
      </c>
      <c r="G84" s="72">
        <f t="shared" si="5"/>
        <v>315</v>
      </c>
      <c r="H84" s="73">
        <f t="shared" si="6"/>
        <v>3.6332179930795849E-2</v>
      </c>
      <c r="T84" s="84"/>
    </row>
    <row r="85" spans="6:20" ht="14.25" customHeight="1" x14ac:dyDescent="0.2">
      <c r="F85" s="50" t="s">
        <v>435</v>
      </c>
      <c r="G85" s="72">
        <f t="shared" si="5"/>
        <v>2073.75</v>
      </c>
      <c r="H85" s="73">
        <f t="shared" si="6"/>
        <v>0.23918685121107267</v>
      </c>
      <c r="T85" s="84"/>
    </row>
    <row r="86" spans="6:20" ht="14.25" customHeight="1" x14ac:dyDescent="0.2">
      <c r="F86" s="50" t="s">
        <v>19</v>
      </c>
      <c r="G86" s="72">
        <f t="shared" si="5"/>
        <v>107.10000000000001</v>
      </c>
      <c r="H86" s="73">
        <f t="shared" si="6"/>
        <v>1.2352941176470589E-2</v>
      </c>
      <c r="T86" s="84"/>
    </row>
    <row r="87" spans="6:20" ht="14.25" customHeight="1" x14ac:dyDescent="0.2">
      <c r="F87" s="50" t="s">
        <v>10</v>
      </c>
      <c r="G87" s="72">
        <f t="shared" si="5"/>
        <v>5832</v>
      </c>
      <c r="H87" s="73">
        <f t="shared" si="6"/>
        <v>0.67266435986159168</v>
      </c>
      <c r="T87" s="84"/>
    </row>
    <row r="88" spans="6:20" ht="14.25" customHeight="1" x14ac:dyDescent="0.2">
      <c r="F88" s="50" t="s">
        <v>517</v>
      </c>
      <c r="G88" s="72">
        <f t="shared" si="5"/>
        <v>56700</v>
      </c>
      <c r="H88" s="73">
        <f t="shared" si="6"/>
        <v>6.5397923875432529</v>
      </c>
      <c r="T88" s="84"/>
    </row>
    <row r="89" spans="6:20" ht="14.25" customHeight="1" x14ac:dyDescent="0.2">
      <c r="F89" s="50" t="s">
        <v>23</v>
      </c>
      <c r="G89" s="72">
        <f t="shared" si="5"/>
        <v>9000</v>
      </c>
      <c r="H89" s="73">
        <f t="shared" si="6"/>
        <v>1.0380622837370241</v>
      </c>
      <c r="T89" s="84"/>
    </row>
    <row r="90" spans="6:20" ht="14.25" customHeight="1" x14ac:dyDescent="0.2">
      <c r="T90" s="84"/>
    </row>
    <row r="91" spans="6:20" ht="14.25" customHeight="1" x14ac:dyDescent="0.2">
      <c r="T91" s="84"/>
    </row>
    <row r="92" spans="6:20" ht="14.25" customHeight="1" x14ac:dyDescent="0.2">
      <c r="T92" s="84"/>
    </row>
    <row r="93" spans="6:20" ht="14.25" customHeight="1" x14ac:dyDescent="0.2">
      <c r="T93" s="84"/>
    </row>
    <row r="94" spans="6:20" ht="14.25" customHeight="1" x14ac:dyDescent="0.2">
      <c r="T94" s="84"/>
    </row>
    <row r="95" spans="6:20" ht="14.25" customHeight="1" x14ac:dyDescent="0.2">
      <c r="F95" s="93" t="s">
        <v>1040</v>
      </c>
      <c r="G95" s="28" t="s">
        <v>128</v>
      </c>
      <c r="H95" s="28" t="s">
        <v>1041</v>
      </c>
      <c r="T95" s="84"/>
    </row>
    <row r="96" spans="6:20" ht="14.25" customHeight="1" x14ac:dyDescent="0.2">
      <c r="F96" s="50" t="s">
        <v>140</v>
      </c>
      <c r="G96" s="72">
        <f t="shared" ref="G96:G108" si="7">SUMIF($E$2:$E$71,F96,N$2:N$71)</f>
        <v>811750</v>
      </c>
      <c r="H96" s="73">
        <f t="shared" ref="H96:H108" si="8">SUMIF($E$2:$E$71,F96,Q$2:Q$71)</f>
        <v>93.627450980392155</v>
      </c>
      <c r="T96" s="84"/>
    </row>
    <row r="97" spans="6:20" ht="14.25" customHeight="1" x14ac:dyDescent="0.2">
      <c r="F97" s="14" t="s">
        <v>155</v>
      </c>
      <c r="G97" s="72">
        <f t="shared" si="7"/>
        <v>32239.375</v>
      </c>
      <c r="H97" s="73">
        <f t="shared" si="8"/>
        <v>3.7184976931949252</v>
      </c>
      <c r="T97" s="84"/>
    </row>
    <row r="98" spans="6:20" ht="14.25" customHeight="1" x14ac:dyDescent="0.2">
      <c r="F98" s="50" t="s">
        <v>92</v>
      </c>
      <c r="G98" s="72">
        <f t="shared" si="7"/>
        <v>63557.274000000005</v>
      </c>
      <c r="H98" s="73">
        <f t="shared" si="8"/>
        <v>7.3307121107266449</v>
      </c>
      <c r="T98" s="84"/>
    </row>
    <row r="99" spans="6:20" ht="14.25" customHeight="1" x14ac:dyDescent="0.2">
      <c r="F99" s="50" t="s">
        <v>712</v>
      </c>
      <c r="G99" s="72">
        <f t="shared" si="7"/>
        <v>44000</v>
      </c>
      <c r="H99" s="73">
        <f t="shared" si="8"/>
        <v>5.0749711649365628</v>
      </c>
      <c r="T99" s="84"/>
    </row>
    <row r="100" spans="6:20" ht="14.25" customHeight="1" x14ac:dyDescent="0.2">
      <c r="F100" s="50" t="s">
        <v>279</v>
      </c>
      <c r="G100" s="72">
        <f t="shared" si="7"/>
        <v>720</v>
      </c>
      <c r="H100" s="73">
        <f t="shared" si="8"/>
        <v>8.3044982698961947E-2</v>
      </c>
      <c r="T100" s="84"/>
    </row>
    <row r="101" spans="6:20" ht="14.25" customHeight="1" x14ac:dyDescent="0.2">
      <c r="F101" s="50" t="s">
        <v>294</v>
      </c>
      <c r="G101" s="72">
        <f t="shared" si="7"/>
        <v>27120</v>
      </c>
      <c r="H101" s="73">
        <f t="shared" si="8"/>
        <v>3.1280276816608996</v>
      </c>
      <c r="T101" s="84"/>
    </row>
    <row r="102" spans="6:20" ht="14.25" customHeight="1" x14ac:dyDescent="0.2">
      <c r="F102" s="50" t="s">
        <v>929</v>
      </c>
      <c r="G102" s="72">
        <f t="shared" si="7"/>
        <v>25920</v>
      </c>
      <c r="H102" s="73">
        <f t="shared" si="8"/>
        <v>2.9896193771626298</v>
      </c>
      <c r="T102" s="84"/>
    </row>
    <row r="103" spans="6:20" ht="14.25" customHeight="1" x14ac:dyDescent="0.2">
      <c r="F103" s="34" t="s">
        <v>958</v>
      </c>
      <c r="G103" s="72">
        <f t="shared" si="7"/>
        <v>3456</v>
      </c>
      <c r="H103" s="73">
        <f t="shared" si="8"/>
        <v>0.3986159169550173</v>
      </c>
      <c r="T103" s="84"/>
    </row>
    <row r="104" spans="6:20" ht="14.25" customHeight="1" x14ac:dyDescent="0.2">
      <c r="F104" s="50" t="s">
        <v>13</v>
      </c>
      <c r="G104" s="72">
        <f t="shared" si="7"/>
        <v>315</v>
      </c>
      <c r="H104" s="73">
        <f t="shared" si="8"/>
        <v>3.6332179930795849E-2</v>
      </c>
      <c r="T104" s="84"/>
    </row>
    <row r="105" spans="6:20" ht="14.25" customHeight="1" x14ac:dyDescent="0.2">
      <c r="F105" s="50" t="s">
        <v>434</v>
      </c>
      <c r="G105" s="72">
        <f t="shared" si="7"/>
        <v>2073.75</v>
      </c>
      <c r="H105" s="73">
        <f t="shared" si="8"/>
        <v>0.23918685121107267</v>
      </c>
      <c r="T105" s="84"/>
    </row>
    <row r="106" spans="6:20" ht="14.25" customHeight="1" x14ac:dyDescent="0.2">
      <c r="F106" s="50" t="s">
        <v>287</v>
      </c>
      <c r="G106" s="72">
        <f t="shared" si="7"/>
        <v>5939.1</v>
      </c>
      <c r="H106" s="73">
        <f t="shared" si="8"/>
        <v>0.68501730103806224</v>
      </c>
      <c r="T106" s="84"/>
    </row>
    <row r="107" spans="6:20" ht="14.25" customHeight="1" x14ac:dyDescent="0.2">
      <c r="F107" s="50" t="s">
        <v>516</v>
      </c>
      <c r="G107" s="72">
        <f t="shared" si="7"/>
        <v>56700</v>
      </c>
      <c r="H107" s="73">
        <f t="shared" si="8"/>
        <v>6.5397923875432529</v>
      </c>
      <c r="T107" s="84"/>
    </row>
    <row r="108" spans="6:20" ht="14.25" customHeight="1" x14ac:dyDescent="0.2">
      <c r="F108" s="50" t="s">
        <v>527</v>
      </c>
      <c r="G108" s="72">
        <f t="shared" si="7"/>
        <v>9000</v>
      </c>
      <c r="H108" s="73">
        <f t="shared" si="8"/>
        <v>1.0380622837370241</v>
      </c>
      <c r="T108" s="84"/>
    </row>
    <row r="109" spans="6:20" ht="14.25" customHeight="1" x14ac:dyDescent="0.2">
      <c r="T109" s="84"/>
    </row>
    <row r="110" spans="6:20" ht="14.25" customHeight="1" x14ac:dyDescent="0.2">
      <c r="T110" s="84"/>
    </row>
    <row r="111" spans="6:20" ht="14.25" customHeight="1" x14ac:dyDescent="0.2">
      <c r="T111" s="84"/>
    </row>
    <row r="112" spans="6:20" ht="14.25" customHeight="1" x14ac:dyDescent="0.2">
      <c r="T112" s="84"/>
    </row>
    <row r="113" spans="20:20" ht="14.25" customHeight="1" x14ac:dyDescent="0.2">
      <c r="T113" s="84"/>
    </row>
    <row r="114" spans="20:20" ht="14.25" customHeight="1" x14ac:dyDescent="0.2">
      <c r="T114" s="84"/>
    </row>
    <row r="115" spans="20:20" ht="14.25" customHeight="1" x14ac:dyDescent="0.2">
      <c r="T115" s="84"/>
    </row>
    <row r="116" spans="20:20" ht="14.25" customHeight="1" x14ac:dyDescent="0.2">
      <c r="T116" s="84"/>
    </row>
    <row r="117" spans="20:20" ht="14.25" customHeight="1" x14ac:dyDescent="0.2">
      <c r="T117" s="84"/>
    </row>
    <row r="118" spans="20:20" ht="14.25" customHeight="1" x14ac:dyDescent="0.2">
      <c r="T118" s="84"/>
    </row>
    <row r="119" spans="20:20" ht="14.25" customHeight="1" x14ac:dyDescent="0.2">
      <c r="T119" s="84"/>
    </row>
    <row r="120" spans="20:20" ht="14.25" customHeight="1" x14ac:dyDescent="0.2">
      <c r="T120" s="84"/>
    </row>
    <row r="121" spans="20:20" ht="14.25" customHeight="1" x14ac:dyDescent="0.2">
      <c r="T121" s="84"/>
    </row>
    <row r="122" spans="20:20" ht="14.25" customHeight="1" x14ac:dyDescent="0.2">
      <c r="T122" s="84"/>
    </row>
    <row r="123" spans="20:20" ht="14.25" customHeight="1" x14ac:dyDescent="0.2">
      <c r="T123" s="84"/>
    </row>
    <row r="124" spans="20:20" ht="14.25" customHeight="1" x14ac:dyDescent="0.2">
      <c r="T124" s="84"/>
    </row>
    <row r="125" spans="20:20" ht="14.25" customHeight="1" x14ac:dyDescent="0.2">
      <c r="T125" s="84"/>
    </row>
    <row r="126" spans="20:20" ht="14.25" customHeight="1" x14ac:dyDescent="0.2">
      <c r="T126" s="84"/>
    </row>
    <row r="127" spans="20:20" ht="14.25" customHeight="1" x14ac:dyDescent="0.2">
      <c r="T127" s="84"/>
    </row>
    <row r="128" spans="20: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220">
    <mergeCell ref="B51:B60"/>
    <mergeCell ref="H51:H54"/>
    <mergeCell ref="I51:I54"/>
    <mergeCell ref="K51:K54"/>
    <mergeCell ref="L51:L54"/>
    <mergeCell ref="L55:L58"/>
    <mergeCell ref="M55:M58"/>
    <mergeCell ref="M59:M60"/>
    <mergeCell ref="N59:N60"/>
    <mergeCell ref="M51:M54"/>
    <mergeCell ref="N51:N54"/>
    <mergeCell ref="H55:H60"/>
    <mergeCell ref="I55:I60"/>
    <mergeCell ref="J55:J58"/>
    <mergeCell ref="K55:K58"/>
    <mergeCell ref="J51:J54"/>
    <mergeCell ref="J59:J60"/>
    <mergeCell ref="K59:K60"/>
    <mergeCell ref="L59:L60"/>
    <mergeCell ref="Q51:Q54"/>
    <mergeCell ref="R51:R54"/>
    <mergeCell ref="N55:N58"/>
    <mergeCell ref="Q55:Q58"/>
    <mergeCell ref="R55:R58"/>
    <mergeCell ref="C7:C29"/>
    <mergeCell ref="B36:B48"/>
    <mergeCell ref="C36:C48"/>
    <mergeCell ref="D67:D68"/>
    <mergeCell ref="G61:G63"/>
    <mergeCell ref="D64:D66"/>
    <mergeCell ref="E64:E66"/>
    <mergeCell ref="J61:J63"/>
    <mergeCell ref="J67:J68"/>
    <mergeCell ref="R59:R60"/>
    <mergeCell ref="H61:H71"/>
    <mergeCell ref="I61:I71"/>
    <mergeCell ref="K61:K63"/>
    <mergeCell ref="L61:L63"/>
    <mergeCell ref="N64:N66"/>
    <mergeCell ref="R64:R66"/>
    <mergeCell ref="R69:R71"/>
    <mergeCell ref="Q61:Q63"/>
    <mergeCell ref="R61:R63"/>
    <mergeCell ref="D69:D71"/>
    <mergeCell ref="A2:A71"/>
    <mergeCell ref="C2:C4"/>
    <mergeCell ref="E2:E3"/>
    <mergeCell ref="F2:F3"/>
    <mergeCell ref="G2:G4"/>
    <mergeCell ref="G5:G6"/>
    <mergeCell ref="F33:F35"/>
    <mergeCell ref="C51:C60"/>
    <mergeCell ref="D51:D54"/>
    <mergeCell ref="D55:D58"/>
    <mergeCell ref="D59:D60"/>
    <mergeCell ref="E51:E54"/>
    <mergeCell ref="F51:F54"/>
    <mergeCell ref="G51:G60"/>
    <mergeCell ref="E55:E58"/>
    <mergeCell ref="F55:F58"/>
    <mergeCell ref="E59:E60"/>
    <mergeCell ref="F59:F60"/>
    <mergeCell ref="B61:B71"/>
    <mergeCell ref="C61:C71"/>
    <mergeCell ref="D61:D63"/>
    <mergeCell ref="E61:E63"/>
    <mergeCell ref="F61:F63"/>
    <mergeCell ref="K64:K66"/>
    <mergeCell ref="L64:L66"/>
    <mergeCell ref="M64:M66"/>
    <mergeCell ref="Q59:Q60"/>
    <mergeCell ref="Q64:Q66"/>
    <mergeCell ref="K67:K68"/>
    <mergeCell ref="L67:L68"/>
    <mergeCell ref="M67:M68"/>
    <mergeCell ref="N67:N68"/>
    <mergeCell ref="Q67:Q68"/>
    <mergeCell ref="M61:M63"/>
    <mergeCell ref="N61:N63"/>
    <mergeCell ref="R67:R68"/>
    <mergeCell ref="N69:N71"/>
    <mergeCell ref="Q69:Q71"/>
    <mergeCell ref="E69:E71"/>
    <mergeCell ref="F69:F71"/>
    <mergeCell ref="G69:G71"/>
    <mergeCell ref="J69:J71"/>
    <mergeCell ref="K69:K71"/>
    <mergeCell ref="L69:L71"/>
    <mergeCell ref="M69:M71"/>
    <mergeCell ref="O2:O71"/>
    <mergeCell ref="P2:P71"/>
    <mergeCell ref="Q2:Q3"/>
    <mergeCell ref="R2:R3"/>
    <mergeCell ref="H2:H4"/>
    <mergeCell ref="I2:I4"/>
    <mergeCell ref="J2:J4"/>
    <mergeCell ref="K2:K4"/>
    <mergeCell ref="L2:L3"/>
    <mergeCell ref="M2:M3"/>
    <mergeCell ref="N2:N3"/>
    <mergeCell ref="E7:E10"/>
    <mergeCell ref="F7:F10"/>
    <mergeCell ref="J7:J10"/>
    <mergeCell ref="L7:L10"/>
    <mergeCell ref="M7:M10"/>
    <mergeCell ref="N7:N10"/>
    <mergeCell ref="Q40:Q44"/>
    <mergeCell ref="Q46:Q48"/>
    <mergeCell ref="R46:R48"/>
    <mergeCell ref="K33:K35"/>
    <mergeCell ref="L33:L35"/>
    <mergeCell ref="Q33:Q35"/>
    <mergeCell ref="R33:R35"/>
    <mergeCell ref="Q36:Q39"/>
    <mergeCell ref="R36:R39"/>
    <mergeCell ref="R40:R44"/>
    <mergeCell ref="M20:M25"/>
    <mergeCell ref="N20:N25"/>
    <mergeCell ref="M27:M29"/>
    <mergeCell ref="M40:M44"/>
    <mergeCell ref="M46:M48"/>
    <mergeCell ref="N46:N48"/>
    <mergeCell ref="M36:M39"/>
    <mergeCell ref="N36:N39"/>
    <mergeCell ref="N40:N44"/>
    <mergeCell ref="F64:F66"/>
    <mergeCell ref="G64:G66"/>
    <mergeCell ref="E67:E68"/>
    <mergeCell ref="F67:F68"/>
    <mergeCell ref="G67:G68"/>
    <mergeCell ref="J11:J18"/>
    <mergeCell ref="J20:J25"/>
    <mergeCell ref="K20:K25"/>
    <mergeCell ref="L20:L25"/>
    <mergeCell ref="J27:J29"/>
    <mergeCell ref="K27:K29"/>
    <mergeCell ref="L27:L29"/>
    <mergeCell ref="J40:J44"/>
    <mergeCell ref="K40:K44"/>
    <mergeCell ref="L40:L44"/>
    <mergeCell ref="J36:J39"/>
    <mergeCell ref="J46:J48"/>
    <mergeCell ref="K46:K48"/>
    <mergeCell ref="L46:L48"/>
    <mergeCell ref="H36:H48"/>
    <mergeCell ref="I36:I48"/>
    <mergeCell ref="K36:K39"/>
    <mergeCell ref="L36:L39"/>
    <mergeCell ref="J64:J66"/>
    <mergeCell ref="L11:L18"/>
    <mergeCell ref="M11:M18"/>
    <mergeCell ref="N11:N18"/>
    <mergeCell ref="N27:N29"/>
    <mergeCell ref="D11:D18"/>
    <mergeCell ref="E11:E18"/>
    <mergeCell ref="F11:F18"/>
    <mergeCell ref="G11:G18"/>
    <mergeCell ref="D20:D25"/>
    <mergeCell ref="E20:E25"/>
    <mergeCell ref="F20:F25"/>
    <mergeCell ref="G20:G25"/>
    <mergeCell ref="D27:D29"/>
    <mergeCell ref="E27:E29"/>
    <mergeCell ref="F27:F29"/>
    <mergeCell ref="G27:G29"/>
    <mergeCell ref="M33:M35"/>
    <mergeCell ref="N33:N35"/>
    <mergeCell ref="I30:I35"/>
    <mergeCell ref="J30:J31"/>
    <mergeCell ref="K30:K31"/>
    <mergeCell ref="L30:L31"/>
    <mergeCell ref="M30:M31"/>
    <mergeCell ref="N30:N31"/>
    <mergeCell ref="J33:J35"/>
    <mergeCell ref="Q27:Q29"/>
    <mergeCell ref="Q30:Q31"/>
    <mergeCell ref="T31:AC31"/>
    <mergeCell ref="Q7:Q10"/>
    <mergeCell ref="R7:R10"/>
    <mergeCell ref="Q11:Q18"/>
    <mergeCell ref="R11:R18"/>
    <mergeCell ref="Q20:Q25"/>
    <mergeCell ref="R20:R25"/>
    <mergeCell ref="R27:R29"/>
    <mergeCell ref="R30:R31"/>
    <mergeCell ref="B2:B4"/>
    <mergeCell ref="B7:B29"/>
    <mergeCell ref="D33:D35"/>
    <mergeCell ref="E33:E35"/>
    <mergeCell ref="D36:D39"/>
    <mergeCell ref="E36:E39"/>
    <mergeCell ref="F36:F39"/>
    <mergeCell ref="G36:G39"/>
    <mergeCell ref="D40:D44"/>
    <mergeCell ref="E40:E44"/>
    <mergeCell ref="F40:F44"/>
    <mergeCell ref="G40:G48"/>
    <mergeCell ref="D46:D48"/>
    <mergeCell ref="E46:E48"/>
    <mergeCell ref="B5:B6"/>
    <mergeCell ref="C5:C6"/>
    <mergeCell ref="B30:B35"/>
    <mergeCell ref="C30:C35"/>
    <mergeCell ref="G7:G10"/>
    <mergeCell ref="F46:F48"/>
    <mergeCell ref="H5:H6"/>
    <mergeCell ref="I5:I6"/>
    <mergeCell ref="J5:J6"/>
    <mergeCell ref="K5:K6"/>
    <mergeCell ref="D2:D3"/>
    <mergeCell ref="D7:D10"/>
    <mergeCell ref="D30:D31"/>
    <mergeCell ref="E30:E31"/>
    <mergeCell ref="F30:F31"/>
    <mergeCell ref="G30:G35"/>
    <mergeCell ref="H30:H35"/>
    <mergeCell ref="H7:H29"/>
    <mergeCell ref="I7:I29"/>
    <mergeCell ref="K11:K18"/>
    <mergeCell ref="K7:K10"/>
  </mergeCells>
  <conditionalFormatting sqref="R2:R9 R11 R30 R32:R33 R49 R51:R59 R61:R64 R67:R71">
    <cfRule type="colorScale" priority="6">
      <colorScale>
        <cfvo type="min"/>
        <cfvo type="percentile" val="50"/>
        <cfvo type="max"/>
        <color rgb="FFF8696B"/>
        <color rgb="FFFFEB84"/>
        <color rgb="FF63BE7B"/>
      </colorScale>
    </cfRule>
  </conditionalFormatting>
  <conditionalFormatting sqref="R2:R11 R30:R33 R49:R71">
    <cfRule type="colorScale" priority="4">
      <colorScale>
        <cfvo type="min"/>
        <cfvo type="percentile" val="50"/>
        <cfvo type="max"/>
        <color rgb="FFF8696B"/>
        <color rgb="FFFFEB84"/>
        <color rgb="FF63BE7B"/>
      </colorScale>
    </cfRule>
  </conditionalFormatting>
  <conditionalFormatting sqref="R2:R71">
    <cfRule type="colorScale" priority="1">
      <colorScale>
        <cfvo type="min"/>
        <cfvo type="percentile" val="50"/>
        <cfvo type="max"/>
        <color rgb="FFF8696B"/>
        <color rgb="FFFFEB84"/>
        <color rgb="FF63BE7B"/>
      </colorScale>
    </cfRule>
  </conditionalFormatting>
  <conditionalFormatting sqref="R45:R46">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conditionalFormatting sqref="R50">
    <cfRule type="colorScale" priority="5">
      <colorScale>
        <cfvo type="min"/>
        <cfvo type="percentile" val="50"/>
        <cfvo type="max"/>
        <color rgb="FFF8696B"/>
        <color rgb="FFFFEB84"/>
        <color rgb="FF63BE7B"/>
      </colorScale>
    </cfRule>
  </conditionalFormatting>
  <hyperlinks>
    <hyperlink ref="S4" r:id="rId1" xr:uid="{00000000-0004-0000-0D00-000000000000}"/>
    <hyperlink ref="S7" r:id="rId2" xr:uid="{00000000-0004-0000-0D00-000001000000}"/>
    <hyperlink ref="S9" r:id="rId3" xr:uid="{00000000-0004-0000-0D00-000002000000}"/>
    <hyperlink ref="S12" r:id="rId4" xr:uid="{00000000-0004-0000-0D00-000003000000}"/>
    <hyperlink ref="S15" r:id="rId5" xr:uid="{00000000-0004-0000-0D00-000004000000}"/>
    <hyperlink ref="S16" r:id="rId6" xr:uid="{00000000-0004-0000-0D00-000005000000}"/>
    <hyperlink ref="S22" r:id="rId7" location=":~:text=Truss%20Spacing%20for%20Roof%20Types%20*%20Gable,based%20on%20the%20design%20and%20load%20considerations. " xr:uid="{00000000-0004-0000-0D00-000006000000}"/>
    <hyperlink ref="S23" r:id="rId8" xr:uid="{00000000-0004-0000-0D00-000007000000}"/>
    <hyperlink ref="S24" r:id="rId9" xr:uid="{00000000-0004-0000-0D00-000008000000}"/>
    <hyperlink ref="S28" r:id="rId10" xr:uid="{00000000-0004-0000-0D00-000009000000}"/>
    <hyperlink ref="S38" r:id="rId11" xr:uid="{00000000-0004-0000-0D00-00000A000000}"/>
    <hyperlink ref="S41" r:id="rId12" xr:uid="{00000000-0004-0000-0D00-00000B000000}"/>
    <hyperlink ref="S44" r:id="rId13" xr:uid="{00000000-0004-0000-0D00-00000C000000}"/>
    <hyperlink ref="S52" r:id="rId14" xr:uid="{00000000-0004-0000-0D00-00000D000000}"/>
    <hyperlink ref="S58" r:id="rId15" xr:uid="{00000000-0004-0000-0D00-00000E000000}"/>
    <hyperlink ref="S60" r:id="rId16" xr:uid="{00000000-0004-0000-0D00-00000F000000}"/>
    <hyperlink ref="S66" r:id="rId17" xr:uid="{00000000-0004-0000-0D00-000010000000}"/>
    <hyperlink ref="S69" r:id="rId18" xr:uid="{00000000-0004-0000-0D00-000011000000}"/>
  </hyperlinks>
  <pageMargins left="0.7" right="0.7" top="0.75" bottom="0.75" header="0" footer="0"/>
  <pageSetup orientation="portrait"/>
  <drawing r:id="rId19"/>
  <legacyDrawing r:id="rId2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115</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805</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806</v>
      </c>
      <c r="B2" s="183" t="s">
        <v>53</v>
      </c>
      <c r="C2" s="183" t="s">
        <v>139</v>
      </c>
      <c r="D2" s="179" t="s">
        <v>140</v>
      </c>
      <c r="E2" s="179" t="s">
        <v>140</v>
      </c>
      <c r="F2" s="179" t="s">
        <v>140</v>
      </c>
      <c r="G2" s="182">
        <v>1</v>
      </c>
      <c r="H2" s="182">
        <v>64</v>
      </c>
      <c r="I2" s="183" t="s">
        <v>142</v>
      </c>
      <c r="J2" s="178">
        <v>0.5</v>
      </c>
      <c r="K2" s="178">
        <v>1.5</v>
      </c>
      <c r="L2" s="178">
        <v>150</v>
      </c>
      <c r="M2" s="179" t="s">
        <v>808</v>
      </c>
      <c r="N2" s="188">
        <f>L2*K2*J2*H2</f>
        <v>7200</v>
      </c>
      <c r="O2" s="186">
        <v>240</v>
      </c>
      <c r="P2" s="187" t="s">
        <v>810</v>
      </c>
      <c r="Q2" s="175">
        <f>N2/O2</f>
        <v>30</v>
      </c>
      <c r="R2" s="191">
        <v>4</v>
      </c>
      <c r="S2" s="14" t="s">
        <v>149</v>
      </c>
      <c r="T2" s="85" t="s">
        <v>150</v>
      </c>
      <c r="U2" s="85"/>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181"/>
      <c r="C3" s="181"/>
      <c r="D3" s="176"/>
      <c r="E3" s="176"/>
      <c r="F3" s="176"/>
      <c r="G3" s="181"/>
      <c r="H3" s="181"/>
      <c r="I3" s="181"/>
      <c r="J3" s="181"/>
      <c r="K3" s="181"/>
      <c r="L3" s="176"/>
      <c r="M3" s="176"/>
      <c r="N3" s="176"/>
      <c r="O3" s="181"/>
      <c r="P3" s="181"/>
      <c r="Q3" s="176"/>
      <c r="R3" s="176"/>
      <c r="S3" s="14" t="s">
        <v>401</v>
      </c>
      <c r="T3" s="85" t="s">
        <v>714</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76"/>
      <c r="C4" s="176"/>
      <c r="D4" s="14" t="s">
        <v>154</v>
      </c>
      <c r="E4" s="14" t="s">
        <v>155</v>
      </c>
      <c r="F4" s="14" t="s">
        <v>156</v>
      </c>
      <c r="G4" s="176"/>
      <c r="H4" s="176"/>
      <c r="I4" s="176"/>
      <c r="J4" s="176"/>
      <c r="K4" s="176"/>
      <c r="L4" s="14">
        <v>5.25</v>
      </c>
      <c r="M4" s="14" t="s">
        <v>812</v>
      </c>
      <c r="N4" s="38">
        <f>L4*K2*J2*H2</f>
        <v>252</v>
      </c>
      <c r="O4" s="181"/>
      <c r="P4" s="181"/>
      <c r="Q4" s="19">
        <f t="shared" ref="Q4:Q7" si="0">N4/$O$2</f>
        <v>1.05</v>
      </c>
      <c r="R4" s="48">
        <v>4</v>
      </c>
      <c r="S4" s="86" t="s">
        <v>240</v>
      </c>
      <c r="T4" s="44" t="s">
        <v>405</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183" t="s">
        <v>164</v>
      </c>
      <c r="C5" s="183" t="s">
        <v>165</v>
      </c>
      <c r="D5" s="14" t="s">
        <v>140</v>
      </c>
      <c r="E5" s="41" t="s">
        <v>140</v>
      </c>
      <c r="F5" s="41" t="s">
        <v>140</v>
      </c>
      <c r="G5" s="182">
        <v>1</v>
      </c>
      <c r="H5" s="182">
        <v>240</v>
      </c>
      <c r="I5" s="183" t="s">
        <v>166</v>
      </c>
      <c r="J5" s="175">
        <v>0.5</v>
      </c>
      <c r="K5" s="179" t="s">
        <v>27</v>
      </c>
      <c r="L5" s="14">
        <v>150</v>
      </c>
      <c r="M5" s="14" t="s">
        <v>813</v>
      </c>
      <c r="N5" s="38">
        <f>L5*J5*H5</f>
        <v>18000</v>
      </c>
      <c r="O5" s="181"/>
      <c r="P5" s="181"/>
      <c r="Q5" s="19">
        <f t="shared" si="0"/>
        <v>75</v>
      </c>
      <c r="R5" s="49">
        <v>5</v>
      </c>
      <c r="S5" s="14" t="s">
        <v>388</v>
      </c>
      <c r="T5" s="85"/>
      <c r="U5" s="85"/>
      <c r="V5" s="85"/>
      <c r="W5" s="85"/>
      <c r="X5" s="85"/>
      <c r="Y5" s="85"/>
      <c r="Z5" s="85"/>
      <c r="AA5" s="85"/>
      <c r="AB5" s="85"/>
      <c r="AC5" s="85"/>
      <c r="AD5" s="85"/>
      <c r="AE5" s="85"/>
      <c r="AF5" s="85"/>
      <c r="AG5" s="85"/>
      <c r="AH5" s="85"/>
      <c r="AI5" s="85"/>
      <c r="AJ5" s="85"/>
      <c r="AK5" s="85"/>
      <c r="AL5" s="85"/>
      <c r="AM5" s="85"/>
      <c r="AN5" s="85"/>
    </row>
    <row r="6" spans="1:40" ht="14.25" customHeight="1" x14ac:dyDescent="0.2">
      <c r="A6" s="181"/>
      <c r="B6" s="176"/>
      <c r="C6" s="176"/>
      <c r="D6" s="14" t="s">
        <v>154</v>
      </c>
      <c r="E6" s="41" t="s">
        <v>155</v>
      </c>
      <c r="F6" s="41" t="s">
        <v>156</v>
      </c>
      <c r="G6" s="176"/>
      <c r="H6" s="176"/>
      <c r="I6" s="176"/>
      <c r="J6" s="176"/>
      <c r="K6" s="176"/>
      <c r="L6" s="14">
        <v>6</v>
      </c>
      <c r="M6" s="14" t="s">
        <v>814</v>
      </c>
      <c r="N6" s="38">
        <f>L6*J5*H5</f>
        <v>720</v>
      </c>
      <c r="O6" s="181"/>
      <c r="P6" s="181"/>
      <c r="Q6" s="19">
        <f t="shared" si="0"/>
        <v>3</v>
      </c>
      <c r="R6" s="49">
        <v>5</v>
      </c>
      <c r="S6" s="14" t="s">
        <v>174</v>
      </c>
      <c r="T6" s="85" t="s">
        <v>175</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183" t="s">
        <v>209</v>
      </c>
      <c r="C7" s="184" t="s">
        <v>786</v>
      </c>
      <c r="D7" s="179" t="s">
        <v>743</v>
      </c>
      <c r="E7" s="179" t="s">
        <v>92</v>
      </c>
      <c r="F7" s="179" t="s">
        <v>3</v>
      </c>
      <c r="G7" s="182">
        <v>1</v>
      </c>
      <c r="H7" s="182">
        <v>240</v>
      </c>
      <c r="I7" s="183" t="s">
        <v>166</v>
      </c>
      <c r="J7" s="175">
        <v>3.6458333333333336E-2</v>
      </c>
      <c r="K7" s="179" t="s">
        <v>27</v>
      </c>
      <c r="L7" s="178">
        <v>1.44</v>
      </c>
      <c r="M7" s="179" t="s">
        <v>815</v>
      </c>
      <c r="N7" s="195">
        <f>L7*H7</f>
        <v>345.59999999999997</v>
      </c>
      <c r="O7" s="181"/>
      <c r="P7" s="181"/>
      <c r="Q7" s="175">
        <f t="shared" si="0"/>
        <v>1.44</v>
      </c>
      <c r="R7" s="190">
        <v>3</v>
      </c>
      <c r="S7" s="40" t="s">
        <v>365</v>
      </c>
      <c r="T7" s="85" t="s">
        <v>366</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181"/>
      <c r="C8" s="181"/>
      <c r="D8" s="181"/>
      <c r="E8" s="181"/>
      <c r="F8" s="181"/>
      <c r="G8" s="181"/>
      <c r="H8" s="181"/>
      <c r="I8" s="181"/>
      <c r="J8" s="181"/>
      <c r="K8" s="181"/>
      <c r="L8" s="181"/>
      <c r="M8" s="181"/>
      <c r="N8" s="181"/>
      <c r="O8" s="181"/>
      <c r="P8" s="181"/>
      <c r="Q8" s="181"/>
      <c r="R8" s="181"/>
      <c r="S8" s="14" t="s">
        <v>368</v>
      </c>
      <c r="T8" s="85" t="s">
        <v>369</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181"/>
      <c r="C9" s="181"/>
      <c r="D9" s="181"/>
      <c r="E9" s="181"/>
      <c r="F9" s="181"/>
      <c r="G9" s="181"/>
      <c r="H9" s="181"/>
      <c r="I9" s="181"/>
      <c r="J9" s="181"/>
      <c r="K9" s="181"/>
      <c r="L9" s="181"/>
      <c r="M9" s="181"/>
      <c r="N9" s="181"/>
      <c r="O9" s="181"/>
      <c r="P9" s="181"/>
      <c r="Q9" s="181"/>
      <c r="R9" s="181"/>
      <c r="S9" s="40" t="s">
        <v>370</v>
      </c>
      <c r="T9" s="85" t="s">
        <v>372</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181"/>
      <c r="C10" s="176"/>
      <c r="D10" s="176"/>
      <c r="E10" s="176"/>
      <c r="F10" s="176"/>
      <c r="G10" s="176"/>
      <c r="H10" s="181"/>
      <c r="I10" s="181"/>
      <c r="J10" s="176"/>
      <c r="K10" s="176"/>
      <c r="L10" s="176"/>
      <c r="M10" s="176"/>
      <c r="N10" s="176"/>
      <c r="O10" s="181"/>
      <c r="P10" s="181"/>
      <c r="Q10" s="176"/>
      <c r="R10" s="176"/>
      <c r="S10" s="40" t="s">
        <v>685</v>
      </c>
      <c r="T10" s="85" t="s">
        <v>686</v>
      </c>
      <c r="U10" s="85"/>
      <c r="V10" s="85"/>
      <c r="W10" s="85"/>
      <c r="X10" s="85"/>
      <c r="Y10" s="85"/>
      <c r="Z10" s="85"/>
      <c r="AA10" s="85"/>
      <c r="AB10" s="85"/>
      <c r="AC10" s="85"/>
      <c r="AD10" s="85"/>
      <c r="AE10" s="85"/>
      <c r="AF10" s="85"/>
      <c r="AG10" s="85"/>
      <c r="AH10" s="85"/>
      <c r="AI10" s="85"/>
      <c r="AJ10" s="85"/>
      <c r="AK10" s="85"/>
      <c r="AL10" s="85"/>
      <c r="AM10" s="85"/>
      <c r="AN10" s="85"/>
    </row>
    <row r="11" spans="1:40" ht="14.25" customHeight="1" x14ac:dyDescent="0.2">
      <c r="A11" s="181"/>
      <c r="B11" s="181"/>
      <c r="C11" s="184" t="s">
        <v>798</v>
      </c>
      <c r="D11" s="179" t="s">
        <v>753</v>
      </c>
      <c r="E11" s="179" t="s">
        <v>92</v>
      </c>
      <c r="F11" s="179" t="s">
        <v>4</v>
      </c>
      <c r="G11" s="178">
        <v>10</v>
      </c>
      <c r="H11" s="181"/>
      <c r="I11" s="181"/>
      <c r="J11" s="175" t="s">
        <v>186</v>
      </c>
      <c r="K11" s="179" t="s">
        <v>27</v>
      </c>
      <c r="L11" s="178">
        <v>2.42</v>
      </c>
      <c r="M11" s="179" t="s">
        <v>376</v>
      </c>
      <c r="N11" s="180">
        <v>290.39999999999998</v>
      </c>
      <c r="O11" s="181"/>
      <c r="P11" s="181"/>
      <c r="Q11" s="175">
        <f>N11/$O$2</f>
        <v>1.21</v>
      </c>
      <c r="R11" s="190">
        <v>2</v>
      </c>
      <c r="S11" s="14" t="s">
        <v>213</v>
      </c>
      <c r="T11" s="14" t="s">
        <v>816</v>
      </c>
      <c r="U11" s="85"/>
      <c r="V11" s="85"/>
      <c r="W11" s="85"/>
      <c r="X11" s="85"/>
      <c r="Y11" s="85"/>
      <c r="Z11" s="85"/>
      <c r="AA11" s="85"/>
      <c r="AB11" s="85"/>
      <c r="AC11" s="85"/>
      <c r="AD11" s="85"/>
      <c r="AE11" s="85"/>
      <c r="AF11" s="85"/>
      <c r="AG11" s="85"/>
      <c r="AH11" s="85"/>
      <c r="AI11" s="85"/>
      <c r="AJ11" s="85"/>
      <c r="AK11" s="85"/>
      <c r="AL11" s="85"/>
      <c r="AM11" s="85"/>
      <c r="AN11" s="85"/>
    </row>
    <row r="12" spans="1:40" ht="14.25" customHeight="1" x14ac:dyDescent="0.2">
      <c r="A12" s="181"/>
      <c r="B12" s="181"/>
      <c r="C12" s="181"/>
      <c r="D12" s="181"/>
      <c r="E12" s="181"/>
      <c r="F12" s="181"/>
      <c r="G12" s="181"/>
      <c r="H12" s="181"/>
      <c r="I12" s="181"/>
      <c r="J12" s="181"/>
      <c r="K12" s="181"/>
      <c r="L12" s="181"/>
      <c r="M12" s="181"/>
      <c r="N12" s="181"/>
      <c r="O12" s="181"/>
      <c r="P12" s="181"/>
      <c r="Q12" s="181"/>
      <c r="R12" s="181"/>
      <c r="S12" s="40" t="s">
        <v>758</v>
      </c>
      <c r="T12" s="14" t="s">
        <v>759</v>
      </c>
      <c r="U12" s="85"/>
      <c r="V12" s="85"/>
      <c r="W12" s="85"/>
      <c r="X12" s="85"/>
      <c r="Y12" s="85"/>
      <c r="Z12" s="85"/>
      <c r="AA12" s="85"/>
      <c r="AB12" s="85"/>
      <c r="AC12" s="85"/>
      <c r="AD12" s="85"/>
      <c r="AE12" s="85"/>
      <c r="AF12" s="85"/>
      <c r="AG12" s="85"/>
      <c r="AH12" s="85"/>
      <c r="AI12" s="85"/>
      <c r="AJ12" s="85"/>
      <c r="AK12" s="85"/>
      <c r="AL12" s="85"/>
      <c r="AM12" s="85"/>
      <c r="AN12" s="85"/>
    </row>
    <row r="13" spans="1:40" ht="14.25" customHeight="1" x14ac:dyDescent="0.2">
      <c r="A13" s="181"/>
      <c r="B13" s="181"/>
      <c r="C13" s="181"/>
      <c r="D13" s="181"/>
      <c r="E13" s="181"/>
      <c r="F13" s="181"/>
      <c r="G13" s="181"/>
      <c r="H13" s="181"/>
      <c r="I13" s="181"/>
      <c r="J13" s="181"/>
      <c r="K13" s="181"/>
      <c r="L13" s="181"/>
      <c r="M13" s="181"/>
      <c r="N13" s="181"/>
      <c r="O13" s="181"/>
      <c r="P13" s="181"/>
      <c r="Q13" s="181"/>
      <c r="R13" s="181"/>
      <c r="S13" s="40" t="s">
        <v>761</v>
      </c>
      <c r="T13" s="14" t="s">
        <v>762</v>
      </c>
      <c r="U13" s="85"/>
      <c r="V13" s="85"/>
      <c r="W13" s="85"/>
      <c r="X13" s="85"/>
      <c r="Y13" s="85"/>
      <c r="Z13" s="85"/>
      <c r="AA13" s="85"/>
      <c r="AB13" s="85"/>
      <c r="AC13" s="85"/>
      <c r="AD13" s="85"/>
      <c r="AE13" s="85"/>
      <c r="AF13" s="85"/>
      <c r="AG13" s="85"/>
      <c r="AH13" s="85"/>
      <c r="AI13" s="85"/>
      <c r="AJ13" s="85"/>
      <c r="AK13" s="85"/>
      <c r="AL13" s="85"/>
      <c r="AM13" s="85"/>
      <c r="AN13" s="85"/>
    </row>
    <row r="14" spans="1:40" ht="14.25" customHeight="1" x14ac:dyDescent="0.2">
      <c r="A14" s="181"/>
      <c r="B14" s="181"/>
      <c r="C14" s="181"/>
      <c r="D14" s="181"/>
      <c r="E14" s="181"/>
      <c r="F14" s="181"/>
      <c r="G14" s="181"/>
      <c r="H14" s="181"/>
      <c r="I14" s="181"/>
      <c r="J14" s="181"/>
      <c r="K14" s="181"/>
      <c r="L14" s="181"/>
      <c r="M14" s="181"/>
      <c r="N14" s="181"/>
      <c r="O14" s="181"/>
      <c r="P14" s="181"/>
      <c r="Q14" s="181"/>
      <c r="R14" s="181"/>
      <c r="S14" s="40" t="s">
        <v>697</v>
      </c>
      <c r="T14" s="14" t="s">
        <v>698</v>
      </c>
      <c r="U14" s="85"/>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181"/>
      <c r="C15" s="181"/>
      <c r="D15" s="181"/>
      <c r="E15" s="181"/>
      <c r="F15" s="181"/>
      <c r="G15" s="181"/>
      <c r="H15" s="181"/>
      <c r="I15" s="181"/>
      <c r="J15" s="181"/>
      <c r="K15" s="181"/>
      <c r="L15" s="181"/>
      <c r="M15" s="181"/>
      <c r="N15" s="181"/>
      <c r="O15" s="181"/>
      <c r="P15" s="181"/>
      <c r="Q15" s="181"/>
      <c r="R15" s="181"/>
      <c r="S15" s="40" t="s">
        <v>764</v>
      </c>
      <c r="T15" s="14" t="s">
        <v>766</v>
      </c>
      <c r="U15" s="85"/>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181"/>
      <c r="C16" s="181"/>
      <c r="D16" s="181"/>
      <c r="E16" s="181"/>
      <c r="F16" s="181"/>
      <c r="G16" s="181"/>
      <c r="H16" s="181"/>
      <c r="I16" s="181"/>
      <c r="J16" s="181"/>
      <c r="K16" s="181"/>
      <c r="L16" s="181"/>
      <c r="M16" s="181"/>
      <c r="N16" s="181"/>
      <c r="O16" s="181"/>
      <c r="P16" s="181"/>
      <c r="Q16" s="181"/>
      <c r="R16" s="181"/>
      <c r="S16" s="14" t="s">
        <v>774</v>
      </c>
      <c r="T16" s="14" t="s">
        <v>775</v>
      </c>
      <c r="U16" s="85"/>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181"/>
      <c r="C17" s="176"/>
      <c r="D17" s="176"/>
      <c r="E17" s="176"/>
      <c r="F17" s="176"/>
      <c r="G17" s="176"/>
      <c r="H17" s="181"/>
      <c r="I17" s="181"/>
      <c r="J17" s="176"/>
      <c r="K17" s="176"/>
      <c r="L17" s="176"/>
      <c r="M17" s="176"/>
      <c r="N17" s="176"/>
      <c r="O17" s="181"/>
      <c r="P17" s="181"/>
      <c r="Q17" s="176"/>
      <c r="R17" s="176"/>
      <c r="S17" s="14" t="s">
        <v>695</v>
      </c>
      <c r="T17" s="14" t="s">
        <v>820</v>
      </c>
      <c r="U17" s="85"/>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181"/>
      <c r="C18" s="184" t="s">
        <v>821</v>
      </c>
      <c r="D18" s="179" t="s">
        <v>822</v>
      </c>
      <c r="E18" s="179" t="s">
        <v>92</v>
      </c>
      <c r="F18" s="179" t="s">
        <v>4</v>
      </c>
      <c r="G18" s="178">
        <v>48</v>
      </c>
      <c r="H18" s="181"/>
      <c r="I18" s="181"/>
      <c r="J18" s="175" t="s">
        <v>706</v>
      </c>
      <c r="K18" s="179">
        <v>8</v>
      </c>
      <c r="L18" s="178">
        <v>1.833</v>
      </c>
      <c r="M18" s="179" t="s">
        <v>376</v>
      </c>
      <c r="N18" s="180">
        <f>L18*K18*G18</f>
        <v>703.87199999999996</v>
      </c>
      <c r="O18" s="181"/>
      <c r="P18" s="181"/>
      <c r="Q18" s="175">
        <f>N18/O2</f>
        <v>2.9327999999999999</v>
      </c>
      <c r="R18" s="190">
        <v>1</v>
      </c>
      <c r="S18" s="14" t="s">
        <v>181</v>
      </c>
      <c r="T18" s="14" t="s">
        <v>781</v>
      </c>
      <c r="U18" s="85"/>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181"/>
      <c r="C19" s="181"/>
      <c r="D19" s="181"/>
      <c r="E19" s="181"/>
      <c r="F19" s="181"/>
      <c r="G19" s="181"/>
      <c r="H19" s="181"/>
      <c r="I19" s="181"/>
      <c r="J19" s="181"/>
      <c r="K19" s="181"/>
      <c r="L19" s="181"/>
      <c r="M19" s="181"/>
      <c r="N19" s="181"/>
      <c r="O19" s="181"/>
      <c r="P19" s="181"/>
      <c r="Q19" s="181"/>
      <c r="R19" s="181"/>
      <c r="S19" s="40" t="s">
        <v>708</v>
      </c>
      <c r="T19" s="14" t="s">
        <v>709</v>
      </c>
      <c r="U19" s="85"/>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176"/>
      <c r="C20" s="176"/>
      <c r="D20" s="176"/>
      <c r="E20" s="176"/>
      <c r="F20" s="176"/>
      <c r="G20" s="176"/>
      <c r="H20" s="176"/>
      <c r="I20" s="176"/>
      <c r="J20" s="176"/>
      <c r="K20" s="176"/>
      <c r="L20" s="176"/>
      <c r="M20" s="176"/>
      <c r="N20" s="176"/>
      <c r="O20" s="181"/>
      <c r="P20" s="181"/>
      <c r="Q20" s="176"/>
      <c r="R20" s="176"/>
      <c r="S20" s="14" t="s">
        <v>191</v>
      </c>
      <c r="T20" s="14" t="s">
        <v>835</v>
      </c>
      <c r="U20" s="85"/>
      <c r="V20" s="85"/>
      <c r="W20" s="85"/>
      <c r="X20" s="85"/>
      <c r="Y20" s="85"/>
      <c r="Z20" s="85"/>
      <c r="AA20" s="85"/>
      <c r="AB20" s="85"/>
      <c r="AC20" s="85"/>
      <c r="AD20" s="85"/>
      <c r="AE20" s="85"/>
      <c r="AF20" s="85"/>
      <c r="AG20" s="85"/>
      <c r="AH20" s="85"/>
      <c r="AI20" s="85"/>
      <c r="AJ20" s="85"/>
      <c r="AK20" s="85"/>
      <c r="AL20" s="85"/>
      <c r="AM20" s="85"/>
      <c r="AN20" s="85"/>
    </row>
    <row r="21" spans="1:40" ht="15" customHeight="1" x14ac:dyDescent="0.2">
      <c r="A21" s="181"/>
      <c r="B21" s="183" t="s">
        <v>251</v>
      </c>
      <c r="C21" s="184" t="s">
        <v>840</v>
      </c>
      <c r="D21" s="41" t="s">
        <v>844</v>
      </c>
      <c r="E21" s="41" t="s">
        <v>92</v>
      </c>
      <c r="F21" s="41" t="s">
        <v>847</v>
      </c>
      <c r="G21" s="15">
        <v>1</v>
      </c>
      <c r="H21" s="182">
        <v>41</v>
      </c>
      <c r="I21" s="183" t="s">
        <v>166</v>
      </c>
      <c r="J21" s="51" t="s">
        <v>27</v>
      </c>
      <c r="K21" s="41" t="s">
        <v>27</v>
      </c>
      <c r="L21" s="41">
        <v>1.41</v>
      </c>
      <c r="M21" s="41" t="s">
        <v>849</v>
      </c>
      <c r="N21" s="96">
        <f>L21*H21</f>
        <v>57.809999999999995</v>
      </c>
      <c r="O21" s="181"/>
      <c r="P21" s="181"/>
      <c r="Q21" s="116">
        <f>N21/$O$2</f>
        <v>0.24087499999999998</v>
      </c>
      <c r="R21" s="62">
        <v>4</v>
      </c>
      <c r="S21" s="40" t="s">
        <v>853</v>
      </c>
      <c r="T21" s="117" t="s">
        <v>855</v>
      </c>
      <c r="U21" s="14"/>
      <c r="V21" s="14"/>
      <c r="W21" s="14"/>
      <c r="X21" s="14"/>
      <c r="Y21" s="38"/>
      <c r="Z21" s="14"/>
      <c r="AA21" s="14"/>
      <c r="AB21" s="14"/>
      <c r="AC21" s="14"/>
      <c r="AD21" s="61"/>
      <c r="AE21" s="61"/>
      <c r="AF21" s="61"/>
      <c r="AG21" s="61"/>
      <c r="AH21" s="61"/>
      <c r="AI21" s="61"/>
      <c r="AJ21" s="61"/>
      <c r="AK21" s="61"/>
      <c r="AL21" s="61"/>
      <c r="AM21" s="85"/>
      <c r="AN21" s="85"/>
    </row>
    <row r="22" spans="1:40" ht="15" customHeight="1" x14ac:dyDescent="0.2">
      <c r="A22" s="181"/>
      <c r="B22" s="181"/>
      <c r="C22" s="181"/>
      <c r="D22" s="179" t="s">
        <v>859</v>
      </c>
      <c r="E22" s="179" t="s">
        <v>92</v>
      </c>
      <c r="F22" s="179" t="s">
        <v>4</v>
      </c>
      <c r="G22" s="178">
        <v>32</v>
      </c>
      <c r="H22" s="181"/>
      <c r="I22" s="181"/>
      <c r="J22" s="175" t="s">
        <v>862</v>
      </c>
      <c r="K22" s="178">
        <v>8</v>
      </c>
      <c r="L22" s="178">
        <v>2.25</v>
      </c>
      <c r="M22" s="179" t="s">
        <v>863</v>
      </c>
      <c r="N22" s="180">
        <f>L22*G22</f>
        <v>72</v>
      </c>
      <c r="O22" s="181"/>
      <c r="P22" s="181"/>
      <c r="Q22" s="230">
        <f>N22/O2</f>
        <v>0.3</v>
      </c>
      <c r="R22" s="190">
        <v>3</v>
      </c>
      <c r="S22" s="40" t="s">
        <v>867</v>
      </c>
      <c r="T22" s="208" t="s">
        <v>868</v>
      </c>
      <c r="U22" s="172"/>
      <c r="V22" s="172"/>
      <c r="W22" s="172"/>
      <c r="X22" s="172"/>
      <c r="Y22" s="172"/>
      <c r="Z22" s="172"/>
      <c r="AA22" s="172"/>
      <c r="AB22" s="172"/>
      <c r="AC22" s="173"/>
      <c r="AD22" s="61"/>
      <c r="AE22" s="61"/>
      <c r="AF22" s="61"/>
      <c r="AG22" s="61"/>
      <c r="AH22" s="61"/>
      <c r="AI22" s="61"/>
      <c r="AJ22" s="61"/>
      <c r="AK22" s="61"/>
      <c r="AL22" s="61"/>
      <c r="AM22" s="85"/>
      <c r="AN22" s="85"/>
    </row>
    <row r="23" spans="1:40" ht="15" customHeight="1" x14ac:dyDescent="0.2">
      <c r="A23" s="181"/>
      <c r="B23" s="181"/>
      <c r="C23" s="181"/>
      <c r="D23" s="176"/>
      <c r="E23" s="176"/>
      <c r="F23" s="176"/>
      <c r="G23" s="176"/>
      <c r="H23" s="181"/>
      <c r="I23" s="181"/>
      <c r="J23" s="176"/>
      <c r="K23" s="176"/>
      <c r="L23" s="176"/>
      <c r="M23" s="176"/>
      <c r="N23" s="176"/>
      <c r="O23" s="181"/>
      <c r="P23" s="181"/>
      <c r="Q23" s="176"/>
      <c r="R23" s="176"/>
      <c r="S23" s="40" t="s">
        <v>875</v>
      </c>
      <c r="T23" s="14" t="s">
        <v>877</v>
      </c>
      <c r="U23" s="14"/>
      <c r="V23" s="14"/>
      <c r="W23" s="14"/>
      <c r="X23" s="14"/>
      <c r="Y23" s="38"/>
      <c r="Z23" s="14"/>
      <c r="AA23" s="14"/>
      <c r="AB23" s="14"/>
      <c r="AC23" s="14"/>
      <c r="AD23" s="61"/>
      <c r="AE23" s="61"/>
      <c r="AF23" s="61"/>
      <c r="AG23" s="61"/>
      <c r="AH23" s="61"/>
      <c r="AI23" s="61"/>
      <c r="AJ23" s="61"/>
      <c r="AK23" s="61"/>
      <c r="AL23" s="61"/>
      <c r="AM23" s="85"/>
      <c r="AN23" s="85"/>
    </row>
    <row r="24" spans="1:40" ht="15" customHeight="1" x14ac:dyDescent="0.2">
      <c r="A24" s="181"/>
      <c r="B24" s="181"/>
      <c r="C24" s="181"/>
      <c r="D24" s="50" t="s">
        <v>872</v>
      </c>
      <c r="E24" s="50" t="s">
        <v>279</v>
      </c>
      <c r="F24" s="50" t="s">
        <v>880</v>
      </c>
      <c r="G24" s="41">
        <v>1</v>
      </c>
      <c r="H24" s="181"/>
      <c r="I24" s="181"/>
      <c r="J24" s="51" t="s">
        <v>27</v>
      </c>
      <c r="K24" s="50" t="s">
        <v>27</v>
      </c>
      <c r="L24" s="53">
        <v>0.15</v>
      </c>
      <c r="M24" s="14" t="s">
        <v>883</v>
      </c>
      <c r="N24" s="54">
        <f>L24*H21</f>
        <v>6.1499999999999995</v>
      </c>
      <c r="O24" s="181"/>
      <c r="P24" s="181"/>
      <c r="Q24" s="57">
        <f t="shared" ref="Q24:Q25" si="1">N24/$O$2</f>
        <v>2.5624999999999998E-2</v>
      </c>
      <c r="R24" s="71">
        <v>3</v>
      </c>
      <c r="S24" s="14" t="s">
        <v>283</v>
      </c>
      <c r="T24" s="14" t="s">
        <v>284</v>
      </c>
      <c r="U24" s="14"/>
      <c r="V24" s="14"/>
      <c r="W24" s="14"/>
      <c r="X24" s="14"/>
      <c r="Y24" s="38"/>
      <c r="Z24" s="14"/>
      <c r="AA24" s="14"/>
      <c r="AB24" s="14"/>
      <c r="AC24" s="14"/>
      <c r="AD24" s="61"/>
      <c r="AE24" s="61"/>
      <c r="AF24" s="61"/>
      <c r="AG24" s="61"/>
      <c r="AH24" s="61"/>
      <c r="AI24" s="61"/>
      <c r="AJ24" s="61"/>
      <c r="AK24" s="61"/>
      <c r="AL24" s="61"/>
      <c r="AM24" s="85"/>
      <c r="AN24" s="85"/>
    </row>
    <row r="25" spans="1:40" ht="15" customHeight="1" x14ac:dyDescent="0.2">
      <c r="A25" s="181"/>
      <c r="B25" s="181"/>
      <c r="C25" s="181"/>
      <c r="D25" s="179" t="s">
        <v>293</v>
      </c>
      <c r="E25" s="179" t="s">
        <v>294</v>
      </c>
      <c r="F25" s="179" t="s">
        <v>12</v>
      </c>
      <c r="G25" s="178">
        <v>1</v>
      </c>
      <c r="H25" s="181"/>
      <c r="I25" s="181"/>
      <c r="J25" s="175">
        <v>4.1666666666666664E-2</v>
      </c>
      <c r="K25" s="179" t="s">
        <v>27</v>
      </c>
      <c r="L25" s="178">
        <v>1.9</v>
      </c>
      <c r="M25" s="179" t="s">
        <v>892</v>
      </c>
      <c r="N25" s="180">
        <f>L25*H21</f>
        <v>77.899999999999991</v>
      </c>
      <c r="O25" s="181"/>
      <c r="P25" s="181"/>
      <c r="Q25" s="230">
        <f t="shared" si="1"/>
        <v>0.32458333333333328</v>
      </c>
      <c r="R25" s="191">
        <v>3</v>
      </c>
      <c r="S25" s="14" t="s">
        <v>731</v>
      </c>
      <c r="T25" s="14" t="s">
        <v>732</v>
      </c>
      <c r="U25" s="14"/>
      <c r="V25" s="14"/>
      <c r="W25" s="14"/>
      <c r="X25" s="14"/>
      <c r="Y25" s="38"/>
      <c r="Z25" s="14"/>
      <c r="AA25" s="14"/>
      <c r="AB25" s="14"/>
      <c r="AC25" s="14"/>
      <c r="AD25" s="61"/>
      <c r="AE25" s="61"/>
      <c r="AF25" s="61"/>
      <c r="AG25" s="61"/>
      <c r="AH25" s="61"/>
      <c r="AI25" s="61"/>
      <c r="AJ25" s="61"/>
      <c r="AK25" s="61"/>
      <c r="AL25" s="61"/>
      <c r="AM25" s="85"/>
      <c r="AN25" s="85"/>
    </row>
    <row r="26" spans="1:40" ht="15" customHeight="1" x14ac:dyDescent="0.2">
      <c r="A26" s="181"/>
      <c r="B26" s="181"/>
      <c r="C26" s="181"/>
      <c r="D26" s="181"/>
      <c r="E26" s="181"/>
      <c r="F26" s="181"/>
      <c r="G26" s="181"/>
      <c r="H26" s="181"/>
      <c r="I26" s="181"/>
      <c r="J26" s="181"/>
      <c r="K26" s="181"/>
      <c r="L26" s="181"/>
      <c r="M26" s="181"/>
      <c r="N26" s="181"/>
      <c r="O26" s="181"/>
      <c r="P26" s="181"/>
      <c r="Q26" s="181"/>
      <c r="R26" s="181"/>
      <c r="S26" s="14" t="s">
        <v>734</v>
      </c>
      <c r="T26" s="14" t="s">
        <v>735</v>
      </c>
      <c r="U26" s="14"/>
      <c r="V26" s="14"/>
      <c r="W26" s="14"/>
      <c r="X26" s="14"/>
      <c r="Y26" s="14"/>
      <c r="Z26" s="14"/>
      <c r="AA26" s="14"/>
      <c r="AB26" s="14"/>
      <c r="AC26" s="14"/>
      <c r="AD26" s="61"/>
      <c r="AE26" s="61"/>
      <c r="AF26" s="61"/>
      <c r="AG26" s="61"/>
      <c r="AH26" s="61"/>
      <c r="AI26" s="61"/>
      <c r="AJ26" s="61"/>
      <c r="AK26" s="61"/>
      <c r="AL26" s="61"/>
      <c r="AM26" s="85"/>
      <c r="AN26" s="85"/>
    </row>
    <row r="27" spans="1:40" ht="15" customHeight="1" x14ac:dyDescent="0.2">
      <c r="A27" s="181"/>
      <c r="B27" s="176"/>
      <c r="C27" s="176"/>
      <c r="D27" s="176"/>
      <c r="E27" s="176"/>
      <c r="F27" s="176"/>
      <c r="G27" s="176"/>
      <c r="H27" s="176"/>
      <c r="I27" s="176"/>
      <c r="J27" s="176"/>
      <c r="K27" s="176"/>
      <c r="L27" s="176"/>
      <c r="M27" s="176"/>
      <c r="N27" s="176"/>
      <c r="O27" s="181"/>
      <c r="P27" s="181"/>
      <c r="Q27" s="176"/>
      <c r="R27" s="176"/>
      <c r="S27" s="14" t="s">
        <v>181</v>
      </c>
      <c r="T27" s="14" t="s">
        <v>739</v>
      </c>
      <c r="U27" s="14"/>
      <c r="V27" s="14"/>
      <c r="W27" s="14"/>
      <c r="X27" s="14"/>
      <c r="Y27" s="14"/>
      <c r="Z27" s="14"/>
      <c r="AA27" s="14"/>
      <c r="AB27" s="14"/>
      <c r="AC27" s="14"/>
      <c r="AD27" s="61"/>
      <c r="AE27" s="61"/>
      <c r="AF27" s="61"/>
      <c r="AG27" s="61"/>
      <c r="AH27" s="61"/>
      <c r="AI27" s="61"/>
      <c r="AJ27" s="61"/>
      <c r="AK27" s="61"/>
      <c r="AL27" s="61"/>
      <c r="AM27" s="85"/>
      <c r="AN27" s="85"/>
    </row>
    <row r="28" spans="1:40" ht="14.25" customHeight="1" x14ac:dyDescent="0.2">
      <c r="A28" s="181"/>
      <c r="B28" s="68" t="s">
        <v>463</v>
      </c>
      <c r="C28" s="68" t="s">
        <v>300</v>
      </c>
      <c r="D28" s="50" t="s">
        <v>301</v>
      </c>
      <c r="E28" s="50" t="s">
        <v>27</v>
      </c>
      <c r="F28" s="50" t="s">
        <v>27</v>
      </c>
      <c r="G28" s="70">
        <v>2</v>
      </c>
      <c r="H28" s="59">
        <v>21</v>
      </c>
      <c r="I28" s="53" t="s">
        <v>166</v>
      </c>
      <c r="J28" s="51" t="s">
        <v>27</v>
      </c>
      <c r="K28" s="53" t="s">
        <v>27</v>
      </c>
      <c r="L28" s="53" t="s">
        <v>27</v>
      </c>
      <c r="M28" s="50" t="s">
        <v>304</v>
      </c>
      <c r="N28" s="72">
        <f>G28*H28</f>
        <v>42</v>
      </c>
      <c r="O28" s="181"/>
      <c r="P28" s="181"/>
      <c r="Q28" s="51">
        <f t="shared" ref="Q28:Q29" si="2">N28/$O$2</f>
        <v>0.17499999999999999</v>
      </c>
      <c r="R28" s="71">
        <v>4</v>
      </c>
      <c r="S28" s="44" t="s">
        <v>307</v>
      </c>
      <c r="T28" s="44" t="s">
        <v>308</v>
      </c>
      <c r="U28" s="85"/>
      <c r="V28" s="85"/>
      <c r="W28" s="85"/>
      <c r="X28" s="85"/>
      <c r="Y28" s="85"/>
      <c r="Z28" s="85"/>
      <c r="AA28" s="85"/>
      <c r="AB28" s="85"/>
      <c r="AC28" s="85"/>
      <c r="AD28" s="85"/>
      <c r="AE28" s="85"/>
      <c r="AF28" s="85"/>
      <c r="AG28" s="85"/>
      <c r="AH28" s="85"/>
      <c r="AI28" s="85"/>
      <c r="AJ28" s="85"/>
      <c r="AK28" s="85"/>
      <c r="AL28" s="85"/>
      <c r="AM28" s="85"/>
      <c r="AN28" s="85"/>
    </row>
    <row r="29" spans="1:40" ht="14.25" customHeight="1" x14ac:dyDescent="0.2">
      <c r="A29" s="181"/>
      <c r="B29" s="183" t="s">
        <v>321</v>
      </c>
      <c r="C29" s="184" t="s">
        <v>484</v>
      </c>
      <c r="D29" s="179" t="s">
        <v>286</v>
      </c>
      <c r="E29" s="179" t="s">
        <v>287</v>
      </c>
      <c r="F29" s="179" t="s">
        <v>10</v>
      </c>
      <c r="G29" s="178">
        <v>2</v>
      </c>
      <c r="H29" s="182">
        <v>240</v>
      </c>
      <c r="I29" s="183" t="s">
        <v>166</v>
      </c>
      <c r="J29" s="175">
        <v>0.125</v>
      </c>
      <c r="K29" s="179" t="s">
        <v>27</v>
      </c>
      <c r="L29" s="178">
        <v>2.5</v>
      </c>
      <c r="M29" s="179" t="s">
        <v>908</v>
      </c>
      <c r="N29" s="180">
        <f>H29*L29*(J29)*G29</f>
        <v>150</v>
      </c>
      <c r="O29" s="181"/>
      <c r="P29" s="181"/>
      <c r="Q29" s="175">
        <f t="shared" si="2"/>
        <v>0.625</v>
      </c>
      <c r="R29" s="192">
        <v>3</v>
      </c>
      <c r="S29" s="14" t="s">
        <v>347</v>
      </c>
      <c r="T29" s="85" t="s">
        <v>348</v>
      </c>
      <c r="U29" s="85"/>
      <c r="V29" s="85"/>
      <c r="W29" s="85"/>
      <c r="X29" s="85"/>
      <c r="Y29" s="85"/>
      <c r="Z29" s="85"/>
      <c r="AA29" s="85"/>
      <c r="AB29" s="85"/>
      <c r="AC29" s="85"/>
      <c r="AD29" s="85"/>
      <c r="AE29" s="85"/>
      <c r="AF29" s="85"/>
      <c r="AG29" s="85"/>
      <c r="AH29" s="85"/>
      <c r="AI29" s="85"/>
      <c r="AJ29" s="85"/>
      <c r="AK29" s="85"/>
      <c r="AL29" s="85"/>
      <c r="AM29" s="85"/>
      <c r="AN29" s="85"/>
    </row>
    <row r="30" spans="1:40" ht="14.25" customHeight="1" x14ac:dyDescent="0.2">
      <c r="A30" s="181"/>
      <c r="B30" s="181"/>
      <c r="C30" s="181"/>
      <c r="D30" s="181"/>
      <c r="E30" s="181"/>
      <c r="F30" s="181"/>
      <c r="G30" s="181"/>
      <c r="H30" s="181"/>
      <c r="I30" s="181"/>
      <c r="J30" s="181"/>
      <c r="K30" s="181"/>
      <c r="L30" s="181"/>
      <c r="M30" s="181"/>
      <c r="N30" s="181"/>
      <c r="O30" s="181"/>
      <c r="P30" s="181"/>
      <c r="Q30" s="181"/>
      <c r="R30" s="181"/>
      <c r="S30" s="14" t="s">
        <v>349</v>
      </c>
      <c r="T30" s="85" t="s">
        <v>350</v>
      </c>
      <c r="U30" s="85"/>
      <c r="V30" s="85"/>
      <c r="W30" s="85"/>
      <c r="X30" s="85"/>
      <c r="Y30" s="85"/>
      <c r="Z30" s="85"/>
      <c r="AA30" s="85"/>
      <c r="AB30" s="85"/>
      <c r="AC30" s="85"/>
      <c r="AD30" s="85"/>
      <c r="AE30" s="85"/>
      <c r="AF30" s="85"/>
      <c r="AG30" s="85"/>
      <c r="AH30" s="85"/>
      <c r="AI30" s="85"/>
      <c r="AJ30" s="85"/>
      <c r="AK30" s="85"/>
      <c r="AL30" s="85"/>
      <c r="AM30" s="85"/>
      <c r="AN30" s="85"/>
    </row>
    <row r="31" spans="1:40" ht="14.25" customHeight="1" x14ac:dyDescent="0.2">
      <c r="A31" s="181"/>
      <c r="B31" s="181"/>
      <c r="C31" s="181"/>
      <c r="D31" s="176"/>
      <c r="E31" s="176"/>
      <c r="F31" s="176"/>
      <c r="G31" s="176"/>
      <c r="H31" s="181"/>
      <c r="I31" s="181"/>
      <c r="J31" s="176"/>
      <c r="K31" s="176"/>
      <c r="L31" s="176"/>
      <c r="M31" s="176"/>
      <c r="N31" s="176"/>
      <c r="O31" s="181"/>
      <c r="P31" s="181"/>
      <c r="Q31" s="176"/>
      <c r="R31" s="176"/>
      <c r="S31" s="14" t="s">
        <v>494</v>
      </c>
      <c r="T31" s="85" t="s">
        <v>495</v>
      </c>
      <c r="U31" s="85"/>
      <c r="V31" s="85"/>
      <c r="W31" s="85"/>
      <c r="X31" s="85"/>
      <c r="Y31" s="85"/>
      <c r="Z31" s="85"/>
      <c r="AA31" s="85"/>
      <c r="AB31" s="85"/>
      <c r="AC31" s="85"/>
      <c r="AD31" s="85"/>
      <c r="AE31" s="85"/>
      <c r="AF31" s="85"/>
      <c r="AG31" s="85"/>
      <c r="AH31" s="85"/>
      <c r="AI31" s="85"/>
      <c r="AJ31" s="85"/>
      <c r="AK31" s="85"/>
      <c r="AL31" s="85"/>
      <c r="AM31" s="85"/>
      <c r="AN31" s="85"/>
    </row>
    <row r="32" spans="1:40" ht="14.25" customHeight="1" x14ac:dyDescent="0.2">
      <c r="A32" s="181"/>
      <c r="B32" s="181"/>
      <c r="C32" s="181"/>
      <c r="D32" s="179" t="s">
        <v>498</v>
      </c>
      <c r="E32" s="179" t="s">
        <v>294</v>
      </c>
      <c r="F32" s="196" t="s">
        <v>12</v>
      </c>
      <c r="G32" s="178">
        <v>1</v>
      </c>
      <c r="H32" s="181"/>
      <c r="I32" s="181"/>
      <c r="J32" s="193">
        <v>4.1666666666666664E-2</v>
      </c>
      <c r="K32" s="179" t="s">
        <v>27</v>
      </c>
      <c r="L32" s="178">
        <v>2</v>
      </c>
      <c r="M32" s="179" t="s">
        <v>916</v>
      </c>
      <c r="N32" s="201">
        <f>H29*L32</f>
        <v>480</v>
      </c>
      <c r="O32" s="181"/>
      <c r="P32" s="181"/>
      <c r="Q32" s="175">
        <f>N32/$O$2</f>
        <v>2</v>
      </c>
      <c r="R32" s="191">
        <v>1</v>
      </c>
      <c r="S32" s="14" t="s">
        <v>503</v>
      </c>
      <c r="T32" s="85" t="s">
        <v>504</v>
      </c>
      <c r="U32" s="85"/>
      <c r="V32" s="85"/>
      <c r="W32" s="85"/>
      <c r="X32" s="85"/>
      <c r="Y32" s="85"/>
      <c r="Z32" s="85"/>
      <c r="AA32" s="85"/>
      <c r="AB32" s="85"/>
      <c r="AC32" s="85"/>
      <c r="AD32" s="85"/>
      <c r="AE32" s="85"/>
      <c r="AF32" s="85"/>
      <c r="AG32" s="85"/>
      <c r="AH32" s="85"/>
      <c r="AI32" s="85"/>
      <c r="AJ32" s="85"/>
      <c r="AK32" s="85"/>
      <c r="AL32" s="85"/>
      <c r="AM32" s="85"/>
      <c r="AN32" s="85"/>
    </row>
    <row r="33" spans="1:40" ht="14.25" customHeight="1" x14ac:dyDescent="0.2">
      <c r="A33" s="181"/>
      <c r="B33" s="181"/>
      <c r="C33" s="181"/>
      <c r="D33" s="181"/>
      <c r="E33" s="181"/>
      <c r="F33" s="181"/>
      <c r="G33" s="181"/>
      <c r="H33" s="181"/>
      <c r="I33" s="181"/>
      <c r="J33" s="181"/>
      <c r="K33" s="181"/>
      <c r="L33" s="181"/>
      <c r="M33" s="181"/>
      <c r="N33" s="181"/>
      <c r="O33" s="181"/>
      <c r="P33" s="181"/>
      <c r="Q33" s="181"/>
      <c r="R33" s="181"/>
      <c r="S33" s="14" t="s">
        <v>508</v>
      </c>
      <c r="T33" s="85" t="s">
        <v>509</v>
      </c>
      <c r="U33" s="85"/>
      <c r="V33" s="85"/>
      <c r="W33" s="85"/>
      <c r="X33" s="85"/>
      <c r="Y33" s="85"/>
      <c r="Z33" s="85"/>
      <c r="AA33" s="85"/>
      <c r="AB33" s="85"/>
      <c r="AC33" s="85"/>
      <c r="AD33" s="85"/>
      <c r="AE33" s="85"/>
      <c r="AF33" s="85"/>
      <c r="AG33" s="85"/>
      <c r="AH33" s="85"/>
      <c r="AI33" s="85"/>
      <c r="AJ33" s="85"/>
      <c r="AK33" s="85"/>
      <c r="AL33" s="85"/>
      <c r="AM33" s="85"/>
      <c r="AN33" s="85"/>
    </row>
    <row r="34" spans="1:40" ht="14.25" customHeight="1" x14ac:dyDescent="0.2">
      <c r="A34" s="181"/>
      <c r="B34" s="181"/>
      <c r="C34" s="181"/>
      <c r="D34" s="176"/>
      <c r="E34" s="176"/>
      <c r="F34" s="176"/>
      <c r="G34" s="176"/>
      <c r="H34" s="181"/>
      <c r="I34" s="181"/>
      <c r="J34" s="176"/>
      <c r="K34" s="176"/>
      <c r="L34" s="176"/>
      <c r="M34" s="176"/>
      <c r="N34" s="176"/>
      <c r="O34" s="181"/>
      <c r="P34" s="181"/>
      <c r="Q34" s="176"/>
      <c r="R34" s="176"/>
      <c r="S34" s="40" t="s">
        <v>510</v>
      </c>
      <c r="T34" s="85" t="s">
        <v>512</v>
      </c>
      <c r="U34" s="85"/>
      <c r="V34" s="85"/>
      <c r="W34" s="85"/>
      <c r="X34" s="85"/>
      <c r="Y34" s="85"/>
      <c r="Z34" s="85"/>
      <c r="AA34" s="85"/>
      <c r="AB34" s="85"/>
      <c r="AC34" s="85"/>
      <c r="AD34" s="85"/>
      <c r="AE34" s="85"/>
      <c r="AF34" s="85"/>
      <c r="AG34" s="85"/>
      <c r="AH34" s="85"/>
      <c r="AI34" s="85"/>
      <c r="AJ34" s="85"/>
      <c r="AK34" s="85"/>
      <c r="AL34" s="85"/>
      <c r="AM34" s="85"/>
      <c r="AN34" s="85"/>
    </row>
    <row r="35" spans="1:40" ht="15" customHeight="1" x14ac:dyDescent="0.2">
      <c r="A35" s="181"/>
      <c r="B35" s="181"/>
      <c r="C35" s="181"/>
      <c r="D35" s="179" t="s">
        <v>515</v>
      </c>
      <c r="E35" s="179" t="s">
        <v>516</v>
      </c>
      <c r="F35" s="179" t="s">
        <v>517</v>
      </c>
      <c r="G35" s="178">
        <v>1</v>
      </c>
      <c r="H35" s="181"/>
      <c r="I35" s="181"/>
      <c r="J35" s="175" t="s">
        <v>27</v>
      </c>
      <c r="K35" s="179" t="s">
        <v>27</v>
      </c>
      <c r="L35" s="178">
        <v>6.3</v>
      </c>
      <c r="M35" s="179" t="s">
        <v>923</v>
      </c>
      <c r="N35" s="180">
        <f>L35*H29</f>
        <v>1512</v>
      </c>
      <c r="O35" s="181"/>
      <c r="P35" s="181"/>
      <c r="Q35" s="175">
        <f>N35/$O$2</f>
        <v>6.3</v>
      </c>
      <c r="R35" s="191">
        <v>1</v>
      </c>
      <c r="S35" s="14" t="s">
        <v>521</v>
      </c>
      <c r="T35" s="85" t="s">
        <v>522</v>
      </c>
      <c r="U35" s="85"/>
      <c r="V35" s="85"/>
      <c r="W35" s="85"/>
      <c r="X35" s="85"/>
      <c r="Y35" s="85"/>
      <c r="Z35" s="85"/>
      <c r="AA35" s="85"/>
      <c r="AB35" s="85"/>
      <c r="AC35" s="85"/>
      <c r="AD35" s="85"/>
      <c r="AE35" s="85"/>
      <c r="AF35" s="85"/>
      <c r="AG35" s="85"/>
      <c r="AH35" s="85"/>
      <c r="AI35" s="85"/>
      <c r="AJ35" s="85"/>
      <c r="AK35" s="85"/>
      <c r="AL35" s="85"/>
      <c r="AM35" s="85"/>
      <c r="AN35" s="85"/>
    </row>
    <row r="36" spans="1:40" ht="14.25" customHeight="1" x14ac:dyDescent="0.2">
      <c r="A36" s="181"/>
      <c r="B36" s="181"/>
      <c r="C36" s="181"/>
      <c r="D36" s="176"/>
      <c r="E36" s="176"/>
      <c r="F36" s="176"/>
      <c r="G36" s="176"/>
      <c r="H36" s="181"/>
      <c r="I36" s="176"/>
      <c r="J36" s="176"/>
      <c r="K36" s="176"/>
      <c r="L36" s="176"/>
      <c r="M36" s="176"/>
      <c r="N36" s="176"/>
      <c r="O36" s="181"/>
      <c r="P36" s="181"/>
      <c r="Q36" s="176"/>
      <c r="R36" s="176"/>
      <c r="S36" s="14" t="s">
        <v>524</v>
      </c>
      <c r="T36" s="85" t="s">
        <v>525</v>
      </c>
      <c r="U36" s="85"/>
      <c r="V36" s="85"/>
      <c r="W36" s="85"/>
      <c r="X36" s="85"/>
      <c r="Y36" s="85"/>
      <c r="Z36" s="85"/>
      <c r="AA36" s="85"/>
      <c r="AB36" s="85"/>
      <c r="AC36" s="85"/>
      <c r="AD36" s="85"/>
      <c r="AE36" s="85"/>
      <c r="AF36" s="85"/>
      <c r="AG36" s="85"/>
      <c r="AH36" s="85"/>
      <c r="AI36" s="85"/>
      <c r="AJ36" s="85"/>
      <c r="AK36" s="85"/>
      <c r="AL36" s="85"/>
      <c r="AM36" s="85"/>
      <c r="AN36" s="85"/>
    </row>
    <row r="37" spans="1:40" ht="17.25" customHeight="1" x14ac:dyDescent="0.2">
      <c r="A37" s="181"/>
      <c r="B37" s="181"/>
      <c r="C37" s="181"/>
      <c r="D37" s="179" t="s">
        <v>526</v>
      </c>
      <c r="E37" s="179" t="s">
        <v>527</v>
      </c>
      <c r="F37" s="179" t="s">
        <v>23</v>
      </c>
      <c r="G37" s="182">
        <v>1</v>
      </c>
      <c r="H37" s="181"/>
      <c r="I37" s="183" t="s">
        <v>166</v>
      </c>
      <c r="J37" s="175" t="s">
        <v>27</v>
      </c>
      <c r="K37" s="179" t="s">
        <v>27</v>
      </c>
      <c r="L37" s="178">
        <v>1</v>
      </c>
      <c r="M37" s="179" t="s">
        <v>937</v>
      </c>
      <c r="N37" s="180">
        <f>L37*H29</f>
        <v>240</v>
      </c>
      <c r="O37" s="181"/>
      <c r="P37" s="181"/>
      <c r="Q37" s="175">
        <f>N37/$O$2</f>
        <v>1</v>
      </c>
      <c r="R37" s="191">
        <v>1</v>
      </c>
      <c r="S37" s="40" t="s">
        <v>530</v>
      </c>
      <c r="T37" s="85" t="s">
        <v>531</v>
      </c>
      <c r="U37" s="85"/>
      <c r="V37" s="85"/>
      <c r="W37" s="85"/>
      <c r="X37" s="85"/>
      <c r="Y37" s="85"/>
      <c r="Z37" s="85"/>
      <c r="AA37" s="85"/>
      <c r="AB37" s="85"/>
      <c r="AC37" s="85"/>
      <c r="AD37" s="85"/>
      <c r="AE37" s="85"/>
      <c r="AF37" s="85"/>
      <c r="AG37" s="85"/>
      <c r="AH37" s="85"/>
      <c r="AI37" s="85"/>
      <c r="AJ37" s="85"/>
      <c r="AK37" s="85"/>
      <c r="AL37" s="85"/>
      <c r="AM37" s="85"/>
      <c r="AN37" s="85"/>
    </row>
    <row r="38" spans="1:40" ht="14.25" customHeight="1" x14ac:dyDescent="0.2">
      <c r="A38" s="181"/>
      <c r="B38" s="181"/>
      <c r="C38" s="181"/>
      <c r="D38" s="181"/>
      <c r="E38" s="181"/>
      <c r="F38" s="181"/>
      <c r="G38" s="181"/>
      <c r="H38" s="181"/>
      <c r="I38" s="181"/>
      <c r="J38" s="181"/>
      <c r="K38" s="181"/>
      <c r="L38" s="181"/>
      <c r="M38" s="181"/>
      <c r="N38" s="181"/>
      <c r="O38" s="181"/>
      <c r="P38" s="181"/>
      <c r="Q38" s="181"/>
      <c r="R38" s="181"/>
      <c r="S38" s="14" t="s">
        <v>947</v>
      </c>
      <c r="T38" s="85" t="s">
        <v>948</v>
      </c>
      <c r="U38" s="85"/>
      <c r="V38" s="85"/>
      <c r="W38" s="85"/>
      <c r="X38" s="85"/>
      <c r="Y38" s="85"/>
      <c r="Z38" s="85"/>
      <c r="AA38" s="85"/>
      <c r="AB38" s="85"/>
      <c r="AC38" s="85"/>
      <c r="AD38" s="85"/>
      <c r="AE38" s="85"/>
      <c r="AF38" s="85"/>
      <c r="AG38" s="85"/>
      <c r="AH38" s="85"/>
      <c r="AI38" s="85"/>
      <c r="AJ38" s="85"/>
      <c r="AK38" s="85"/>
      <c r="AL38" s="85"/>
      <c r="AM38" s="85"/>
      <c r="AN38" s="85"/>
    </row>
    <row r="39" spans="1:40" ht="14.25" customHeight="1" x14ac:dyDescent="0.2">
      <c r="A39" s="176"/>
      <c r="B39" s="176"/>
      <c r="C39" s="176"/>
      <c r="D39" s="176"/>
      <c r="E39" s="176"/>
      <c r="F39" s="176"/>
      <c r="G39" s="176"/>
      <c r="H39" s="176"/>
      <c r="I39" s="176"/>
      <c r="J39" s="176"/>
      <c r="K39" s="176"/>
      <c r="L39" s="176"/>
      <c r="M39" s="176"/>
      <c r="N39" s="176"/>
      <c r="O39" s="176"/>
      <c r="P39" s="176"/>
      <c r="Q39" s="176"/>
      <c r="R39" s="176"/>
      <c r="S39" s="14" t="s">
        <v>536</v>
      </c>
      <c r="T39" s="85" t="s">
        <v>537</v>
      </c>
      <c r="U39" s="85"/>
      <c r="V39" s="85"/>
      <c r="W39" s="85"/>
      <c r="X39" s="85"/>
      <c r="Y39" s="85"/>
      <c r="Z39" s="85"/>
      <c r="AA39" s="85"/>
      <c r="AB39" s="85"/>
      <c r="AC39" s="85"/>
      <c r="AD39" s="85"/>
      <c r="AE39" s="85"/>
      <c r="AF39" s="85"/>
      <c r="AG39" s="85"/>
      <c r="AH39" s="85"/>
      <c r="AI39" s="85"/>
      <c r="AJ39" s="85"/>
      <c r="AK39" s="85"/>
      <c r="AL39" s="85"/>
      <c r="AM39" s="85"/>
      <c r="AN39" s="85"/>
    </row>
    <row r="40" spans="1:40" ht="14.25" customHeight="1" x14ac:dyDescent="0.2">
      <c r="T40" s="84"/>
    </row>
    <row r="41" spans="1:40" ht="14.25" customHeight="1" x14ac:dyDescent="0.2">
      <c r="T41" s="84"/>
    </row>
    <row r="42" spans="1:40" ht="14.25" customHeight="1" x14ac:dyDescent="0.2">
      <c r="F42" s="28" t="s">
        <v>309</v>
      </c>
      <c r="G42" s="28" t="s">
        <v>128</v>
      </c>
      <c r="H42" s="28" t="s">
        <v>960</v>
      </c>
      <c r="T42" s="84"/>
    </row>
    <row r="43" spans="1:40" ht="14.25" customHeight="1" x14ac:dyDescent="0.2">
      <c r="F43" s="50" t="s">
        <v>140</v>
      </c>
      <c r="G43" s="72">
        <f t="shared" ref="G43:G52" si="3">SUMIF($F$2:$F$39,F43,N$2:N$39)</f>
        <v>25200</v>
      </c>
      <c r="H43" s="73">
        <f t="shared" ref="H43:H52" si="4">SUMIF($F$2:$F$39,F43,Q$2:Q$39)</f>
        <v>105</v>
      </c>
      <c r="T43" s="84"/>
    </row>
    <row r="44" spans="1:40" ht="14.25" customHeight="1" x14ac:dyDescent="0.2">
      <c r="F44" s="14" t="s">
        <v>156</v>
      </c>
      <c r="G44" s="72">
        <f t="shared" si="3"/>
        <v>972</v>
      </c>
      <c r="H44" s="73">
        <f t="shared" si="4"/>
        <v>4.05</v>
      </c>
      <c r="T44" s="84"/>
    </row>
    <row r="45" spans="1:40" ht="14.25" customHeight="1" x14ac:dyDescent="0.2">
      <c r="F45" s="50" t="s">
        <v>3</v>
      </c>
      <c r="G45" s="72">
        <f t="shared" si="3"/>
        <v>345.59999999999997</v>
      </c>
      <c r="H45" s="73">
        <f t="shared" si="4"/>
        <v>1.44</v>
      </c>
      <c r="T45" s="84"/>
    </row>
    <row r="46" spans="1:40" ht="14.25" customHeight="1" x14ac:dyDescent="0.2">
      <c r="F46" s="41" t="s">
        <v>4</v>
      </c>
      <c r="G46" s="72">
        <f t="shared" si="3"/>
        <v>1066.2719999999999</v>
      </c>
      <c r="H46" s="73">
        <f t="shared" si="4"/>
        <v>4.4427999999999992</v>
      </c>
      <c r="T46" s="84"/>
    </row>
    <row r="47" spans="1:40" ht="14.25" customHeight="1" x14ac:dyDescent="0.2">
      <c r="F47" s="50" t="s">
        <v>880</v>
      </c>
      <c r="G47" s="72">
        <f t="shared" si="3"/>
        <v>6.1499999999999995</v>
      </c>
      <c r="H47" s="73">
        <f t="shared" si="4"/>
        <v>2.5624999999999998E-2</v>
      </c>
      <c r="T47" s="84"/>
    </row>
    <row r="48" spans="1:40" ht="14.25" customHeight="1" x14ac:dyDescent="0.2">
      <c r="F48" s="50" t="s">
        <v>10</v>
      </c>
      <c r="G48" s="72">
        <f t="shared" si="3"/>
        <v>150</v>
      </c>
      <c r="H48" s="73">
        <f t="shared" si="4"/>
        <v>0.625</v>
      </c>
      <c r="T48" s="84"/>
    </row>
    <row r="49" spans="6:20" ht="14.25" customHeight="1" x14ac:dyDescent="0.2">
      <c r="F49" s="92" t="s">
        <v>12</v>
      </c>
      <c r="G49" s="72">
        <f t="shared" si="3"/>
        <v>557.9</v>
      </c>
      <c r="H49" s="73">
        <f t="shared" si="4"/>
        <v>2.3245833333333334</v>
      </c>
      <c r="T49" s="84"/>
    </row>
    <row r="50" spans="6:20" ht="14.25" customHeight="1" x14ac:dyDescent="0.2">
      <c r="F50" s="50" t="s">
        <v>517</v>
      </c>
      <c r="G50" s="72">
        <f t="shared" si="3"/>
        <v>1512</v>
      </c>
      <c r="H50" s="73">
        <f t="shared" si="4"/>
        <v>6.3</v>
      </c>
      <c r="T50" s="84"/>
    </row>
    <row r="51" spans="6:20" ht="14.25" customHeight="1" x14ac:dyDescent="0.2">
      <c r="F51" s="50" t="s">
        <v>23</v>
      </c>
      <c r="G51" s="72">
        <f t="shared" si="3"/>
        <v>240</v>
      </c>
      <c r="H51" s="73">
        <f t="shared" si="4"/>
        <v>1</v>
      </c>
      <c r="T51" s="84"/>
    </row>
    <row r="52" spans="6:20" ht="14.25" customHeight="1" x14ac:dyDescent="0.2">
      <c r="F52" s="50" t="s">
        <v>847</v>
      </c>
      <c r="G52" s="72">
        <f t="shared" si="3"/>
        <v>57.809999999999995</v>
      </c>
      <c r="H52" s="73">
        <f t="shared" si="4"/>
        <v>0.24087499999999998</v>
      </c>
      <c r="T52" s="84"/>
    </row>
    <row r="53" spans="6:20" ht="14.25" customHeight="1" x14ac:dyDescent="0.2">
      <c r="G53" s="75"/>
      <c r="H53" s="111"/>
      <c r="T53" s="84"/>
    </row>
    <row r="54" spans="6:20" ht="14.25" customHeight="1" x14ac:dyDescent="0.2">
      <c r="G54" s="75"/>
      <c r="T54" s="84"/>
    </row>
    <row r="55" spans="6:20" ht="14.25" customHeight="1" x14ac:dyDescent="0.2">
      <c r="F55" s="93" t="s">
        <v>119</v>
      </c>
      <c r="G55" s="28" t="s">
        <v>128</v>
      </c>
      <c r="H55" s="28" t="s">
        <v>977</v>
      </c>
      <c r="T55" s="84"/>
    </row>
    <row r="56" spans="6:20" ht="14.25" customHeight="1" x14ac:dyDescent="0.2">
      <c r="F56" s="50" t="s">
        <v>140</v>
      </c>
      <c r="G56" s="72">
        <f t="shared" ref="G56:G63" si="5">SUMIF($E$2:$E$39,F56,$N$2:$N$39)</f>
        <v>25200</v>
      </c>
      <c r="H56" s="136">
        <f t="shared" ref="H56:H63" si="6">SUMIF($E$2:$E$39,F56,Q$2:Q$39)</f>
        <v>105</v>
      </c>
      <c r="T56" s="84"/>
    </row>
    <row r="57" spans="6:20" ht="14.25" customHeight="1" x14ac:dyDescent="0.2">
      <c r="F57" s="14" t="s">
        <v>155</v>
      </c>
      <c r="G57" s="72">
        <f t="shared" si="5"/>
        <v>972</v>
      </c>
      <c r="H57" s="136">
        <f t="shared" si="6"/>
        <v>4.05</v>
      </c>
      <c r="T57" s="84"/>
    </row>
    <row r="58" spans="6:20" ht="14.25" customHeight="1" x14ac:dyDescent="0.2">
      <c r="F58" s="50" t="s">
        <v>92</v>
      </c>
      <c r="G58" s="72">
        <f t="shared" si="5"/>
        <v>1469.6819999999998</v>
      </c>
      <c r="H58" s="136">
        <f t="shared" si="6"/>
        <v>6.1236749999999995</v>
      </c>
      <c r="T58" s="84"/>
    </row>
    <row r="59" spans="6:20" ht="14.25" customHeight="1" x14ac:dyDescent="0.2">
      <c r="F59" s="50" t="s">
        <v>279</v>
      </c>
      <c r="G59" s="72">
        <f t="shared" si="5"/>
        <v>6.1499999999999995</v>
      </c>
      <c r="H59" s="98">
        <f t="shared" si="6"/>
        <v>2.5624999999999998E-2</v>
      </c>
      <c r="T59" s="84"/>
    </row>
    <row r="60" spans="6:20" ht="14.25" customHeight="1" x14ac:dyDescent="0.2">
      <c r="F60" s="50" t="s">
        <v>294</v>
      </c>
      <c r="G60" s="72">
        <f t="shared" si="5"/>
        <v>557.9</v>
      </c>
      <c r="H60" s="136">
        <f t="shared" si="6"/>
        <v>2.3245833333333334</v>
      </c>
      <c r="T60" s="84"/>
    </row>
    <row r="61" spans="6:20" ht="14.25" customHeight="1" x14ac:dyDescent="0.2">
      <c r="F61" s="50" t="s">
        <v>287</v>
      </c>
      <c r="G61" s="72">
        <f t="shared" si="5"/>
        <v>150</v>
      </c>
      <c r="H61" s="136">
        <f t="shared" si="6"/>
        <v>0.625</v>
      </c>
      <c r="T61" s="84"/>
    </row>
    <row r="62" spans="6:20" ht="14.25" customHeight="1" x14ac:dyDescent="0.2">
      <c r="F62" s="50" t="s">
        <v>516</v>
      </c>
      <c r="G62" s="72">
        <f t="shared" si="5"/>
        <v>1512</v>
      </c>
      <c r="H62" s="136">
        <f t="shared" si="6"/>
        <v>6.3</v>
      </c>
      <c r="T62" s="84"/>
    </row>
    <row r="63" spans="6:20" ht="14.25" customHeight="1" x14ac:dyDescent="0.2">
      <c r="F63" s="50" t="s">
        <v>527</v>
      </c>
      <c r="G63" s="72">
        <f t="shared" si="5"/>
        <v>240</v>
      </c>
      <c r="H63" s="136">
        <f t="shared" si="6"/>
        <v>1</v>
      </c>
      <c r="T63" s="84"/>
    </row>
    <row r="64" spans="6:20" ht="14.25" customHeight="1" x14ac:dyDescent="0.2">
      <c r="T64" s="84"/>
    </row>
    <row r="65" spans="20:20" ht="14.25" customHeight="1" x14ac:dyDescent="0.2">
      <c r="T65" s="84"/>
    </row>
    <row r="66" spans="20:20" ht="14.25" customHeight="1" x14ac:dyDescent="0.2">
      <c r="T66" s="84"/>
    </row>
    <row r="67" spans="20:20" ht="14.25" customHeight="1" x14ac:dyDescent="0.2">
      <c r="T67" s="84"/>
    </row>
    <row r="68" spans="20:20" ht="14.25" customHeight="1" x14ac:dyDescent="0.2">
      <c r="T68" s="84"/>
    </row>
    <row r="69" spans="20:20" ht="14.25" customHeight="1" x14ac:dyDescent="0.2">
      <c r="T69" s="84"/>
    </row>
    <row r="70" spans="20:20" ht="14.25" customHeight="1" x14ac:dyDescent="0.2">
      <c r="T70" s="84"/>
    </row>
    <row r="71" spans="20:20" ht="14.25" customHeight="1" x14ac:dyDescent="0.2">
      <c r="T71" s="84"/>
    </row>
    <row r="72" spans="20:20" ht="14.25" customHeight="1" x14ac:dyDescent="0.2">
      <c r="T72" s="84"/>
    </row>
    <row r="73" spans="20:20" ht="14.25" customHeight="1" x14ac:dyDescent="0.2">
      <c r="T73" s="84"/>
    </row>
    <row r="74" spans="20:20" ht="14.25" customHeight="1" x14ac:dyDescent="0.2">
      <c r="T74" s="84"/>
    </row>
    <row r="75" spans="20:20" ht="14.25" customHeight="1" x14ac:dyDescent="0.2">
      <c r="T75" s="84"/>
    </row>
    <row r="76" spans="20:20" ht="14.25" customHeight="1" x14ac:dyDescent="0.2">
      <c r="T76" s="84"/>
    </row>
    <row r="77" spans="20:20" ht="14.25" customHeight="1" x14ac:dyDescent="0.2">
      <c r="T77" s="84"/>
    </row>
    <row r="78" spans="20:20" ht="14.25" customHeight="1" x14ac:dyDescent="0.2">
      <c r="T78" s="84"/>
    </row>
    <row r="79" spans="20:20" ht="14.25" customHeight="1" x14ac:dyDescent="0.2">
      <c r="T79" s="84"/>
    </row>
    <row r="80" spans="20:20" ht="14.25" customHeight="1" x14ac:dyDescent="0.2">
      <c r="T80" s="84"/>
    </row>
    <row r="81" spans="20:20" ht="14.25" customHeight="1" x14ac:dyDescent="0.2">
      <c r="T81" s="84"/>
    </row>
    <row r="82" spans="20:20" ht="14.25" customHeight="1" x14ac:dyDescent="0.2">
      <c r="T82" s="84"/>
    </row>
    <row r="83" spans="20:20" ht="14.25" customHeight="1" x14ac:dyDescent="0.2">
      <c r="T83" s="84"/>
    </row>
    <row r="84" spans="20:20" ht="14.25" customHeight="1" x14ac:dyDescent="0.2">
      <c r="T84" s="84"/>
    </row>
    <row r="85" spans="20:20" ht="14.25" customHeight="1" x14ac:dyDescent="0.2">
      <c r="T85" s="84"/>
    </row>
    <row r="86" spans="20:20" ht="14.25" customHeight="1" x14ac:dyDescent="0.2">
      <c r="T86" s="84"/>
    </row>
    <row r="87" spans="20:20" ht="14.25" customHeight="1" x14ac:dyDescent="0.2">
      <c r="T87" s="84"/>
    </row>
    <row r="88" spans="20:20" ht="14.25" customHeight="1" x14ac:dyDescent="0.2">
      <c r="T88" s="84"/>
    </row>
    <row r="89" spans="20:20" ht="14.25" customHeight="1" x14ac:dyDescent="0.2">
      <c r="T89" s="84"/>
    </row>
    <row r="90" spans="20:20" ht="14.25" customHeight="1" x14ac:dyDescent="0.2">
      <c r="T90" s="84"/>
    </row>
    <row r="91" spans="20:20" ht="14.25" customHeight="1" x14ac:dyDescent="0.2">
      <c r="T91" s="84"/>
    </row>
    <row r="92" spans="20:20" ht="14.25" customHeight="1" x14ac:dyDescent="0.2">
      <c r="T92" s="84"/>
    </row>
    <row r="93" spans="20:20" ht="14.25" customHeight="1" x14ac:dyDescent="0.2">
      <c r="T93" s="84"/>
    </row>
    <row r="94" spans="20:20" ht="14.25" customHeight="1" x14ac:dyDescent="0.2">
      <c r="T94" s="84"/>
    </row>
    <row r="95" spans="20:20" ht="14.25" customHeight="1" x14ac:dyDescent="0.2">
      <c r="T95" s="84"/>
    </row>
    <row r="96" spans="20:20" ht="14.25" customHeight="1" x14ac:dyDescent="0.2">
      <c r="T96" s="84"/>
    </row>
    <row r="97" spans="20:20" ht="14.25" customHeight="1" x14ac:dyDescent="0.2">
      <c r="T97" s="84"/>
    </row>
    <row r="98" spans="20:20" ht="14.25" customHeight="1" x14ac:dyDescent="0.2">
      <c r="T98" s="84"/>
    </row>
    <row r="99" spans="20:20" ht="14.25" customHeight="1" x14ac:dyDescent="0.2">
      <c r="T99" s="84"/>
    </row>
    <row r="100" spans="20:20" ht="14.25" customHeight="1" x14ac:dyDescent="0.2">
      <c r="T100" s="84"/>
    </row>
    <row r="101" spans="20:20" ht="14.25" customHeight="1" x14ac:dyDescent="0.2">
      <c r="T101" s="84"/>
    </row>
    <row r="102" spans="20:20" ht="14.25" customHeight="1" x14ac:dyDescent="0.2">
      <c r="T102" s="84"/>
    </row>
    <row r="103" spans="20:20" ht="14.25" customHeight="1" x14ac:dyDescent="0.2">
      <c r="T103" s="84"/>
    </row>
    <row r="104" spans="20:20" ht="14.25" customHeight="1" x14ac:dyDescent="0.2">
      <c r="T104" s="84"/>
    </row>
    <row r="105" spans="20:20" ht="14.25" customHeight="1" x14ac:dyDescent="0.2">
      <c r="T105" s="84"/>
    </row>
    <row r="106" spans="20:20" ht="14.25" customHeight="1" x14ac:dyDescent="0.2">
      <c r="T106" s="84"/>
    </row>
    <row r="107" spans="20:20" ht="14.25" customHeight="1" x14ac:dyDescent="0.2">
      <c r="T107" s="84"/>
    </row>
    <row r="108" spans="20:20" ht="14.25" customHeight="1" x14ac:dyDescent="0.2">
      <c r="T108" s="84"/>
    </row>
    <row r="109" spans="20:20" ht="14.25" customHeight="1" x14ac:dyDescent="0.2">
      <c r="T109" s="84"/>
    </row>
    <row r="110" spans="20:20" ht="14.25" customHeight="1" x14ac:dyDescent="0.2">
      <c r="T110" s="84"/>
    </row>
    <row r="111" spans="20:20" ht="14.25" customHeight="1" x14ac:dyDescent="0.2">
      <c r="T111" s="84"/>
    </row>
    <row r="112" spans="20:20" ht="14.25" customHeight="1" x14ac:dyDescent="0.2">
      <c r="T112" s="84"/>
    </row>
    <row r="113" spans="20:20" ht="14.25" customHeight="1" x14ac:dyDescent="0.2">
      <c r="T113" s="84"/>
    </row>
    <row r="114" spans="20:20" ht="14.25" customHeight="1" x14ac:dyDescent="0.2">
      <c r="T114" s="84"/>
    </row>
    <row r="115" spans="20:20" ht="14.25" customHeight="1" x14ac:dyDescent="0.2">
      <c r="T115" s="84"/>
    </row>
    <row r="116" spans="20:20" ht="14.25" customHeight="1" x14ac:dyDescent="0.2">
      <c r="T116" s="84"/>
    </row>
    <row r="117" spans="20:20" ht="14.25" customHeight="1" x14ac:dyDescent="0.2">
      <c r="T117" s="84"/>
    </row>
    <row r="118" spans="20:20" ht="14.25" customHeight="1" x14ac:dyDescent="0.2">
      <c r="T118" s="84"/>
    </row>
    <row r="119" spans="20:20" ht="14.25" customHeight="1" x14ac:dyDescent="0.2">
      <c r="T119" s="84"/>
    </row>
    <row r="120" spans="20:20" ht="14.25" customHeight="1" x14ac:dyDescent="0.2">
      <c r="T120" s="84"/>
    </row>
    <row r="121" spans="20:20" ht="14.25" customHeight="1" x14ac:dyDescent="0.2">
      <c r="T121" s="84"/>
    </row>
    <row r="122" spans="20:20" ht="14.25" customHeight="1" x14ac:dyDescent="0.2">
      <c r="T122" s="84"/>
    </row>
    <row r="123" spans="20:20" ht="14.25" customHeight="1" x14ac:dyDescent="0.2">
      <c r="T123" s="84"/>
    </row>
    <row r="124" spans="20:20" ht="14.25" customHeight="1" x14ac:dyDescent="0.2">
      <c r="T124" s="84"/>
    </row>
    <row r="125" spans="20:20" ht="14.25" customHeight="1" x14ac:dyDescent="0.2">
      <c r="T125" s="84"/>
    </row>
    <row r="126" spans="20:20" ht="14.25" customHeight="1" x14ac:dyDescent="0.2">
      <c r="T126" s="84"/>
    </row>
    <row r="127" spans="20:20" ht="14.25" customHeight="1" x14ac:dyDescent="0.2">
      <c r="T127" s="84"/>
    </row>
    <row r="128" spans="20: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140">
    <mergeCell ref="J18:J20"/>
    <mergeCell ref="K18:K20"/>
    <mergeCell ref="L18:L20"/>
    <mergeCell ref="M18:M20"/>
    <mergeCell ref="T22:AC22"/>
    <mergeCell ref="L22:L23"/>
    <mergeCell ref="I7:I20"/>
    <mergeCell ref="K7:K10"/>
    <mergeCell ref="L7:L10"/>
    <mergeCell ref="M7:M10"/>
    <mergeCell ref="N7:N10"/>
    <mergeCell ref="N18:N20"/>
    <mergeCell ref="B2:B4"/>
    <mergeCell ref="B7:B20"/>
    <mergeCell ref="C11:C17"/>
    <mergeCell ref="D11:D17"/>
    <mergeCell ref="E11:E17"/>
    <mergeCell ref="F11:F17"/>
    <mergeCell ref="D18:D20"/>
    <mergeCell ref="E18:E20"/>
    <mergeCell ref="F18:F20"/>
    <mergeCell ref="G18:G20"/>
    <mergeCell ref="H2:H4"/>
    <mergeCell ref="I2:I4"/>
    <mergeCell ref="J2:J4"/>
    <mergeCell ref="K2:K4"/>
    <mergeCell ref="B5:B6"/>
    <mergeCell ref="C5:C6"/>
    <mergeCell ref="K11:K17"/>
    <mergeCell ref="L11:L17"/>
    <mergeCell ref="R32:R34"/>
    <mergeCell ref="Q35:Q36"/>
    <mergeCell ref="R35:R36"/>
    <mergeCell ref="Q37:Q39"/>
    <mergeCell ref="R37:R39"/>
    <mergeCell ref="L2:L3"/>
    <mergeCell ref="M2:M3"/>
    <mergeCell ref="N2:N3"/>
    <mergeCell ref="R22:R23"/>
    <mergeCell ref="Q25:Q27"/>
    <mergeCell ref="M11:M17"/>
    <mergeCell ref="N11:N17"/>
    <mergeCell ref="Q29:Q31"/>
    <mergeCell ref="R29:R31"/>
    <mergeCell ref="Q2:Q3"/>
    <mergeCell ref="R2:R3"/>
    <mergeCell ref="Q7:Q10"/>
    <mergeCell ref="R7:R10"/>
    <mergeCell ref="Q11:Q17"/>
    <mergeCell ref="R11:R17"/>
    <mergeCell ref="R18:R20"/>
    <mergeCell ref="N25:N27"/>
    <mergeCell ref="K32:K34"/>
    <mergeCell ref="L32:L34"/>
    <mergeCell ref="M32:M34"/>
    <mergeCell ref="N32:N34"/>
    <mergeCell ref="J35:J36"/>
    <mergeCell ref="K35:K36"/>
    <mergeCell ref="J37:J39"/>
    <mergeCell ref="K37:K39"/>
    <mergeCell ref="L37:L39"/>
    <mergeCell ref="M37:M39"/>
    <mergeCell ref="N37:N39"/>
    <mergeCell ref="L35:L36"/>
    <mergeCell ref="M35:M36"/>
    <mergeCell ref="L25:L27"/>
    <mergeCell ref="J25:J27"/>
    <mergeCell ref="K25:K27"/>
    <mergeCell ref="H5:H6"/>
    <mergeCell ref="I5:I6"/>
    <mergeCell ref="J5:J6"/>
    <mergeCell ref="K5:K6"/>
    <mergeCell ref="C7:C10"/>
    <mergeCell ref="D7:D10"/>
    <mergeCell ref="M22:M23"/>
    <mergeCell ref="N22:N23"/>
    <mergeCell ref="Q22:Q23"/>
    <mergeCell ref="Q18:Q20"/>
    <mergeCell ref="O2:O39"/>
    <mergeCell ref="P2:P39"/>
    <mergeCell ref="Q32:Q34"/>
    <mergeCell ref="C21:C27"/>
    <mergeCell ref="D22:D23"/>
    <mergeCell ref="E22:E23"/>
    <mergeCell ref="J7:J10"/>
    <mergeCell ref="J11:J17"/>
    <mergeCell ref="H21:H27"/>
    <mergeCell ref="I21:I27"/>
    <mergeCell ref="J22:J23"/>
    <mergeCell ref="K22:K23"/>
    <mergeCell ref="G7:G10"/>
    <mergeCell ref="H7:H20"/>
    <mergeCell ref="R25:R27"/>
    <mergeCell ref="J29:J31"/>
    <mergeCell ref="J32:J34"/>
    <mergeCell ref="D37:D39"/>
    <mergeCell ref="E37:E39"/>
    <mergeCell ref="F37:F39"/>
    <mergeCell ref="E7:E10"/>
    <mergeCell ref="F7:F10"/>
    <mergeCell ref="F22:F23"/>
    <mergeCell ref="G22:G23"/>
    <mergeCell ref="D25:D27"/>
    <mergeCell ref="E25:E27"/>
    <mergeCell ref="F25:F27"/>
    <mergeCell ref="H29:H39"/>
    <mergeCell ref="G37:G39"/>
    <mergeCell ref="I37:I39"/>
    <mergeCell ref="G25:G27"/>
    <mergeCell ref="I29:I36"/>
    <mergeCell ref="K29:K31"/>
    <mergeCell ref="L29:L31"/>
    <mergeCell ref="M29:M31"/>
    <mergeCell ref="N29:N31"/>
    <mergeCell ref="N35:N36"/>
    <mergeCell ref="M25:M27"/>
    <mergeCell ref="B29:B39"/>
    <mergeCell ref="C29:C39"/>
    <mergeCell ref="A2:A39"/>
    <mergeCell ref="D2:D3"/>
    <mergeCell ref="E2:E3"/>
    <mergeCell ref="F2:F3"/>
    <mergeCell ref="G2:G4"/>
    <mergeCell ref="G5:G6"/>
    <mergeCell ref="G11:G17"/>
    <mergeCell ref="C2:C4"/>
    <mergeCell ref="C18:C20"/>
    <mergeCell ref="D29:D31"/>
    <mergeCell ref="E29:E31"/>
    <mergeCell ref="F29:F31"/>
    <mergeCell ref="G29:G31"/>
    <mergeCell ref="D32:D34"/>
    <mergeCell ref="E32:E34"/>
    <mergeCell ref="F32:F34"/>
    <mergeCell ref="G32:G34"/>
    <mergeCell ref="D35:D36"/>
    <mergeCell ref="E35:E36"/>
    <mergeCell ref="F35:F36"/>
    <mergeCell ref="G35:G36"/>
    <mergeCell ref="B21:B27"/>
  </mergeCells>
  <conditionalFormatting sqref="R2:R9 R11 R21 R24:R25 R29:R32 R35:R39">
    <cfRule type="colorScale" priority="4">
      <colorScale>
        <cfvo type="min"/>
        <cfvo type="percentile" val="50"/>
        <cfvo type="max"/>
        <color rgb="FFF8696B"/>
        <color rgb="FFFFEB84"/>
        <color rgb="FF63BE7B"/>
      </colorScale>
    </cfRule>
  </conditionalFormatting>
  <conditionalFormatting sqref="R2:R11 R21:R22 R24:R25 R28:R39">
    <cfRule type="colorScale" priority="2">
      <colorScale>
        <cfvo type="min"/>
        <cfvo type="percentile" val="50"/>
        <cfvo type="max"/>
        <color rgb="FFF8696B"/>
        <color rgb="FFFFEB84"/>
        <color rgb="FF63BE7B"/>
      </colorScale>
    </cfRule>
  </conditionalFormatting>
  <conditionalFormatting sqref="R2:R39">
    <cfRule type="colorScale" priority="1">
      <colorScale>
        <cfvo type="min"/>
        <cfvo type="percentile" val="50"/>
        <cfvo type="max"/>
        <color rgb="FFF8696B"/>
        <color rgb="FFFFEB84"/>
        <color rgb="FF63BE7B"/>
      </colorScale>
    </cfRule>
  </conditionalFormatting>
  <conditionalFormatting sqref="R28">
    <cfRule type="colorScale" priority="3">
      <colorScale>
        <cfvo type="min"/>
        <cfvo type="percentile" val="50"/>
        <cfvo type="max"/>
        <color rgb="FFF8696B"/>
        <color rgb="FFFFEB84"/>
        <color rgb="FF63BE7B"/>
      </colorScale>
    </cfRule>
  </conditionalFormatting>
  <hyperlinks>
    <hyperlink ref="S4" r:id="rId1" xr:uid="{00000000-0004-0000-0E00-000000000000}"/>
    <hyperlink ref="S7" r:id="rId2" xr:uid="{00000000-0004-0000-0E00-000001000000}"/>
    <hyperlink ref="S9" r:id="rId3" xr:uid="{00000000-0004-0000-0E00-000002000000}"/>
    <hyperlink ref="S12" r:id="rId4" xr:uid="{00000000-0004-0000-0E00-000003000000}"/>
    <hyperlink ref="S15" r:id="rId5" xr:uid="{00000000-0004-0000-0E00-000004000000}"/>
    <hyperlink ref="S19" r:id="rId6" xr:uid="{00000000-0004-0000-0E00-000005000000}"/>
    <hyperlink ref="S21" r:id="rId7" xr:uid="{00000000-0004-0000-0E00-000006000000}"/>
    <hyperlink ref="S22" r:id="rId8" xr:uid="{00000000-0004-0000-0E00-000007000000}"/>
    <hyperlink ref="S23" r:id="rId9" xr:uid="{00000000-0004-0000-0E00-000008000000}"/>
    <hyperlink ref="S34" r:id="rId10" xr:uid="{00000000-0004-0000-0E00-000009000000}"/>
    <hyperlink ref="S37" r:id="rId11" xr:uid="{00000000-0004-0000-0E00-00000A000000}"/>
  </hyperlinks>
  <pageMargins left="0.7" right="0.7" top="0.75" bottom="0.75" header="0" footer="0"/>
  <pageSetup orientation="portrait"/>
  <drawing r:id="rId12"/>
  <legacyDrawing r:id="rId1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L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26.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38" width="8.6640625" customWidth="1"/>
  </cols>
  <sheetData>
    <row r="1" spans="1:38"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817</v>
      </c>
      <c r="R1" s="28" t="s">
        <v>133</v>
      </c>
      <c r="S1" s="28" t="s">
        <v>134</v>
      </c>
      <c r="T1" s="31" t="s">
        <v>135</v>
      </c>
      <c r="U1" s="32"/>
      <c r="V1" s="33"/>
      <c r="W1" s="33"/>
      <c r="X1" s="33"/>
      <c r="Y1" s="33"/>
      <c r="Z1" s="33"/>
      <c r="AA1" s="33"/>
      <c r="AB1" s="33"/>
      <c r="AC1" s="33"/>
      <c r="AD1" s="33"/>
      <c r="AE1" s="33"/>
      <c r="AF1" s="33"/>
      <c r="AG1" s="33"/>
      <c r="AH1" s="33"/>
      <c r="AI1" s="33"/>
      <c r="AJ1" s="33"/>
      <c r="AK1" s="33"/>
      <c r="AL1" s="33"/>
    </row>
    <row r="2" spans="1:38" ht="16.5" customHeight="1" x14ac:dyDescent="0.2">
      <c r="A2" s="185" t="s">
        <v>109</v>
      </c>
      <c r="B2" s="183" t="s">
        <v>53</v>
      </c>
      <c r="C2" s="183" t="s">
        <v>139</v>
      </c>
      <c r="D2" s="179" t="s">
        <v>140</v>
      </c>
      <c r="E2" s="179" t="s">
        <v>140</v>
      </c>
      <c r="F2" s="179" t="s">
        <v>140</v>
      </c>
      <c r="G2" s="182">
        <v>1</v>
      </c>
      <c r="H2" s="182">
        <v>315</v>
      </c>
      <c r="I2" s="183" t="s">
        <v>142</v>
      </c>
      <c r="J2" s="178">
        <f>6/12</f>
        <v>0.5</v>
      </c>
      <c r="K2" s="178">
        <f>18/12</f>
        <v>1.5</v>
      </c>
      <c r="L2" s="178">
        <v>150</v>
      </c>
      <c r="M2" s="179" t="s">
        <v>818</v>
      </c>
      <c r="N2" s="188">
        <f>L2*K2*J2*H2</f>
        <v>35437.5</v>
      </c>
      <c r="O2" s="186">
        <v>8642</v>
      </c>
      <c r="P2" s="183" t="s">
        <v>819</v>
      </c>
      <c r="Q2" s="175">
        <f>N2/O2</f>
        <v>4.1006132839620459</v>
      </c>
      <c r="R2" s="177">
        <v>4</v>
      </c>
      <c r="S2" s="14" t="s">
        <v>149</v>
      </c>
      <c r="T2" s="14" t="s">
        <v>150</v>
      </c>
    </row>
    <row r="3" spans="1:38" ht="14.25" customHeight="1" x14ac:dyDescent="0.2">
      <c r="A3" s="181"/>
      <c r="B3" s="181"/>
      <c r="C3" s="181"/>
      <c r="D3" s="176"/>
      <c r="E3" s="176"/>
      <c r="F3" s="176"/>
      <c r="G3" s="181"/>
      <c r="H3" s="181"/>
      <c r="I3" s="181"/>
      <c r="J3" s="181"/>
      <c r="K3" s="181"/>
      <c r="L3" s="176"/>
      <c r="M3" s="176"/>
      <c r="N3" s="176"/>
      <c r="O3" s="181"/>
      <c r="P3" s="181"/>
      <c r="Q3" s="176"/>
      <c r="R3" s="176"/>
      <c r="S3" s="14" t="s">
        <v>401</v>
      </c>
      <c r="T3" s="14" t="s">
        <v>402</v>
      </c>
    </row>
    <row r="4" spans="1:38" ht="14.25" customHeight="1" x14ac:dyDescent="0.2">
      <c r="A4" s="181"/>
      <c r="B4" s="176"/>
      <c r="C4" s="176"/>
      <c r="D4" s="14" t="s">
        <v>154</v>
      </c>
      <c r="E4" s="14" t="s">
        <v>155</v>
      </c>
      <c r="F4" s="14" t="s">
        <v>156</v>
      </c>
      <c r="G4" s="176"/>
      <c r="H4" s="176"/>
      <c r="I4" s="176"/>
      <c r="J4" s="176"/>
      <c r="K4" s="176"/>
      <c r="L4" s="14">
        <v>5.25</v>
      </c>
      <c r="M4" s="14" t="s">
        <v>823</v>
      </c>
      <c r="N4" s="38">
        <f>L4*K2*J2*H2</f>
        <v>1240.3125</v>
      </c>
      <c r="O4" s="181"/>
      <c r="P4" s="181"/>
      <c r="Q4" s="19">
        <f t="shared" ref="Q4:Q7" si="0">N4/$O$2</f>
        <v>0.1435214649386716</v>
      </c>
      <c r="R4" s="39">
        <v>4</v>
      </c>
      <c r="S4" s="86" t="s">
        <v>240</v>
      </c>
      <c r="T4" s="44" t="s">
        <v>825</v>
      </c>
    </row>
    <row r="5" spans="1:38" ht="14.25" customHeight="1" x14ac:dyDescent="0.2">
      <c r="A5" s="181"/>
      <c r="B5" s="183" t="s">
        <v>164</v>
      </c>
      <c r="C5" s="183" t="s">
        <v>165</v>
      </c>
      <c r="D5" s="14" t="s">
        <v>140</v>
      </c>
      <c r="E5" s="41" t="s">
        <v>140</v>
      </c>
      <c r="F5" s="41" t="s">
        <v>140</v>
      </c>
      <c r="G5" s="182">
        <v>1</v>
      </c>
      <c r="H5" s="182">
        <v>5000</v>
      </c>
      <c r="I5" s="183" t="s">
        <v>166</v>
      </c>
      <c r="J5" s="178">
        <f>6/12</f>
        <v>0.5</v>
      </c>
      <c r="K5" s="179" t="s">
        <v>27</v>
      </c>
      <c r="L5" s="14">
        <v>150</v>
      </c>
      <c r="M5" s="14" t="s">
        <v>830</v>
      </c>
      <c r="N5" s="38">
        <f>L5*J5*H5</f>
        <v>375000</v>
      </c>
      <c r="O5" s="181"/>
      <c r="P5" s="181"/>
      <c r="Q5" s="19">
        <f t="shared" si="0"/>
        <v>43.392733163619532</v>
      </c>
      <c r="R5" s="39">
        <v>4</v>
      </c>
      <c r="S5" s="14" t="s">
        <v>388</v>
      </c>
      <c r="T5" s="14"/>
    </row>
    <row r="6" spans="1:38" ht="14.25" customHeight="1" x14ac:dyDescent="0.2">
      <c r="A6" s="181"/>
      <c r="B6" s="176"/>
      <c r="C6" s="176"/>
      <c r="D6" s="14" t="s">
        <v>154</v>
      </c>
      <c r="E6" s="41" t="s">
        <v>155</v>
      </c>
      <c r="F6" s="41" t="s">
        <v>156</v>
      </c>
      <c r="G6" s="176"/>
      <c r="H6" s="176"/>
      <c r="I6" s="176"/>
      <c r="J6" s="176"/>
      <c r="K6" s="176"/>
      <c r="L6" s="14">
        <v>6</v>
      </c>
      <c r="M6" s="14" t="s">
        <v>833</v>
      </c>
      <c r="N6" s="38">
        <f>L6*J5*H5</f>
        <v>15000</v>
      </c>
      <c r="O6" s="181"/>
      <c r="P6" s="181"/>
      <c r="Q6" s="19">
        <f t="shared" si="0"/>
        <v>1.7357093265447814</v>
      </c>
      <c r="R6" s="39">
        <v>4</v>
      </c>
      <c r="S6" s="14" t="s">
        <v>174</v>
      </c>
      <c r="T6" s="14" t="s">
        <v>175</v>
      </c>
    </row>
    <row r="7" spans="1:38" ht="14.25" customHeight="1" x14ac:dyDescent="0.2">
      <c r="A7" s="181"/>
      <c r="B7" s="183" t="s">
        <v>176</v>
      </c>
      <c r="C7" s="184" t="s">
        <v>177</v>
      </c>
      <c r="D7" s="179" t="s">
        <v>178</v>
      </c>
      <c r="E7" s="179" t="s">
        <v>92</v>
      </c>
      <c r="F7" s="179" t="s">
        <v>4</v>
      </c>
      <c r="G7" s="178">
        <v>56</v>
      </c>
      <c r="H7" s="182">
        <v>5000</v>
      </c>
      <c r="I7" s="183" t="s">
        <v>166</v>
      </c>
      <c r="J7" s="178" t="s">
        <v>839</v>
      </c>
      <c r="K7" s="179">
        <v>9</v>
      </c>
      <c r="L7" s="178">
        <v>11.25</v>
      </c>
      <c r="M7" s="179" t="s">
        <v>180</v>
      </c>
      <c r="N7" s="180">
        <f>L7*K7*G7</f>
        <v>5670</v>
      </c>
      <c r="O7" s="181"/>
      <c r="P7" s="181"/>
      <c r="Q7" s="175">
        <f t="shared" si="0"/>
        <v>0.65609812543392731</v>
      </c>
      <c r="R7" s="177">
        <v>2</v>
      </c>
      <c r="S7" s="14" t="s">
        <v>845</v>
      </c>
      <c r="T7" s="14" t="s">
        <v>846</v>
      </c>
    </row>
    <row r="8" spans="1:38" ht="14.25" customHeight="1" x14ac:dyDescent="0.2">
      <c r="A8" s="181"/>
      <c r="B8" s="181"/>
      <c r="C8" s="181"/>
      <c r="D8" s="181"/>
      <c r="E8" s="181"/>
      <c r="F8" s="181"/>
      <c r="G8" s="181"/>
      <c r="H8" s="181"/>
      <c r="I8" s="181"/>
      <c r="J8" s="181"/>
      <c r="K8" s="181"/>
      <c r="L8" s="181"/>
      <c r="M8" s="181"/>
      <c r="N8" s="181"/>
      <c r="O8" s="181"/>
      <c r="P8" s="181"/>
      <c r="Q8" s="181"/>
      <c r="R8" s="181"/>
      <c r="S8" s="14"/>
      <c r="T8" s="115" t="s">
        <v>848</v>
      </c>
    </row>
    <row r="9" spans="1:38" ht="14.25" customHeight="1" x14ac:dyDescent="0.2">
      <c r="A9" s="181"/>
      <c r="B9" s="181"/>
      <c r="C9" s="181"/>
      <c r="D9" s="176"/>
      <c r="E9" s="176"/>
      <c r="F9" s="176"/>
      <c r="G9" s="176"/>
      <c r="H9" s="181"/>
      <c r="I9" s="181"/>
      <c r="J9" s="176"/>
      <c r="K9" s="176"/>
      <c r="L9" s="176"/>
      <c r="M9" s="176"/>
      <c r="N9" s="176"/>
      <c r="O9" s="181"/>
      <c r="P9" s="181"/>
      <c r="Q9" s="176"/>
      <c r="R9" s="176"/>
      <c r="S9" s="14" t="s">
        <v>195</v>
      </c>
      <c r="T9" s="14" t="s">
        <v>852</v>
      </c>
    </row>
    <row r="10" spans="1:38" ht="14.25" customHeight="1" x14ac:dyDescent="0.2">
      <c r="A10" s="181"/>
      <c r="B10" s="181"/>
      <c r="C10" s="181"/>
      <c r="D10" s="179" t="s">
        <v>185</v>
      </c>
      <c r="E10" s="179" t="s">
        <v>92</v>
      </c>
      <c r="F10" s="179" t="s">
        <v>4</v>
      </c>
      <c r="G10" s="178">
        <v>285</v>
      </c>
      <c r="H10" s="181"/>
      <c r="I10" s="181"/>
      <c r="J10" s="175" t="s">
        <v>854</v>
      </c>
      <c r="K10" s="179">
        <v>13</v>
      </c>
      <c r="L10" s="178">
        <v>3.0830000000000002</v>
      </c>
      <c r="M10" s="179" t="s">
        <v>856</v>
      </c>
      <c r="N10" s="180">
        <f>L10*G10*K10</f>
        <v>11422.515000000001</v>
      </c>
      <c r="O10" s="181"/>
      <c r="P10" s="181"/>
      <c r="Q10" s="175">
        <f>N10/$O$2</f>
        <v>1.3217443878731776</v>
      </c>
      <c r="R10" s="177">
        <v>3</v>
      </c>
      <c r="S10" s="40" t="s">
        <v>858</v>
      </c>
      <c r="T10" s="14" t="s">
        <v>861</v>
      </c>
    </row>
    <row r="11" spans="1:38" ht="14.25" customHeight="1" x14ac:dyDescent="0.2">
      <c r="A11" s="181"/>
      <c r="B11" s="181"/>
      <c r="C11" s="181"/>
      <c r="D11" s="181"/>
      <c r="E11" s="181"/>
      <c r="F11" s="181"/>
      <c r="G11" s="181"/>
      <c r="H11" s="181"/>
      <c r="I11" s="181"/>
      <c r="J11" s="181"/>
      <c r="K11" s="181"/>
      <c r="L11" s="181"/>
      <c r="M11" s="181"/>
      <c r="N11" s="181"/>
      <c r="O11" s="181"/>
      <c r="P11" s="181"/>
      <c r="Q11" s="181"/>
      <c r="R11" s="181"/>
      <c r="S11" s="40" t="s">
        <v>189</v>
      </c>
      <c r="T11" s="14" t="s">
        <v>864</v>
      </c>
    </row>
    <row r="12" spans="1:38" ht="14.25" customHeight="1" x14ac:dyDescent="0.2">
      <c r="A12" s="181"/>
      <c r="B12" s="181"/>
      <c r="C12" s="181"/>
      <c r="D12" s="181"/>
      <c r="E12" s="181"/>
      <c r="F12" s="181"/>
      <c r="G12" s="181"/>
      <c r="H12" s="181"/>
      <c r="I12" s="181"/>
      <c r="J12" s="181"/>
      <c r="K12" s="181"/>
      <c r="L12" s="181"/>
      <c r="M12" s="181"/>
      <c r="N12" s="181"/>
      <c r="O12" s="181"/>
      <c r="P12" s="181"/>
      <c r="Q12" s="181"/>
      <c r="R12" s="181"/>
      <c r="S12" s="40" t="s">
        <v>866</v>
      </c>
      <c r="T12" s="14" t="s">
        <v>848</v>
      </c>
    </row>
    <row r="13" spans="1:38" ht="14.25" customHeight="1" x14ac:dyDescent="0.2">
      <c r="A13" s="181"/>
      <c r="B13" s="181"/>
      <c r="C13" s="181"/>
      <c r="D13" s="176"/>
      <c r="E13" s="176"/>
      <c r="F13" s="176"/>
      <c r="G13" s="176"/>
      <c r="H13" s="181"/>
      <c r="I13" s="181"/>
      <c r="J13" s="176"/>
      <c r="K13" s="176"/>
      <c r="L13" s="176"/>
      <c r="M13" s="176"/>
      <c r="N13" s="176"/>
      <c r="O13" s="181"/>
      <c r="P13" s="181"/>
      <c r="Q13" s="176"/>
      <c r="R13" s="176"/>
      <c r="S13" s="40" t="s">
        <v>697</v>
      </c>
      <c r="T13" s="14" t="s">
        <v>871</v>
      </c>
    </row>
    <row r="14" spans="1:38" ht="14.25" customHeight="1" x14ac:dyDescent="0.2">
      <c r="A14" s="181"/>
      <c r="B14" s="181"/>
      <c r="C14" s="181"/>
      <c r="D14" s="118" t="s">
        <v>197</v>
      </c>
      <c r="E14" s="118" t="s">
        <v>92</v>
      </c>
      <c r="F14" s="118" t="s">
        <v>4</v>
      </c>
      <c r="G14" s="119">
        <v>26</v>
      </c>
      <c r="H14" s="181"/>
      <c r="I14" s="181"/>
      <c r="J14" s="51" t="s">
        <v>873</v>
      </c>
      <c r="K14" s="50">
        <v>12</v>
      </c>
      <c r="L14" s="53">
        <v>3.5010000000000003</v>
      </c>
      <c r="M14" s="50" t="s">
        <v>188</v>
      </c>
      <c r="N14" s="54">
        <f>L14*K14*G14</f>
        <v>1092.3119999999999</v>
      </c>
      <c r="O14" s="181"/>
      <c r="P14" s="181"/>
      <c r="Q14" s="120">
        <f>N14/O2</f>
        <v>0.12639574172645221</v>
      </c>
      <c r="R14" s="122">
        <v>2</v>
      </c>
      <c r="S14" s="14" t="s">
        <v>181</v>
      </c>
      <c r="T14" s="14" t="s">
        <v>878</v>
      </c>
    </row>
    <row r="15" spans="1:38" ht="14.25" customHeight="1" x14ac:dyDescent="0.2">
      <c r="A15" s="181"/>
      <c r="B15" s="181"/>
      <c r="C15" s="181"/>
      <c r="D15" s="179" t="s">
        <v>201</v>
      </c>
      <c r="E15" s="179" t="s">
        <v>92</v>
      </c>
      <c r="F15" s="179" t="s">
        <v>5</v>
      </c>
      <c r="G15" s="182">
        <v>1</v>
      </c>
      <c r="H15" s="181"/>
      <c r="I15" s="181"/>
      <c r="J15" s="178">
        <f>5/8/12</f>
        <v>5.2083333333333336E-2</v>
      </c>
      <c r="K15" s="179" t="s">
        <v>27</v>
      </c>
      <c r="L15" s="178">
        <v>2.2999999999999998</v>
      </c>
      <c r="M15" s="179" t="s">
        <v>882</v>
      </c>
      <c r="N15" s="180">
        <f>L15*H7</f>
        <v>11500</v>
      </c>
      <c r="O15" s="181"/>
      <c r="P15" s="181"/>
      <c r="Q15" s="175">
        <f>N15/$O$2</f>
        <v>1.3307104836843324</v>
      </c>
      <c r="R15" s="177">
        <v>5</v>
      </c>
      <c r="S15" s="14" t="s">
        <v>884</v>
      </c>
      <c r="T15" s="14" t="s">
        <v>886</v>
      </c>
    </row>
    <row r="16" spans="1:38" ht="14.25" customHeight="1" x14ac:dyDescent="0.2">
      <c r="A16" s="181"/>
      <c r="B16" s="181"/>
      <c r="C16" s="181"/>
      <c r="D16" s="181"/>
      <c r="E16" s="181"/>
      <c r="F16" s="181"/>
      <c r="G16" s="181"/>
      <c r="H16" s="181"/>
      <c r="I16" s="181"/>
      <c r="J16" s="181"/>
      <c r="K16" s="181"/>
      <c r="L16" s="181"/>
      <c r="M16" s="181"/>
      <c r="N16" s="181"/>
      <c r="O16" s="181"/>
      <c r="P16" s="181"/>
      <c r="Q16" s="181"/>
      <c r="R16" s="181"/>
      <c r="S16" s="40" t="s">
        <v>888</v>
      </c>
      <c r="T16" s="14" t="s">
        <v>890</v>
      </c>
    </row>
    <row r="17" spans="1:38" ht="14.25" customHeight="1" x14ac:dyDescent="0.2">
      <c r="A17" s="181"/>
      <c r="B17" s="176"/>
      <c r="C17" s="176"/>
      <c r="D17" s="176"/>
      <c r="E17" s="176"/>
      <c r="F17" s="176"/>
      <c r="G17" s="176"/>
      <c r="H17" s="176"/>
      <c r="I17" s="176"/>
      <c r="J17" s="176"/>
      <c r="K17" s="176"/>
      <c r="L17" s="176"/>
      <c r="M17" s="176"/>
      <c r="N17" s="176"/>
      <c r="O17" s="181"/>
      <c r="P17" s="181"/>
      <c r="Q17" s="176"/>
      <c r="R17" s="176"/>
      <c r="S17" s="40" t="s">
        <v>207</v>
      </c>
      <c r="T17" s="14" t="s">
        <v>208</v>
      </c>
    </row>
    <row r="18" spans="1:38" ht="16.5" customHeight="1" x14ac:dyDescent="0.2">
      <c r="A18" s="181"/>
      <c r="B18" s="183" t="s">
        <v>209</v>
      </c>
      <c r="C18" s="183" t="s">
        <v>680</v>
      </c>
      <c r="D18" s="179" t="s">
        <v>239</v>
      </c>
      <c r="E18" s="179" t="s">
        <v>92</v>
      </c>
      <c r="F18" s="179" t="s">
        <v>3</v>
      </c>
      <c r="G18" s="182">
        <v>1</v>
      </c>
      <c r="H18" s="182">
        <v>5300</v>
      </c>
      <c r="I18" s="183" t="s">
        <v>166</v>
      </c>
      <c r="J18" s="175">
        <f>7/16/12</f>
        <v>3.6458333333333336E-2</v>
      </c>
      <c r="K18" s="179" t="s">
        <v>27</v>
      </c>
      <c r="L18" s="178">
        <v>1.44</v>
      </c>
      <c r="M18" s="179" t="s">
        <v>895</v>
      </c>
      <c r="N18" s="180">
        <f>L18*H18</f>
        <v>7632</v>
      </c>
      <c r="O18" s="181"/>
      <c r="P18" s="181"/>
      <c r="Q18" s="175">
        <f>N18/$O$2</f>
        <v>0.88312890534598476</v>
      </c>
      <c r="R18" s="177">
        <v>5</v>
      </c>
      <c r="S18" s="14" t="s">
        <v>896</v>
      </c>
      <c r="T18" s="14" t="s">
        <v>897</v>
      </c>
    </row>
    <row r="19" spans="1:38" ht="14.25" customHeight="1" x14ac:dyDescent="0.2">
      <c r="A19" s="181"/>
      <c r="B19" s="181"/>
      <c r="C19" s="181"/>
      <c r="D19" s="181"/>
      <c r="E19" s="181"/>
      <c r="F19" s="181"/>
      <c r="G19" s="181"/>
      <c r="H19" s="181"/>
      <c r="I19" s="181"/>
      <c r="J19" s="181"/>
      <c r="K19" s="181"/>
      <c r="L19" s="181"/>
      <c r="M19" s="181"/>
      <c r="N19" s="181"/>
      <c r="O19" s="181"/>
      <c r="P19" s="181"/>
      <c r="Q19" s="181"/>
      <c r="R19" s="181"/>
      <c r="S19" s="40" t="s">
        <v>365</v>
      </c>
      <c r="T19" s="14" t="s">
        <v>366</v>
      </c>
    </row>
    <row r="20" spans="1:38" ht="14.25" customHeight="1" x14ac:dyDescent="0.2">
      <c r="A20" s="181"/>
      <c r="B20" s="181"/>
      <c r="C20" s="181"/>
      <c r="D20" s="181"/>
      <c r="E20" s="181"/>
      <c r="F20" s="181"/>
      <c r="G20" s="181"/>
      <c r="H20" s="181"/>
      <c r="I20" s="181"/>
      <c r="J20" s="181"/>
      <c r="K20" s="181"/>
      <c r="L20" s="181"/>
      <c r="M20" s="181"/>
      <c r="N20" s="181"/>
      <c r="O20" s="181"/>
      <c r="P20" s="181"/>
      <c r="Q20" s="181"/>
      <c r="R20" s="181"/>
      <c r="S20" s="40" t="s">
        <v>370</v>
      </c>
      <c r="T20" s="14" t="s">
        <v>372</v>
      </c>
    </row>
    <row r="21" spans="1:38" ht="14.25" customHeight="1" x14ac:dyDescent="0.2">
      <c r="A21" s="181"/>
      <c r="B21" s="181"/>
      <c r="C21" s="181"/>
      <c r="D21" s="176"/>
      <c r="E21" s="176"/>
      <c r="F21" s="176"/>
      <c r="G21" s="176"/>
      <c r="H21" s="181"/>
      <c r="I21" s="181"/>
      <c r="J21" s="176"/>
      <c r="K21" s="176"/>
      <c r="L21" s="176"/>
      <c r="M21" s="176"/>
      <c r="N21" s="176"/>
      <c r="O21" s="181"/>
      <c r="P21" s="181"/>
      <c r="Q21" s="176"/>
      <c r="R21" s="176"/>
      <c r="S21" s="40" t="s">
        <v>685</v>
      </c>
      <c r="T21" s="14" t="s">
        <v>686</v>
      </c>
    </row>
    <row r="22" spans="1:38" ht="14.25" customHeight="1" x14ac:dyDescent="0.2">
      <c r="A22" s="181"/>
      <c r="B22" s="181"/>
      <c r="C22" s="181"/>
      <c r="D22" s="179" t="s">
        <v>689</v>
      </c>
      <c r="E22" s="179" t="s">
        <v>92</v>
      </c>
      <c r="F22" s="179" t="s">
        <v>4</v>
      </c>
      <c r="G22" s="178">
        <f>ROUNDUP(113/(16/12),0)*2</f>
        <v>170</v>
      </c>
      <c r="H22" s="181"/>
      <c r="I22" s="181"/>
      <c r="J22" s="178" t="s">
        <v>27</v>
      </c>
      <c r="K22" s="179" t="s">
        <v>27</v>
      </c>
      <c r="L22" s="178">
        <v>68.900000000000006</v>
      </c>
      <c r="M22" s="179" t="s">
        <v>906</v>
      </c>
      <c r="N22" s="180">
        <f>L22*G22</f>
        <v>11713.000000000002</v>
      </c>
      <c r="O22" s="181"/>
      <c r="P22" s="181"/>
      <c r="Q22" s="175">
        <f>N22/$O$2</f>
        <v>1.3553575561212685</v>
      </c>
      <c r="R22" s="177">
        <v>3</v>
      </c>
      <c r="S22" s="40" t="s">
        <v>758</v>
      </c>
      <c r="T22" s="14" t="s">
        <v>907</v>
      </c>
    </row>
    <row r="23" spans="1:38" ht="14.25" customHeight="1" x14ac:dyDescent="0.2">
      <c r="A23" s="181"/>
      <c r="B23" s="181"/>
      <c r="C23" s="181"/>
      <c r="D23" s="181"/>
      <c r="E23" s="181"/>
      <c r="F23" s="181"/>
      <c r="G23" s="181"/>
      <c r="H23" s="181"/>
      <c r="I23" s="181"/>
      <c r="J23" s="181"/>
      <c r="K23" s="181"/>
      <c r="L23" s="181"/>
      <c r="M23" s="181"/>
      <c r="N23" s="181"/>
      <c r="O23" s="181"/>
      <c r="P23" s="181"/>
      <c r="Q23" s="181"/>
      <c r="R23" s="181"/>
      <c r="S23" s="40" t="s">
        <v>761</v>
      </c>
      <c r="T23" s="14" t="s">
        <v>762</v>
      </c>
    </row>
    <row r="24" spans="1:38" ht="14.25" customHeight="1" x14ac:dyDescent="0.2">
      <c r="A24" s="181"/>
      <c r="B24" s="181"/>
      <c r="C24" s="181"/>
      <c r="D24" s="176"/>
      <c r="E24" s="176"/>
      <c r="F24" s="176"/>
      <c r="G24" s="176"/>
      <c r="H24" s="181"/>
      <c r="I24" s="181"/>
      <c r="J24" s="176"/>
      <c r="K24" s="176"/>
      <c r="L24" s="176"/>
      <c r="M24" s="176"/>
      <c r="N24" s="176"/>
      <c r="O24" s="181"/>
      <c r="P24" s="181"/>
      <c r="Q24" s="176"/>
      <c r="R24" s="176"/>
      <c r="S24" s="40" t="s">
        <v>697</v>
      </c>
      <c r="T24" s="14" t="s">
        <v>698</v>
      </c>
    </row>
    <row r="25" spans="1:38" ht="14.25" customHeight="1" x14ac:dyDescent="0.2">
      <c r="A25" s="181"/>
      <c r="B25" s="181"/>
      <c r="C25" s="181"/>
      <c r="D25" s="50" t="s">
        <v>700</v>
      </c>
      <c r="E25" s="50" t="s">
        <v>92</v>
      </c>
      <c r="F25" s="50" t="s">
        <v>4</v>
      </c>
      <c r="G25" s="53">
        <v>170</v>
      </c>
      <c r="H25" s="181"/>
      <c r="I25" s="181"/>
      <c r="J25" s="35" t="s">
        <v>186</v>
      </c>
      <c r="K25" s="34">
        <v>21.75</v>
      </c>
      <c r="L25" s="35">
        <v>2.42</v>
      </c>
      <c r="M25" s="34" t="s">
        <v>693</v>
      </c>
      <c r="N25" s="47">
        <f t="shared" ref="N25:N27" si="1">L25*K25*G25</f>
        <v>8947.9499999999989</v>
      </c>
      <c r="O25" s="181"/>
      <c r="P25" s="181"/>
      <c r="Q25" s="36">
        <f t="shared" ref="Q25:Q28" si="2">N25/$O$2</f>
        <v>1.0354026845637583</v>
      </c>
      <c r="R25" s="122">
        <v>1</v>
      </c>
      <c r="S25" s="40" t="s">
        <v>758</v>
      </c>
      <c r="T25" s="14" t="s">
        <v>909</v>
      </c>
    </row>
    <row r="26" spans="1:38" ht="14.25" customHeight="1" x14ac:dyDescent="0.2">
      <c r="A26" s="181"/>
      <c r="B26" s="181"/>
      <c r="C26" s="181"/>
      <c r="D26" s="50" t="s">
        <v>911</v>
      </c>
      <c r="E26" s="50" t="s">
        <v>92</v>
      </c>
      <c r="F26" s="50" t="s">
        <v>4</v>
      </c>
      <c r="G26" s="53">
        <v>85</v>
      </c>
      <c r="H26" s="181"/>
      <c r="I26" s="181"/>
      <c r="J26" s="35" t="s">
        <v>186</v>
      </c>
      <c r="K26" s="34">
        <v>13.5</v>
      </c>
      <c r="L26" s="35">
        <v>2.42</v>
      </c>
      <c r="M26" s="34" t="s">
        <v>693</v>
      </c>
      <c r="N26" s="47">
        <f t="shared" si="1"/>
        <v>2776.9500000000003</v>
      </c>
      <c r="O26" s="181"/>
      <c r="P26" s="181"/>
      <c r="Q26" s="36">
        <f t="shared" si="2"/>
        <v>0.3213318676232354</v>
      </c>
      <c r="R26" s="122">
        <v>1</v>
      </c>
      <c r="S26" s="14" t="s">
        <v>181</v>
      </c>
      <c r="T26" s="14" t="s">
        <v>912</v>
      </c>
    </row>
    <row r="27" spans="1:38" ht="14.25" customHeight="1" x14ac:dyDescent="0.2">
      <c r="A27" s="181"/>
      <c r="B27" s="176"/>
      <c r="C27" s="176"/>
      <c r="D27" s="50" t="s">
        <v>822</v>
      </c>
      <c r="E27" s="50" t="s">
        <v>92</v>
      </c>
      <c r="F27" s="50" t="s">
        <v>4</v>
      </c>
      <c r="G27" s="53">
        <v>234</v>
      </c>
      <c r="H27" s="176"/>
      <c r="I27" s="176"/>
      <c r="J27" s="35" t="s">
        <v>706</v>
      </c>
      <c r="K27" s="34">
        <v>27</v>
      </c>
      <c r="L27" s="35">
        <v>1.833</v>
      </c>
      <c r="M27" s="34" t="s">
        <v>693</v>
      </c>
      <c r="N27" s="47">
        <f t="shared" si="1"/>
        <v>11580.894</v>
      </c>
      <c r="O27" s="181"/>
      <c r="P27" s="181"/>
      <c r="Q27" s="36">
        <f t="shared" si="2"/>
        <v>1.3400710483684333</v>
      </c>
      <c r="R27" s="122">
        <v>1</v>
      </c>
      <c r="S27" s="40" t="s">
        <v>708</v>
      </c>
      <c r="T27" s="14" t="s">
        <v>709</v>
      </c>
    </row>
    <row r="28" spans="1:38" ht="16.5" customHeight="1" x14ac:dyDescent="0.2">
      <c r="A28" s="181"/>
      <c r="B28" s="183" t="s">
        <v>710</v>
      </c>
      <c r="C28" s="183" t="s">
        <v>711</v>
      </c>
      <c r="D28" s="179" t="s">
        <v>6</v>
      </c>
      <c r="E28" s="179" t="s">
        <v>712</v>
      </c>
      <c r="F28" s="179" t="s">
        <v>6</v>
      </c>
      <c r="G28" s="182">
        <v>1</v>
      </c>
      <c r="H28" s="182">
        <v>8600</v>
      </c>
      <c r="I28" s="183" t="s">
        <v>166</v>
      </c>
      <c r="J28" s="175">
        <f>1/12</f>
        <v>8.3333333333333329E-2</v>
      </c>
      <c r="K28" s="179" t="s">
        <v>27</v>
      </c>
      <c r="L28" s="178">
        <v>11</v>
      </c>
      <c r="M28" s="179" t="s">
        <v>915</v>
      </c>
      <c r="N28" s="180">
        <f>H28*L28</f>
        <v>94600</v>
      </c>
      <c r="O28" s="181"/>
      <c r="P28" s="181"/>
      <c r="Q28" s="175">
        <f t="shared" si="2"/>
        <v>10.94654015274242</v>
      </c>
      <c r="R28" s="177">
        <v>5</v>
      </c>
      <c r="S28" s="14" t="s">
        <v>716</v>
      </c>
      <c r="T28" s="14" t="s">
        <v>717</v>
      </c>
    </row>
    <row r="29" spans="1:38" ht="15" customHeight="1" x14ac:dyDescent="0.2">
      <c r="A29" s="181"/>
      <c r="B29" s="181"/>
      <c r="C29" s="181"/>
      <c r="D29" s="176"/>
      <c r="E29" s="176"/>
      <c r="F29" s="176"/>
      <c r="G29" s="181"/>
      <c r="H29" s="181"/>
      <c r="I29" s="181"/>
      <c r="J29" s="176"/>
      <c r="K29" s="176"/>
      <c r="L29" s="176"/>
      <c r="M29" s="176"/>
      <c r="N29" s="176"/>
      <c r="O29" s="181"/>
      <c r="P29" s="181"/>
      <c r="Q29" s="176"/>
      <c r="R29" s="176"/>
      <c r="S29" s="14" t="s">
        <v>718</v>
      </c>
      <c r="T29" s="61" t="s">
        <v>720</v>
      </c>
      <c r="U29" s="63"/>
      <c r="V29" s="63"/>
      <c r="W29" s="63"/>
      <c r="X29" s="63"/>
      <c r="Y29" s="63"/>
      <c r="Z29" s="63"/>
      <c r="AA29" s="63"/>
      <c r="AB29" s="63"/>
      <c r="AC29" s="63"/>
      <c r="AD29" s="63"/>
      <c r="AE29" s="63"/>
      <c r="AF29" s="63"/>
      <c r="AG29" s="63"/>
      <c r="AH29" s="63"/>
      <c r="AI29" s="63"/>
      <c r="AJ29" s="63"/>
      <c r="AK29" s="63"/>
      <c r="AL29" s="63"/>
    </row>
    <row r="30" spans="1:38" ht="14.25" customHeight="1" x14ac:dyDescent="0.2">
      <c r="A30" s="181"/>
      <c r="B30" s="181"/>
      <c r="C30" s="181"/>
      <c r="D30" s="14" t="s">
        <v>643</v>
      </c>
      <c r="E30" s="14" t="s">
        <v>279</v>
      </c>
      <c r="F30" s="14" t="s">
        <v>14</v>
      </c>
      <c r="G30" s="181"/>
      <c r="H30" s="181"/>
      <c r="I30" s="181"/>
      <c r="J30" s="100" t="s">
        <v>27</v>
      </c>
      <c r="K30" s="101" t="s">
        <v>27</v>
      </c>
      <c r="L30" s="14">
        <f>15/100</f>
        <v>0.15</v>
      </c>
      <c r="M30" s="14" t="s">
        <v>918</v>
      </c>
      <c r="N30" s="38">
        <f>L30*H28</f>
        <v>1290</v>
      </c>
      <c r="O30" s="181"/>
      <c r="P30" s="181"/>
      <c r="Q30" s="19">
        <f t="shared" ref="Q30:Q31" si="3">N30/$O$2</f>
        <v>0.14927100208285118</v>
      </c>
      <c r="R30" s="39">
        <v>3</v>
      </c>
      <c r="S30" s="14" t="s">
        <v>283</v>
      </c>
      <c r="T30" s="14" t="s">
        <v>284</v>
      </c>
    </row>
    <row r="31" spans="1:38" ht="14.25" customHeight="1" x14ac:dyDescent="0.2">
      <c r="A31" s="181"/>
      <c r="B31" s="181"/>
      <c r="C31" s="181"/>
      <c r="D31" s="179" t="s">
        <v>726</v>
      </c>
      <c r="E31" s="179" t="s">
        <v>294</v>
      </c>
      <c r="F31" s="179" t="s">
        <v>12</v>
      </c>
      <c r="G31" s="181"/>
      <c r="H31" s="181"/>
      <c r="I31" s="181"/>
      <c r="J31" s="175">
        <f>0.5/12</f>
        <v>4.1666666666666664E-2</v>
      </c>
      <c r="K31" s="179" t="s">
        <v>27</v>
      </c>
      <c r="L31" s="178">
        <v>1.9</v>
      </c>
      <c r="M31" s="179" t="s">
        <v>920</v>
      </c>
      <c r="N31" s="180">
        <f>L31*H28</f>
        <v>16340</v>
      </c>
      <c r="O31" s="181"/>
      <c r="P31" s="181"/>
      <c r="Q31" s="175">
        <f t="shared" si="3"/>
        <v>1.8907660263827817</v>
      </c>
      <c r="R31" s="177">
        <v>4</v>
      </c>
      <c r="S31" s="14" t="s">
        <v>731</v>
      </c>
      <c r="T31" s="14" t="s">
        <v>732</v>
      </c>
    </row>
    <row r="32" spans="1:38" ht="14.25" customHeight="1" x14ac:dyDescent="0.2">
      <c r="A32" s="181"/>
      <c r="B32" s="181"/>
      <c r="C32" s="181"/>
      <c r="D32" s="181"/>
      <c r="E32" s="181"/>
      <c r="F32" s="181"/>
      <c r="G32" s="181"/>
      <c r="H32" s="181"/>
      <c r="I32" s="181"/>
      <c r="J32" s="181"/>
      <c r="K32" s="181"/>
      <c r="L32" s="181"/>
      <c r="M32" s="181"/>
      <c r="N32" s="181"/>
      <c r="O32" s="181"/>
      <c r="P32" s="181"/>
      <c r="Q32" s="181"/>
      <c r="R32" s="181"/>
      <c r="S32" s="14" t="s">
        <v>734</v>
      </c>
      <c r="T32" s="14" t="s">
        <v>735</v>
      </c>
    </row>
    <row r="33" spans="1:26" ht="14.25" customHeight="1" x14ac:dyDescent="0.2">
      <c r="A33" s="181"/>
      <c r="B33" s="176"/>
      <c r="C33" s="176"/>
      <c r="D33" s="176"/>
      <c r="E33" s="176"/>
      <c r="F33" s="176"/>
      <c r="G33" s="176"/>
      <c r="H33" s="176"/>
      <c r="I33" s="176"/>
      <c r="J33" s="176"/>
      <c r="K33" s="176"/>
      <c r="L33" s="176"/>
      <c r="M33" s="176"/>
      <c r="N33" s="176"/>
      <c r="O33" s="181"/>
      <c r="P33" s="181"/>
      <c r="Q33" s="176"/>
      <c r="R33" s="176"/>
      <c r="S33" s="14" t="s">
        <v>181</v>
      </c>
      <c r="T33" s="14" t="s">
        <v>739</v>
      </c>
    </row>
    <row r="34" spans="1:26" ht="16.5" customHeight="1" x14ac:dyDescent="0.2">
      <c r="A34" s="181"/>
      <c r="B34" s="184" t="s">
        <v>741</v>
      </c>
      <c r="C34" s="183" t="s">
        <v>662</v>
      </c>
      <c r="D34" s="179" t="s">
        <v>742</v>
      </c>
      <c r="E34" s="179" t="s">
        <v>88</v>
      </c>
      <c r="F34" s="179" t="s">
        <v>88</v>
      </c>
      <c r="G34" s="182">
        <v>40</v>
      </c>
      <c r="H34" s="178">
        <v>12</v>
      </c>
      <c r="I34" s="183" t="s">
        <v>166</v>
      </c>
      <c r="J34" s="175">
        <f>0.07/12</f>
        <v>5.8333333333333336E-3</v>
      </c>
      <c r="K34" s="179" t="s">
        <v>27</v>
      </c>
      <c r="L34" s="178">
        <v>1</v>
      </c>
      <c r="M34" s="179" t="s">
        <v>924</v>
      </c>
      <c r="N34" s="180">
        <f>L34*H34*G34</f>
        <v>480</v>
      </c>
      <c r="O34" s="181"/>
      <c r="P34" s="181"/>
      <c r="Q34" s="175">
        <f>N34/$O$2</f>
        <v>5.5542698449432999E-2</v>
      </c>
      <c r="R34" s="177">
        <v>1</v>
      </c>
      <c r="S34" s="14" t="s">
        <v>925</v>
      </c>
      <c r="T34" s="14" t="s">
        <v>926</v>
      </c>
    </row>
    <row r="35" spans="1:26" ht="14.25" customHeight="1" x14ac:dyDescent="0.2">
      <c r="A35" s="181"/>
      <c r="B35" s="181"/>
      <c r="C35" s="181"/>
      <c r="D35" s="181"/>
      <c r="E35" s="181"/>
      <c r="F35" s="181"/>
      <c r="G35" s="181"/>
      <c r="H35" s="181"/>
      <c r="I35" s="181"/>
      <c r="J35" s="181"/>
      <c r="K35" s="181"/>
      <c r="L35" s="181"/>
      <c r="M35" s="181"/>
      <c r="N35" s="181"/>
      <c r="O35" s="181"/>
      <c r="P35" s="181"/>
      <c r="Q35" s="181"/>
      <c r="R35" s="181"/>
      <c r="S35" s="14" t="s">
        <v>930</v>
      </c>
      <c r="T35" s="14" t="s">
        <v>931</v>
      </c>
    </row>
    <row r="36" spans="1:26" ht="14.25" customHeight="1" x14ac:dyDescent="0.2">
      <c r="A36" s="181"/>
      <c r="B36" s="181"/>
      <c r="C36" s="181"/>
      <c r="D36" s="181"/>
      <c r="E36" s="181"/>
      <c r="F36" s="181"/>
      <c r="G36" s="181"/>
      <c r="H36" s="181"/>
      <c r="I36" s="181"/>
      <c r="J36" s="181"/>
      <c r="K36" s="181"/>
      <c r="L36" s="181"/>
      <c r="M36" s="181"/>
      <c r="N36" s="181"/>
      <c r="O36" s="181"/>
      <c r="P36" s="181"/>
      <c r="Q36" s="181"/>
      <c r="R36" s="181"/>
      <c r="S36" s="14" t="s">
        <v>669</v>
      </c>
      <c r="T36" s="14" t="s">
        <v>670</v>
      </c>
    </row>
    <row r="37" spans="1:26" ht="14.25" customHeight="1" x14ac:dyDescent="0.2">
      <c r="A37" s="181"/>
      <c r="B37" s="181"/>
      <c r="C37" s="181"/>
      <c r="D37" s="176"/>
      <c r="E37" s="176"/>
      <c r="F37" s="176"/>
      <c r="G37" s="181"/>
      <c r="H37" s="181"/>
      <c r="I37" s="181"/>
      <c r="J37" s="176"/>
      <c r="K37" s="176"/>
      <c r="L37" s="176"/>
      <c r="M37" s="176"/>
      <c r="N37" s="176"/>
      <c r="O37" s="181"/>
      <c r="P37" s="181"/>
      <c r="Q37" s="176"/>
      <c r="R37" s="176"/>
      <c r="S37" s="14" t="s">
        <v>933</v>
      </c>
      <c r="T37" s="14" t="s">
        <v>934</v>
      </c>
    </row>
    <row r="38" spans="1:26" ht="16.5" customHeight="1" x14ac:dyDescent="0.2">
      <c r="A38" s="181"/>
      <c r="B38" s="181"/>
      <c r="C38" s="181"/>
      <c r="D38" s="179" t="s">
        <v>433</v>
      </c>
      <c r="E38" s="179" t="s">
        <v>435</v>
      </c>
      <c r="F38" s="179" t="s">
        <v>435</v>
      </c>
      <c r="G38" s="181"/>
      <c r="H38" s="181"/>
      <c r="I38" s="181"/>
      <c r="J38" s="175">
        <f>1/4/12</f>
        <v>2.0833333333333332E-2</v>
      </c>
      <c r="K38" s="179" t="s">
        <v>27</v>
      </c>
      <c r="L38" s="178">
        <v>158</v>
      </c>
      <c r="M38" s="179" t="s">
        <v>936</v>
      </c>
      <c r="N38" s="201">
        <f>L38*J38*H34*G34*2</f>
        <v>3160</v>
      </c>
      <c r="O38" s="181"/>
      <c r="P38" s="181"/>
      <c r="Q38" s="175">
        <f>N38/$O$2</f>
        <v>0.36565609812543393</v>
      </c>
      <c r="R38" s="177">
        <v>3</v>
      </c>
      <c r="S38" s="14" t="s">
        <v>671</v>
      </c>
      <c r="T38" s="14" t="s">
        <v>672</v>
      </c>
    </row>
    <row r="39" spans="1:26" ht="14.25" customHeight="1" x14ac:dyDescent="0.2">
      <c r="A39" s="181"/>
      <c r="B39" s="181"/>
      <c r="C39" s="181"/>
      <c r="D39" s="181"/>
      <c r="E39" s="181"/>
      <c r="F39" s="181"/>
      <c r="G39" s="181"/>
      <c r="H39" s="181"/>
      <c r="I39" s="181"/>
      <c r="J39" s="181"/>
      <c r="K39" s="181"/>
      <c r="L39" s="181"/>
      <c r="M39" s="181"/>
      <c r="N39" s="181"/>
      <c r="O39" s="181"/>
      <c r="P39" s="181"/>
      <c r="Q39" s="181"/>
      <c r="R39" s="181"/>
      <c r="S39" s="14" t="s">
        <v>439</v>
      </c>
      <c r="T39" s="14" t="s">
        <v>440</v>
      </c>
    </row>
    <row r="40" spans="1:26" ht="14.25" customHeight="1" x14ac:dyDescent="0.2">
      <c r="A40" s="181"/>
      <c r="B40" s="181"/>
      <c r="C40" s="181"/>
      <c r="D40" s="181"/>
      <c r="E40" s="181"/>
      <c r="F40" s="181"/>
      <c r="G40" s="181"/>
      <c r="H40" s="181"/>
      <c r="I40" s="181"/>
      <c r="J40" s="181"/>
      <c r="K40" s="181"/>
      <c r="L40" s="181"/>
      <c r="M40" s="181"/>
      <c r="N40" s="181"/>
      <c r="O40" s="181"/>
      <c r="P40" s="181"/>
      <c r="Q40" s="181"/>
      <c r="R40" s="181"/>
      <c r="S40" s="14" t="s">
        <v>443</v>
      </c>
      <c r="T40" s="14" t="s">
        <v>444</v>
      </c>
    </row>
    <row r="41" spans="1:26" ht="14.25" customHeight="1" x14ac:dyDescent="0.2">
      <c r="A41" s="181"/>
      <c r="B41" s="181"/>
      <c r="C41" s="181"/>
      <c r="D41" s="181"/>
      <c r="E41" s="181"/>
      <c r="F41" s="181"/>
      <c r="G41" s="181"/>
      <c r="H41" s="181"/>
      <c r="I41" s="181"/>
      <c r="J41" s="181"/>
      <c r="K41" s="181"/>
      <c r="L41" s="181"/>
      <c r="M41" s="181"/>
      <c r="N41" s="181"/>
      <c r="O41" s="181"/>
      <c r="P41" s="181"/>
      <c r="Q41" s="181"/>
      <c r="R41" s="181"/>
      <c r="S41" s="14" t="s">
        <v>451</v>
      </c>
      <c r="T41" s="132" t="s">
        <v>943</v>
      </c>
    </row>
    <row r="42" spans="1:26" ht="14.25" customHeight="1" x14ac:dyDescent="0.2">
      <c r="A42" s="181"/>
      <c r="B42" s="181"/>
      <c r="C42" s="181"/>
      <c r="D42" s="181"/>
      <c r="E42" s="176"/>
      <c r="F42" s="176"/>
      <c r="G42" s="181"/>
      <c r="H42" s="181"/>
      <c r="I42" s="181"/>
      <c r="J42" s="176"/>
      <c r="K42" s="176"/>
      <c r="L42" s="176"/>
      <c r="M42" s="176"/>
      <c r="N42" s="176"/>
      <c r="O42" s="181"/>
      <c r="P42" s="181"/>
      <c r="Q42" s="176"/>
      <c r="R42" s="176"/>
      <c r="S42" s="14" t="s">
        <v>944</v>
      </c>
      <c r="T42" s="14" t="s">
        <v>946</v>
      </c>
      <c r="U42" s="133"/>
      <c r="V42" s="133"/>
      <c r="W42" s="133"/>
      <c r="X42" s="133"/>
      <c r="Y42" s="133"/>
      <c r="Z42" s="133"/>
    </row>
    <row r="43" spans="1:26" ht="14.25" customHeight="1" x14ac:dyDescent="0.2">
      <c r="A43" s="181"/>
      <c r="B43" s="176"/>
      <c r="C43" s="176"/>
      <c r="D43" s="176"/>
      <c r="E43" s="14" t="s">
        <v>19</v>
      </c>
      <c r="F43" s="14" t="s">
        <v>19</v>
      </c>
      <c r="G43" s="176"/>
      <c r="H43" s="176"/>
      <c r="I43" s="176"/>
      <c r="J43" s="14">
        <f>0.03/12</f>
        <v>2.5000000000000001E-3</v>
      </c>
      <c r="K43" s="101" t="s">
        <v>27</v>
      </c>
      <c r="L43" s="14">
        <v>0.17</v>
      </c>
      <c r="M43" s="14" t="s">
        <v>950</v>
      </c>
      <c r="N43" s="110">
        <f>L43*H34*G34*2</f>
        <v>163.19999999999999</v>
      </c>
      <c r="O43" s="181"/>
      <c r="P43" s="181"/>
      <c r="Q43" s="19">
        <f t="shared" ref="Q43:Q47" si="4">N43/$O$2</f>
        <v>1.888451747280722E-2</v>
      </c>
      <c r="R43" s="39">
        <v>3</v>
      </c>
      <c r="S43" s="14" t="s">
        <v>951</v>
      </c>
      <c r="T43" s="14" t="s">
        <v>952</v>
      </c>
    </row>
    <row r="44" spans="1:26" ht="14.25" customHeight="1" x14ac:dyDescent="0.2">
      <c r="A44" s="181"/>
      <c r="B44" s="68" t="s">
        <v>566</v>
      </c>
      <c r="C44" s="69" t="s">
        <v>953</v>
      </c>
      <c r="D44" s="50" t="s">
        <v>64</v>
      </c>
      <c r="E44" s="34" t="s">
        <v>27</v>
      </c>
      <c r="F44" s="34" t="s">
        <v>27</v>
      </c>
      <c r="G44" s="70">
        <v>8</v>
      </c>
      <c r="H44" s="35">
        <v>40</v>
      </c>
      <c r="I44" s="34" t="s">
        <v>166</v>
      </c>
      <c r="J44" s="36" t="s">
        <v>27</v>
      </c>
      <c r="K44" s="34" t="s">
        <v>27</v>
      </c>
      <c r="L44" s="35" t="s">
        <v>27</v>
      </c>
      <c r="M44" s="34" t="s">
        <v>956</v>
      </c>
      <c r="N44" s="47">
        <f>G44*H44</f>
        <v>320</v>
      </c>
      <c r="O44" s="181"/>
      <c r="P44" s="181"/>
      <c r="Q44" s="36">
        <f t="shared" si="4"/>
        <v>3.7028465632955337E-2</v>
      </c>
      <c r="R44" s="37">
        <v>2</v>
      </c>
      <c r="S44" s="40" t="s">
        <v>957</v>
      </c>
      <c r="T44" s="14" t="s">
        <v>963</v>
      </c>
    </row>
    <row r="45" spans="1:26" ht="14.25" customHeight="1" x14ac:dyDescent="0.2">
      <c r="A45" s="181"/>
      <c r="B45" s="134" t="s">
        <v>964</v>
      </c>
      <c r="C45" s="134" t="s">
        <v>965</v>
      </c>
      <c r="D45" s="14" t="s">
        <v>66</v>
      </c>
      <c r="E45" s="14" t="s">
        <v>27</v>
      </c>
      <c r="F45" s="14" t="s">
        <v>27</v>
      </c>
      <c r="G45" s="134">
        <v>28</v>
      </c>
      <c r="H45" s="41">
        <v>20</v>
      </c>
      <c r="I45" s="41" t="s">
        <v>166</v>
      </c>
      <c r="J45" s="117" t="s">
        <v>27</v>
      </c>
      <c r="K45" s="14" t="s">
        <v>27</v>
      </c>
      <c r="L45" s="14" t="s">
        <v>27</v>
      </c>
      <c r="M45" s="14" t="s">
        <v>304</v>
      </c>
      <c r="N45" s="38">
        <f>H45*G45</f>
        <v>560</v>
      </c>
      <c r="O45" s="181"/>
      <c r="P45" s="181"/>
      <c r="Q45" s="19">
        <f t="shared" si="4"/>
        <v>6.4799814857671834E-2</v>
      </c>
      <c r="R45" s="39">
        <v>5</v>
      </c>
      <c r="S45" s="40" t="s">
        <v>967</v>
      </c>
      <c r="T45" s="14" t="s">
        <v>969</v>
      </c>
    </row>
    <row r="46" spans="1:26" ht="14.25" customHeight="1" x14ac:dyDescent="0.2">
      <c r="A46" s="181"/>
      <c r="B46" s="183" t="s">
        <v>321</v>
      </c>
      <c r="C46" s="183" t="s">
        <v>972</v>
      </c>
      <c r="D46" s="41" t="s">
        <v>24</v>
      </c>
      <c r="E46" s="135" t="s">
        <v>973</v>
      </c>
      <c r="F46" s="41" t="s">
        <v>24</v>
      </c>
      <c r="G46" s="15">
        <v>1</v>
      </c>
      <c r="H46" s="182">
        <v>5300</v>
      </c>
      <c r="I46" s="183" t="s">
        <v>166</v>
      </c>
      <c r="J46" s="41" t="s">
        <v>27</v>
      </c>
      <c r="K46" s="41" t="s">
        <v>27</v>
      </c>
      <c r="L46" s="41">
        <v>10.5</v>
      </c>
      <c r="M46" s="41" t="s">
        <v>976</v>
      </c>
      <c r="N46" s="96">
        <f>H46*L46</f>
        <v>55650</v>
      </c>
      <c r="O46" s="181"/>
      <c r="P46" s="181"/>
      <c r="Q46" s="91">
        <f t="shared" si="4"/>
        <v>6.4394816014811385</v>
      </c>
      <c r="R46" s="58">
        <v>5</v>
      </c>
      <c r="S46" s="40" t="s">
        <v>530</v>
      </c>
      <c r="T46" s="14" t="s">
        <v>603</v>
      </c>
    </row>
    <row r="47" spans="1:26" ht="14.25" customHeight="1" x14ac:dyDescent="0.2">
      <c r="A47" s="181"/>
      <c r="B47" s="181"/>
      <c r="C47" s="181"/>
      <c r="D47" s="179" t="s">
        <v>978</v>
      </c>
      <c r="E47" s="179" t="s">
        <v>92</v>
      </c>
      <c r="F47" s="179" t="s">
        <v>4</v>
      </c>
      <c r="G47" s="182">
        <v>48</v>
      </c>
      <c r="H47" s="181"/>
      <c r="I47" s="181"/>
      <c r="J47" s="178" t="s">
        <v>27</v>
      </c>
      <c r="K47" s="179">
        <v>112.75</v>
      </c>
      <c r="L47" s="178">
        <v>4</v>
      </c>
      <c r="M47" s="179" t="s">
        <v>376</v>
      </c>
      <c r="N47" s="180">
        <f>L47*K47*G47</f>
        <v>21648</v>
      </c>
      <c r="O47" s="181"/>
      <c r="P47" s="181"/>
      <c r="Q47" s="175">
        <f t="shared" si="4"/>
        <v>2.5049757000694282</v>
      </c>
      <c r="R47" s="177">
        <v>1</v>
      </c>
      <c r="S47" s="14" t="s">
        <v>997</v>
      </c>
      <c r="T47" s="14" t="s">
        <v>998</v>
      </c>
    </row>
    <row r="48" spans="1:26" ht="14.25" customHeight="1" x14ac:dyDescent="0.2">
      <c r="A48" s="181"/>
      <c r="B48" s="181"/>
      <c r="C48" s="181"/>
      <c r="D48" s="181"/>
      <c r="E48" s="181"/>
      <c r="F48" s="181"/>
      <c r="G48" s="181"/>
      <c r="H48" s="181"/>
      <c r="I48" s="181"/>
      <c r="J48" s="181"/>
      <c r="K48" s="181"/>
      <c r="L48" s="181"/>
      <c r="M48" s="181"/>
      <c r="N48" s="181"/>
      <c r="O48" s="181"/>
      <c r="P48" s="181"/>
      <c r="Q48" s="181"/>
      <c r="R48" s="181"/>
      <c r="S48" s="14" t="s">
        <v>1000</v>
      </c>
      <c r="T48" s="14" t="s">
        <v>1001</v>
      </c>
    </row>
    <row r="49" spans="1:20" ht="14.25" customHeight="1" x14ac:dyDescent="0.2">
      <c r="A49" s="181"/>
      <c r="B49" s="181"/>
      <c r="C49" s="181"/>
      <c r="D49" s="176"/>
      <c r="E49" s="176"/>
      <c r="F49" s="176"/>
      <c r="G49" s="176"/>
      <c r="H49" s="181"/>
      <c r="I49" s="181"/>
      <c r="J49" s="176"/>
      <c r="K49" s="176"/>
      <c r="L49" s="176"/>
      <c r="M49" s="176"/>
      <c r="N49" s="176"/>
      <c r="O49" s="181"/>
      <c r="P49" s="181"/>
      <c r="Q49" s="176"/>
      <c r="R49" s="176"/>
      <c r="S49" s="14" t="s">
        <v>623</v>
      </c>
      <c r="T49" s="14" t="s">
        <v>1002</v>
      </c>
    </row>
    <row r="50" spans="1:20" ht="14.25" customHeight="1" x14ac:dyDescent="0.2">
      <c r="A50" s="181"/>
      <c r="B50" s="181"/>
      <c r="C50" s="181"/>
      <c r="D50" s="179" t="s">
        <v>25</v>
      </c>
      <c r="E50" s="179" t="s">
        <v>527</v>
      </c>
      <c r="F50" s="179" t="s">
        <v>25</v>
      </c>
      <c r="G50" s="182">
        <v>1</v>
      </c>
      <c r="H50" s="181"/>
      <c r="I50" s="181"/>
      <c r="J50" s="175" t="s">
        <v>27</v>
      </c>
      <c r="K50" s="179" t="s">
        <v>27</v>
      </c>
      <c r="L50" s="178">
        <v>2</v>
      </c>
      <c r="M50" s="179" t="s">
        <v>1003</v>
      </c>
      <c r="N50" s="180">
        <f>L50*H46</f>
        <v>10600</v>
      </c>
      <c r="O50" s="181"/>
      <c r="P50" s="181"/>
      <c r="Q50" s="175">
        <f>N50/$O$2</f>
        <v>1.2265679240916454</v>
      </c>
      <c r="R50" s="177">
        <v>5</v>
      </c>
      <c r="S50" s="14" t="s">
        <v>1004</v>
      </c>
      <c r="T50" s="14" t="s">
        <v>1005</v>
      </c>
    </row>
    <row r="51" spans="1:20" ht="14.25" customHeight="1" x14ac:dyDescent="0.2">
      <c r="A51" s="181"/>
      <c r="B51" s="181"/>
      <c r="C51" s="181"/>
      <c r="D51" s="181"/>
      <c r="E51" s="181"/>
      <c r="F51" s="181"/>
      <c r="G51" s="181"/>
      <c r="H51" s="181"/>
      <c r="I51" s="181"/>
      <c r="J51" s="181"/>
      <c r="K51" s="181"/>
      <c r="L51" s="181"/>
      <c r="M51" s="181"/>
      <c r="N51" s="181"/>
      <c r="O51" s="181"/>
      <c r="P51" s="181"/>
      <c r="Q51" s="181"/>
      <c r="R51" s="181"/>
      <c r="S51" s="14" t="s">
        <v>1006</v>
      </c>
      <c r="T51" s="14" t="s">
        <v>1007</v>
      </c>
    </row>
    <row r="52" spans="1:20" ht="14.25" customHeight="1" x14ac:dyDescent="0.2">
      <c r="A52" s="181"/>
      <c r="B52" s="181"/>
      <c r="C52" s="181"/>
      <c r="D52" s="181"/>
      <c r="E52" s="181"/>
      <c r="F52" s="181"/>
      <c r="G52" s="181"/>
      <c r="H52" s="181"/>
      <c r="I52" s="181"/>
      <c r="J52" s="181"/>
      <c r="K52" s="181"/>
      <c r="L52" s="181"/>
      <c r="M52" s="181"/>
      <c r="N52" s="181"/>
      <c r="O52" s="181"/>
      <c r="P52" s="181"/>
      <c r="Q52" s="181"/>
      <c r="R52" s="181"/>
      <c r="S52" s="14" t="s">
        <v>1008</v>
      </c>
      <c r="T52" s="137" t="s">
        <v>1009</v>
      </c>
    </row>
    <row r="53" spans="1:20" ht="14.25" customHeight="1" x14ac:dyDescent="0.2">
      <c r="A53" s="181"/>
      <c r="B53" s="181"/>
      <c r="C53" s="181"/>
      <c r="D53" s="176"/>
      <c r="E53" s="176"/>
      <c r="F53" s="176"/>
      <c r="G53" s="176"/>
      <c r="H53" s="181"/>
      <c r="I53" s="181"/>
      <c r="J53" s="176"/>
      <c r="K53" s="176"/>
      <c r="L53" s="176"/>
      <c r="M53" s="176"/>
      <c r="N53" s="176"/>
      <c r="O53" s="181"/>
      <c r="P53" s="181"/>
      <c r="Q53" s="176"/>
      <c r="R53" s="176"/>
      <c r="S53" s="14" t="s">
        <v>1010</v>
      </c>
      <c r="T53" s="137" t="s">
        <v>1011</v>
      </c>
    </row>
    <row r="54" spans="1:20" ht="14.25" customHeight="1" x14ac:dyDescent="0.2">
      <c r="A54" s="176"/>
      <c r="B54" s="176"/>
      <c r="C54" s="176"/>
      <c r="D54" s="138" t="s">
        <v>793</v>
      </c>
      <c r="E54" s="123" t="s">
        <v>92</v>
      </c>
      <c r="F54" s="50" t="s">
        <v>5</v>
      </c>
      <c r="G54" s="70">
        <v>0</v>
      </c>
      <c r="H54" s="176"/>
      <c r="I54" s="176"/>
      <c r="J54" s="53">
        <f>1/2/12</f>
        <v>4.1666666666666664E-2</v>
      </c>
      <c r="K54" s="50"/>
      <c r="L54" s="53">
        <v>1.42</v>
      </c>
      <c r="M54" s="41" t="s">
        <v>1014</v>
      </c>
      <c r="N54" s="54">
        <f>L54*H46*G54</f>
        <v>0</v>
      </c>
      <c r="O54" s="176"/>
      <c r="P54" s="176"/>
      <c r="Q54" s="91">
        <f>N54/$O$2</f>
        <v>0</v>
      </c>
      <c r="R54" s="58">
        <v>2</v>
      </c>
      <c r="S54" s="14" t="s">
        <v>738</v>
      </c>
      <c r="T54" s="14" t="s">
        <v>795</v>
      </c>
    </row>
    <row r="55" spans="1:20" ht="14.25" customHeight="1" x14ac:dyDescent="0.2"/>
    <row r="56" spans="1:20" ht="14.25" customHeight="1" x14ac:dyDescent="0.2"/>
    <row r="57" spans="1:20" ht="14.25" customHeight="1" x14ac:dyDescent="0.2">
      <c r="F57" s="28" t="s">
        <v>121</v>
      </c>
      <c r="G57" s="28" t="s">
        <v>128</v>
      </c>
      <c r="H57" s="28" t="s">
        <v>1016</v>
      </c>
    </row>
    <row r="58" spans="1:20" ht="14.25" customHeight="1" x14ac:dyDescent="0.2">
      <c r="F58" s="50" t="s">
        <v>140</v>
      </c>
      <c r="G58" s="72">
        <f t="shared" ref="G58:G70" si="5">SUMIF($F$2:$F$54,$F58,N$2:N$54)</f>
        <v>410437.5</v>
      </c>
      <c r="H58" s="73">
        <f t="shared" ref="H58:H70" si="6">SUMIF($F$2:$F$54,$F58,Q$2:Q$54)</f>
        <v>47.49334644758158</v>
      </c>
    </row>
    <row r="59" spans="1:20" ht="14.25" customHeight="1" x14ac:dyDescent="0.2">
      <c r="F59" s="14" t="s">
        <v>156</v>
      </c>
      <c r="G59" s="72">
        <f t="shared" si="5"/>
        <v>16240.3125</v>
      </c>
      <c r="H59" s="73">
        <f t="shared" si="6"/>
        <v>1.879230791483453</v>
      </c>
    </row>
    <row r="60" spans="1:20" ht="14.25" customHeight="1" x14ac:dyDescent="0.2">
      <c r="F60" s="50" t="s">
        <v>4</v>
      </c>
      <c r="G60" s="72">
        <f t="shared" si="5"/>
        <v>74851.620999999985</v>
      </c>
      <c r="H60" s="73">
        <f t="shared" si="6"/>
        <v>8.6613771117796805</v>
      </c>
    </row>
    <row r="61" spans="1:20" ht="14.25" customHeight="1" x14ac:dyDescent="0.2">
      <c r="F61" s="50" t="s">
        <v>712</v>
      </c>
      <c r="G61" s="72">
        <f t="shared" si="5"/>
        <v>94600</v>
      </c>
      <c r="H61" s="73">
        <f t="shared" si="6"/>
        <v>10.94654015274242</v>
      </c>
    </row>
    <row r="62" spans="1:20" ht="14.25" customHeight="1" x14ac:dyDescent="0.2">
      <c r="F62" s="14" t="s">
        <v>14</v>
      </c>
      <c r="G62" s="72">
        <f t="shared" si="5"/>
        <v>1290</v>
      </c>
      <c r="H62" s="73">
        <f t="shared" si="6"/>
        <v>0.14927100208285118</v>
      </c>
    </row>
    <row r="63" spans="1:20" ht="14.25" customHeight="1" x14ac:dyDescent="0.2">
      <c r="F63" s="50" t="s">
        <v>12</v>
      </c>
      <c r="G63" s="72">
        <f t="shared" si="5"/>
        <v>16340</v>
      </c>
      <c r="H63" s="73">
        <f t="shared" si="6"/>
        <v>1.8907660263827817</v>
      </c>
    </row>
    <row r="64" spans="1:20" ht="14.25" customHeight="1" x14ac:dyDescent="0.2">
      <c r="F64" s="50" t="s">
        <v>88</v>
      </c>
      <c r="G64" s="72">
        <f t="shared" si="5"/>
        <v>480</v>
      </c>
      <c r="H64" s="73">
        <f t="shared" si="6"/>
        <v>5.5542698449432999E-2</v>
      </c>
    </row>
    <row r="65" spans="6:8" ht="14.25" customHeight="1" x14ac:dyDescent="0.2">
      <c r="F65" s="50" t="s">
        <v>435</v>
      </c>
      <c r="G65" s="72">
        <f t="shared" si="5"/>
        <v>3160</v>
      </c>
      <c r="H65" s="73">
        <f t="shared" si="6"/>
        <v>0.36565609812543393</v>
      </c>
    </row>
    <row r="66" spans="6:8" ht="14.25" customHeight="1" x14ac:dyDescent="0.2">
      <c r="F66" s="14" t="s">
        <v>19</v>
      </c>
      <c r="G66" s="72">
        <f t="shared" si="5"/>
        <v>163.19999999999999</v>
      </c>
      <c r="H66" s="73">
        <f t="shared" si="6"/>
        <v>1.888451747280722E-2</v>
      </c>
    </row>
    <row r="67" spans="6:8" ht="14.25" customHeight="1" x14ac:dyDescent="0.2">
      <c r="F67" s="50" t="s">
        <v>5</v>
      </c>
      <c r="G67" s="72">
        <f t="shared" si="5"/>
        <v>11500</v>
      </c>
      <c r="H67" s="73">
        <f t="shared" si="6"/>
        <v>1.3307104836843324</v>
      </c>
    </row>
    <row r="68" spans="6:8" ht="14.25" customHeight="1" x14ac:dyDescent="0.2">
      <c r="F68" s="41" t="s">
        <v>24</v>
      </c>
      <c r="G68" s="72">
        <f t="shared" si="5"/>
        <v>55650</v>
      </c>
      <c r="H68" s="73">
        <f t="shared" si="6"/>
        <v>6.4394816014811385</v>
      </c>
    </row>
    <row r="69" spans="6:8" ht="14.25" customHeight="1" x14ac:dyDescent="0.2">
      <c r="F69" s="41" t="s">
        <v>3</v>
      </c>
      <c r="G69" s="72">
        <f t="shared" si="5"/>
        <v>7632</v>
      </c>
      <c r="H69" s="73">
        <f t="shared" si="6"/>
        <v>0.88312890534598476</v>
      </c>
    </row>
    <row r="70" spans="6:8" ht="14.25" customHeight="1" x14ac:dyDescent="0.2">
      <c r="F70" s="41" t="s">
        <v>25</v>
      </c>
      <c r="G70" s="72">
        <f t="shared" si="5"/>
        <v>10600</v>
      </c>
      <c r="H70" s="73">
        <f t="shared" si="6"/>
        <v>1.2265679240916454</v>
      </c>
    </row>
    <row r="71" spans="6:8" ht="14.25" customHeight="1" x14ac:dyDescent="0.2">
      <c r="F71" s="139"/>
      <c r="G71" s="75"/>
      <c r="H71" s="111"/>
    </row>
    <row r="72" spans="6:8" ht="14.25" customHeight="1" x14ac:dyDescent="0.2"/>
    <row r="73" spans="6:8" ht="14.25" customHeight="1" x14ac:dyDescent="0.2">
      <c r="F73" s="28" t="s">
        <v>121</v>
      </c>
      <c r="G73" s="28" t="s">
        <v>128</v>
      </c>
      <c r="H73" s="28" t="s">
        <v>1017</v>
      </c>
    </row>
    <row r="74" spans="6:8" ht="14.25" customHeight="1" x14ac:dyDescent="0.2">
      <c r="F74" s="50" t="s">
        <v>140</v>
      </c>
      <c r="G74" s="72">
        <f>G58</f>
        <v>410437.5</v>
      </c>
      <c r="H74" s="73">
        <f t="shared" ref="H74:H77" si="7">SUMIF($E$2:$E$54,$F74,Q$2:Q$54)</f>
        <v>47.49334644758158</v>
      </c>
    </row>
    <row r="75" spans="6:8" ht="14.25" customHeight="1" x14ac:dyDescent="0.2">
      <c r="F75" s="14" t="s">
        <v>155</v>
      </c>
      <c r="G75" s="72">
        <f t="shared" ref="G75:G77" si="8">SUMIF($E$2:$E$54,$F75,N$2:N$54)</f>
        <v>16240.3125</v>
      </c>
      <c r="H75" s="73">
        <f t="shared" si="7"/>
        <v>1.879230791483453</v>
      </c>
    </row>
    <row r="76" spans="6:8" ht="14.25" customHeight="1" x14ac:dyDescent="0.2">
      <c r="F76" s="50" t="s">
        <v>92</v>
      </c>
      <c r="G76" s="72">
        <f t="shared" si="8"/>
        <v>93983.620999999985</v>
      </c>
      <c r="H76" s="73">
        <f t="shared" si="7"/>
        <v>10.875216500809998</v>
      </c>
    </row>
    <row r="77" spans="6:8" ht="14.25" customHeight="1" x14ac:dyDescent="0.2">
      <c r="F77" s="50" t="s">
        <v>712</v>
      </c>
      <c r="G77" s="72">
        <f t="shared" si="8"/>
        <v>94600</v>
      </c>
      <c r="H77" s="73">
        <f t="shared" si="7"/>
        <v>10.94654015274242</v>
      </c>
    </row>
    <row r="78" spans="6:8" ht="14.25" customHeight="1" x14ac:dyDescent="0.2">
      <c r="F78" s="14" t="s">
        <v>279</v>
      </c>
      <c r="G78" s="72">
        <f t="shared" ref="G78:H78" si="9">G62</f>
        <v>1290</v>
      </c>
      <c r="H78" s="73">
        <f t="shared" si="9"/>
        <v>0.14927100208285118</v>
      </c>
    </row>
    <row r="79" spans="6:8" ht="14.25" customHeight="1" x14ac:dyDescent="0.2">
      <c r="F79" s="50" t="s">
        <v>294</v>
      </c>
      <c r="G79" s="72">
        <f t="shared" ref="G79:G80" si="10">SUMIF($E$2:$E$54,$F79,N$2:N$54)</f>
        <v>16340</v>
      </c>
      <c r="H79" s="73">
        <f t="shared" ref="H79:H80" si="11">SUMIF($E$2:$E$54,$F79,Q$2:Q$54)</f>
        <v>1.8907660263827817</v>
      </c>
    </row>
    <row r="80" spans="6:8" ht="14.25" customHeight="1" x14ac:dyDescent="0.2">
      <c r="F80" s="50" t="s">
        <v>88</v>
      </c>
      <c r="G80" s="72">
        <f t="shared" si="10"/>
        <v>480</v>
      </c>
      <c r="H80" s="73">
        <f t="shared" si="11"/>
        <v>5.5542698449432999E-2</v>
      </c>
    </row>
    <row r="81" spans="6:8" ht="14.25" customHeight="1" x14ac:dyDescent="0.2">
      <c r="F81" s="50" t="s">
        <v>434</v>
      </c>
      <c r="G81" s="72">
        <f t="shared" ref="G81:H81" si="12">G65</f>
        <v>3160</v>
      </c>
      <c r="H81" s="73">
        <f t="shared" si="12"/>
        <v>0.36565609812543393</v>
      </c>
    </row>
    <row r="82" spans="6:8" ht="14.25" customHeight="1" x14ac:dyDescent="0.2">
      <c r="F82" s="14" t="s">
        <v>1021</v>
      </c>
      <c r="G82" s="72">
        <f>G66</f>
        <v>163.19999999999999</v>
      </c>
      <c r="H82" s="73">
        <f>SUM(H66)</f>
        <v>1.888451747280722E-2</v>
      </c>
    </row>
    <row r="83" spans="6:8" ht="14.25" customHeight="1" x14ac:dyDescent="0.2">
      <c r="F83" s="41" t="s">
        <v>973</v>
      </c>
      <c r="G83" s="72">
        <f>SUMIF($E$2:$E$54,$F83,N$2:N$54)</f>
        <v>55650</v>
      </c>
      <c r="H83" s="73">
        <f>SUMIF($E$2:$E$54,$F83,Q$2:Q$54)</f>
        <v>6.4394816014811385</v>
      </c>
    </row>
    <row r="84" spans="6:8" ht="14.25" customHeight="1" x14ac:dyDescent="0.2">
      <c r="F84" s="50" t="s">
        <v>527</v>
      </c>
      <c r="G84" s="38">
        <f t="shared" ref="G84:H84" si="13">G70</f>
        <v>10600</v>
      </c>
      <c r="H84" s="140">
        <f t="shared" si="13"/>
        <v>1.2265679240916454</v>
      </c>
    </row>
    <row r="85" spans="6:8" ht="14.25" customHeight="1" x14ac:dyDescent="0.2"/>
    <row r="86" spans="6:8" ht="14.25" customHeight="1" x14ac:dyDescent="0.2"/>
    <row r="87" spans="6:8" ht="14.25" customHeight="1" x14ac:dyDescent="0.2"/>
    <row r="88" spans="6:8" ht="14.25" customHeight="1" x14ac:dyDescent="0.2"/>
    <row r="89" spans="6:8" ht="14.25" customHeight="1" x14ac:dyDescent="0.2"/>
    <row r="90" spans="6:8" ht="14.25" customHeight="1" x14ac:dyDescent="0.2"/>
    <row r="91" spans="6:8" ht="14.25" customHeight="1" x14ac:dyDescent="0.2"/>
    <row r="92" spans="6:8" ht="14.25" customHeight="1" x14ac:dyDescent="0.2"/>
    <row r="93" spans="6:8" ht="14.25" customHeight="1" x14ac:dyDescent="0.2"/>
    <row r="94" spans="6:8" ht="14.25" customHeight="1" x14ac:dyDescent="0.2"/>
    <row r="95" spans="6:8" ht="14.25" customHeight="1" x14ac:dyDescent="0.2"/>
    <row r="96" spans="6: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64">
    <mergeCell ref="C7:C17"/>
    <mergeCell ref="D10:D13"/>
    <mergeCell ref="D15:D17"/>
    <mergeCell ref="A2:A54"/>
    <mergeCell ref="B34:B43"/>
    <mergeCell ref="B46:B54"/>
    <mergeCell ref="C46:C54"/>
    <mergeCell ref="C2:C4"/>
    <mergeCell ref="E2:E3"/>
    <mergeCell ref="E50:E53"/>
    <mergeCell ref="B5:B6"/>
    <mergeCell ref="B2:B4"/>
    <mergeCell ref="B7:B17"/>
    <mergeCell ref="D22:D24"/>
    <mergeCell ref="E22:E24"/>
    <mergeCell ref="F2:F3"/>
    <mergeCell ref="G2:G4"/>
    <mergeCell ref="G5:G6"/>
    <mergeCell ref="G7:G9"/>
    <mergeCell ref="F31:F33"/>
    <mergeCell ref="D31:D33"/>
    <mergeCell ref="E31:E33"/>
    <mergeCell ref="C34:C43"/>
    <mergeCell ref="D34:D37"/>
    <mergeCell ref="F34:F37"/>
    <mergeCell ref="G34:G43"/>
    <mergeCell ref="D38:D43"/>
    <mergeCell ref="F38:F42"/>
    <mergeCell ref="C5:C6"/>
    <mergeCell ref="D2:D3"/>
    <mergeCell ref="D7:D9"/>
    <mergeCell ref="E10:E13"/>
    <mergeCell ref="F10:F13"/>
    <mergeCell ref="E7:E9"/>
    <mergeCell ref="F7:F9"/>
    <mergeCell ref="D18:D21"/>
    <mergeCell ref="E18:E21"/>
    <mergeCell ref="F18:F21"/>
    <mergeCell ref="G18:G21"/>
    <mergeCell ref="F50:F53"/>
    <mergeCell ref="E34:E37"/>
    <mergeCell ref="E38:E42"/>
    <mergeCell ref="D47:D49"/>
    <mergeCell ref="E47:E49"/>
    <mergeCell ref="F47:F49"/>
    <mergeCell ref="G47:G49"/>
    <mergeCell ref="D50:D53"/>
    <mergeCell ref="G50:G53"/>
    <mergeCell ref="L10:L13"/>
    <mergeCell ref="M10:M13"/>
    <mergeCell ref="N10:N13"/>
    <mergeCell ref="E15:E17"/>
    <mergeCell ref="F15:F17"/>
    <mergeCell ref="G15:G17"/>
    <mergeCell ref="J15:J17"/>
    <mergeCell ref="K15:K17"/>
    <mergeCell ref="L15:L17"/>
    <mergeCell ref="M15:M17"/>
    <mergeCell ref="N15:N17"/>
    <mergeCell ref="H7:H17"/>
    <mergeCell ref="I7:I17"/>
    <mergeCell ref="K7:K9"/>
    <mergeCell ref="L7:L9"/>
    <mergeCell ref="G10:G13"/>
    <mergeCell ref="M7:M9"/>
    <mergeCell ref="N7:N9"/>
    <mergeCell ref="J7:J9"/>
    <mergeCell ref="J10:J13"/>
    <mergeCell ref="K10:K13"/>
    <mergeCell ref="Q2:Q3"/>
    <mergeCell ref="R2:R3"/>
    <mergeCell ref="Q7:Q9"/>
    <mergeCell ref="R7:R9"/>
    <mergeCell ref="Q10:Q13"/>
    <mergeCell ref="R10:R13"/>
    <mergeCell ref="R15:R17"/>
    <mergeCell ref="Q15:Q17"/>
    <mergeCell ref="Q18:Q21"/>
    <mergeCell ref="R18:R21"/>
    <mergeCell ref="Q47:Q49"/>
    <mergeCell ref="Q50:Q53"/>
    <mergeCell ref="R50:R53"/>
    <mergeCell ref="Q31:Q33"/>
    <mergeCell ref="R31:R33"/>
    <mergeCell ref="Q34:Q37"/>
    <mergeCell ref="R34:R37"/>
    <mergeCell ref="Q38:Q42"/>
    <mergeCell ref="R38:R42"/>
    <mergeCell ref="R47:R49"/>
    <mergeCell ref="B28:B33"/>
    <mergeCell ref="C28:C33"/>
    <mergeCell ref="D28:D29"/>
    <mergeCell ref="E28:E29"/>
    <mergeCell ref="F28:F29"/>
    <mergeCell ref="G28:G33"/>
    <mergeCell ref="J22:J24"/>
    <mergeCell ref="Q22:Q24"/>
    <mergeCell ref="R22:R24"/>
    <mergeCell ref="Q28:Q29"/>
    <mergeCell ref="R28:R29"/>
    <mergeCell ref="O2:O54"/>
    <mergeCell ref="P2:P54"/>
    <mergeCell ref="H2:H4"/>
    <mergeCell ref="I2:I4"/>
    <mergeCell ref="J2:J4"/>
    <mergeCell ref="K2:K4"/>
    <mergeCell ref="L2:L3"/>
    <mergeCell ref="M2:M3"/>
    <mergeCell ref="N2:N3"/>
    <mergeCell ref="H5:H6"/>
    <mergeCell ref="I5:I6"/>
    <mergeCell ref="J5:J6"/>
    <mergeCell ref="K5:K6"/>
    <mergeCell ref="B18:B27"/>
    <mergeCell ref="C18:C27"/>
    <mergeCell ref="I18:I27"/>
    <mergeCell ref="J18:J21"/>
    <mergeCell ref="K18:K21"/>
    <mergeCell ref="L18:L21"/>
    <mergeCell ref="L22:L24"/>
    <mergeCell ref="M18:M21"/>
    <mergeCell ref="N18:N21"/>
    <mergeCell ref="F22:F24"/>
    <mergeCell ref="G22:G24"/>
    <mergeCell ref="H18:H27"/>
    <mergeCell ref="H28:H33"/>
    <mergeCell ref="I28:I33"/>
    <mergeCell ref="K28:K29"/>
    <mergeCell ref="L28:L29"/>
    <mergeCell ref="M28:M29"/>
    <mergeCell ref="N28:N29"/>
    <mergeCell ref="K31:K33"/>
    <mergeCell ref="L31:L33"/>
    <mergeCell ref="K22:K24"/>
    <mergeCell ref="M22:M24"/>
    <mergeCell ref="N22:N24"/>
    <mergeCell ref="K34:K37"/>
    <mergeCell ref="L34:L37"/>
    <mergeCell ref="M34:M37"/>
    <mergeCell ref="N34:N37"/>
    <mergeCell ref="J28:J29"/>
    <mergeCell ref="J31:J33"/>
    <mergeCell ref="H34:H43"/>
    <mergeCell ref="I34:I43"/>
    <mergeCell ref="J34:J37"/>
    <mergeCell ref="J38:J42"/>
    <mergeCell ref="K38:K42"/>
    <mergeCell ref="M31:M33"/>
    <mergeCell ref="N31:N33"/>
    <mergeCell ref="L38:L42"/>
    <mergeCell ref="M38:M42"/>
    <mergeCell ref="N38:N42"/>
    <mergeCell ref="L50:L53"/>
    <mergeCell ref="M50:M53"/>
    <mergeCell ref="H46:H54"/>
    <mergeCell ref="I46:I54"/>
    <mergeCell ref="J47:J49"/>
    <mergeCell ref="K47:K49"/>
    <mergeCell ref="L47:L49"/>
    <mergeCell ref="M47:M49"/>
    <mergeCell ref="N47:N49"/>
    <mergeCell ref="J50:J53"/>
    <mergeCell ref="K50:K53"/>
    <mergeCell ref="N50:N53"/>
  </mergeCells>
  <conditionalFormatting sqref="R2:R7 R10 R15 R18 R22 R28:R46 R50 R54">
    <cfRule type="colorScale" priority="2">
      <colorScale>
        <cfvo type="min"/>
        <cfvo type="percentile" val="50"/>
        <cfvo type="max"/>
        <color rgb="FFF8696B"/>
        <color rgb="FFFFEB84"/>
        <color rgb="FF63BE7B"/>
      </colorScale>
    </cfRule>
  </conditionalFormatting>
  <conditionalFormatting sqref="R2:R54">
    <cfRule type="colorScale" priority="1">
      <colorScale>
        <cfvo type="min"/>
        <cfvo type="percentile" val="50"/>
        <cfvo type="max"/>
        <color rgb="FFF8696B"/>
        <color rgb="FFFFEB84"/>
        <color rgb="FF63BE7B"/>
      </colorScale>
    </cfRule>
  </conditionalFormatting>
  <conditionalFormatting sqref="R47">
    <cfRule type="colorScale" priority="3">
      <colorScale>
        <cfvo type="min"/>
        <cfvo type="percentile" val="50"/>
        <cfvo type="max"/>
        <color rgb="FFF8696B"/>
        <color rgb="FFFFEB84"/>
        <color rgb="FF63BE7B"/>
      </colorScale>
    </cfRule>
  </conditionalFormatting>
  <hyperlinks>
    <hyperlink ref="S4" r:id="rId1" xr:uid="{00000000-0004-0000-0F00-000000000000}"/>
    <hyperlink ref="S10" r:id="rId2" xr:uid="{00000000-0004-0000-0F00-000001000000}"/>
    <hyperlink ref="S11" r:id="rId3" xr:uid="{00000000-0004-0000-0F00-000002000000}"/>
    <hyperlink ref="S12" r:id="rId4" xr:uid="{00000000-0004-0000-0F00-000003000000}"/>
    <hyperlink ref="S16" r:id="rId5" xr:uid="{00000000-0004-0000-0F00-000004000000}"/>
    <hyperlink ref="S17" r:id="rId6" xr:uid="{00000000-0004-0000-0F00-000005000000}"/>
    <hyperlink ref="S19" r:id="rId7" xr:uid="{00000000-0004-0000-0F00-000006000000}"/>
    <hyperlink ref="S20" r:id="rId8" xr:uid="{00000000-0004-0000-0F00-000007000000}"/>
    <hyperlink ref="S22" r:id="rId9" xr:uid="{00000000-0004-0000-0F00-000008000000}"/>
    <hyperlink ref="S25" r:id="rId10" xr:uid="{00000000-0004-0000-0F00-000009000000}"/>
    <hyperlink ref="S27" r:id="rId11" xr:uid="{00000000-0004-0000-0F00-00000A000000}"/>
    <hyperlink ref="S44" r:id="rId12" location="overlay " xr:uid="{00000000-0004-0000-0F00-00000B000000}"/>
    <hyperlink ref="S45" r:id="rId13" xr:uid="{00000000-0004-0000-0F00-00000C000000}"/>
    <hyperlink ref="S46" r:id="rId14" xr:uid="{00000000-0004-0000-0F00-00000D000000}"/>
  </hyperlinks>
  <pageMargins left="0.7" right="0.7" top="0.75" bottom="0.75" header="0" footer="0"/>
  <pageSetup orientation="portrait"/>
  <drawing r:id="rId15"/>
  <legacyDrawing r:id="rId1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1043</v>
      </c>
      <c r="R1" s="28" t="s">
        <v>133</v>
      </c>
      <c r="S1" s="28" t="s">
        <v>134</v>
      </c>
      <c r="T1" s="31"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1044</v>
      </c>
      <c r="B2" s="183" t="s">
        <v>53</v>
      </c>
      <c r="C2" s="183" t="s">
        <v>139</v>
      </c>
      <c r="D2" s="179" t="s">
        <v>140</v>
      </c>
      <c r="E2" s="179" t="s">
        <v>140</v>
      </c>
      <c r="F2" s="179" t="s">
        <v>140</v>
      </c>
      <c r="G2" s="182">
        <v>1</v>
      </c>
      <c r="H2" s="182">
        <v>630</v>
      </c>
      <c r="I2" s="183" t="s">
        <v>142</v>
      </c>
      <c r="J2" s="178">
        <v>0.5</v>
      </c>
      <c r="K2" s="178">
        <v>1.5</v>
      </c>
      <c r="L2" s="178">
        <v>150</v>
      </c>
      <c r="M2" s="179" t="s">
        <v>1045</v>
      </c>
      <c r="N2" s="188">
        <f>L2*K2*J2*H2</f>
        <v>70875</v>
      </c>
      <c r="O2" s="186">
        <v>9968</v>
      </c>
      <c r="P2" s="183" t="s">
        <v>1046</v>
      </c>
      <c r="Q2" s="175">
        <f>N2/O2</f>
        <v>7.110252808988764</v>
      </c>
      <c r="R2" s="191">
        <v>4</v>
      </c>
      <c r="S2" s="14" t="s">
        <v>149</v>
      </c>
      <c r="T2" s="14" t="s">
        <v>150</v>
      </c>
    </row>
    <row r="3" spans="1:40" ht="14.25" customHeight="1" x14ac:dyDescent="0.2">
      <c r="A3" s="181"/>
      <c r="B3" s="181"/>
      <c r="C3" s="181"/>
      <c r="D3" s="176"/>
      <c r="E3" s="176"/>
      <c r="F3" s="176"/>
      <c r="G3" s="181"/>
      <c r="H3" s="181"/>
      <c r="I3" s="181"/>
      <c r="J3" s="181"/>
      <c r="K3" s="181"/>
      <c r="L3" s="176"/>
      <c r="M3" s="176"/>
      <c r="N3" s="176"/>
      <c r="O3" s="181"/>
      <c r="P3" s="181"/>
      <c r="Q3" s="176"/>
      <c r="R3" s="176"/>
      <c r="S3" s="14" t="s">
        <v>401</v>
      </c>
      <c r="T3" s="14" t="s">
        <v>402</v>
      </c>
    </row>
    <row r="4" spans="1:40" ht="14.25" customHeight="1" x14ac:dyDescent="0.2">
      <c r="A4" s="181"/>
      <c r="B4" s="176"/>
      <c r="C4" s="176"/>
      <c r="D4" s="14" t="s">
        <v>154</v>
      </c>
      <c r="E4" s="14" t="s">
        <v>155</v>
      </c>
      <c r="F4" s="14" t="s">
        <v>156</v>
      </c>
      <c r="G4" s="176"/>
      <c r="H4" s="176"/>
      <c r="I4" s="176"/>
      <c r="J4" s="176"/>
      <c r="K4" s="176"/>
      <c r="L4" s="14">
        <v>5.25</v>
      </c>
      <c r="M4" s="14" t="s">
        <v>1048</v>
      </c>
      <c r="N4" s="38">
        <f>L4*K2*J2*H2</f>
        <v>2480.625</v>
      </c>
      <c r="O4" s="181"/>
      <c r="P4" s="181"/>
      <c r="Q4" s="19">
        <f t="shared" ref="Q4:Q7" si="0">N4/$O$2</f>
        <v>0.24885884831460675</v>
      </c>
      <c r="R4" s="48">
        <v>4</v>
      </c>
      <c r="S4" s="14" t="s">
        <v>174</v>
      </c>
      <c r="T4" s="14" t="s">
        <v>175</v>
      </c>
    </row>
    <row r="5" spans="1:40" ht="14.25" customHeight="1" x14ac:dyDescent="0.2">
      <c r="A5" s="181"/>
      <c r="B5" s="183" t="s">
        <v>164</v>
      </c>
      <c r="C5" s="183" t="s">
        <v>165</v>
      </c>
      <c r="D5" s="14" t="s">
        <v>140</v>
      </c>
      <c r="E5" s="41" t="s">
        <v>140</v>
      </c>
      <c r="F5" s="41" t="s">
        <v>140</v>
      </c>
      <c r="G5" s="182">
        <v>1</v>
      </c>
      <c r="H5" s="182">
        <v>9804</v>
      </c>
      <c r="I5" s="183" t="s">
        <v>166</v>
      </c>
      <c r="J5" s="175">
        <v>0.5</v>
      </c>
      <c r="K5" s="179" t="s">
        <v>27</v>
      </c>
      <c r="L5" s="14">
        <v>150</v>
      </c>
      <c r="M5" s="14" t="s">
        <v>1050</v>
      </c>
      <c r="N5" s="38">
        <f>L5*J5*H5</f>
        <v>735300</v>
      </c>
      <c r="O5" s="181"/>
      <c r="P5" s="181"/>
      <c r="Q5" s="19">
        <f t="shared" si="0"/>
        <v>73.766051364365964</v>
      </c>
      <c r="R5" s="49">
        <v>5</v>
      </c>
      <c r="S5" s="14" t="s">
        <v>169</v>
      </c>
      <c r="T5" s="14"/>
    </row>
    <row r="6" spans="1:40" ht="14.25" customHeight="1" x14ac:dyDescent="0.2">
      <c r="A6" s="181"/>
      <c r="B6" s="176"/>
      <c r="C6" s="176"/>
      <c r="D6" s="14" t="s">
        <v>154</v>
      </c>
      <c r="E6" s="41" t="s">
        <v>155</v>
      </c>
      <c r="F6" s="41" t="s">
        <v>156</v>
      </c>
      <c r="G6" s="176"/>
      <c r="H6" s="176"/>
      <c r="I6" s="176"/>
      <c r="J6" s="176"/>
      <c r="K6" s="176"/>
      <c r="L6" s="14">
        <v>6</v>
      </c>
      <c r="M6" s="14" t="s">
        <v>1052</v>
      </c>
      <c r="N6" s="38">
        <f>L6*J5*H5</f>
        <v>29412</v>
      </c>
      <c r="O6" s="181"/>
      <c r="P6" s="181"/>
      <c r="Q6" s="19">
        <f t="shared" si="0"/>
        <v>2.9506420545746388</v>
      </c>
      <c r="R6" s="49">
        <v>5</v>
      </c>
      <c r="S6" s="14" t="s">
        <v>174</v>
      </c>
      <c r="T6" s="14" t="s">
        <v>175</v>
      </c>
    </row>
    <row r="7" spans="1:40" ht="14.25" customHeight="1" x14ac:dyDescent="0.2">
      <c r="A7" s="181"/>
      <c r="B7" s="183" t="s">
        <v>209</v>
      </c>
      <c r="C7" s="184" t="s">
        <v>210</v>
      </c>
      <c r="D7" s="179" t="s">
        <v>185</v>
      </c>
      <c r="E7" s="179" t="s">
        <v>155</v>
      </c>
      <c r="F7" s="179" t="s">
        <v>412</v>
      </c>
      <c r="G7" s="178">
        <v>21</v>
      </c>
      <c r="H7" s="182">
        <v>11000</v>
      </c>
      <c r="I7" s="183" t="s">
        <v>166</v>
      </c>
      <c r="J7" s="175" t="s">
        <v>27</v>
      </c>
      <c r="K7" s="179" t="s">
        <v>1053</v>
      </c>
      <c r="L7" s="178">
        <v>21</v>
      </c>
      <c r="M7" s="179" t="s">
        <v>180</v>
      </c>
      <c r="N7" s="180">
        <v>24045</v>
      </c>
      <c r="O7" s="181"/>
      <c r="P7" s="181"/>
      <c r="Q7" s="175">
        <f t="shared" si="0"/>
        <v>2.4122191011235956</v>
      </c>
      <c r="R7" s="190">
        <v>2</v>
      </c>
      <c r="S7" s="14" t="s">
        <v>213</v>
      </c>
      <c r="T7" s="14" t="s">
        <v>558</v>
      </c>
    </row>
    <row r="8" spans="1:40" ht="14.25" customHeight="1" x14ac:dyDescent="0.2">
      <c r="A8" s="181"/>
      <c r="B8" s="181"/>
      <c r="C8" s="181"/>
      <c r="D8" s="181"/>
      <c r="E8" s="181"/>
      <c r="F8" s="181"/>
      <c r="G8" s="181"/>
      <c r="H8" s="181"/>
      <c r="I8" s="181"/>
      <c r="J8" s="181"/>
      <c r="K8" s="181"/>
      <c r="L8" s="181"/>
      <c r="M8" s="181"/>
      <c r="N8" s="181"/>
      <c r="O8" s="181"/>
      <c r="P8" s="181"/>
      <c r="Q8" s="181"/>
      <c r="R8" s="181"/>
      <c r="S8" s="40" t="s">
        <v>216</v>
      </c>
      <c r="T8" s="14" t="s">
        <v>217</v>
      </c>
    </row>
    <row r="9" spans="1:40" ht="14.25" customHeight="1" x14ac:dyDescent="0.2">
      <c r="A9" s="181"/>
      <c r="B9" s="181"/>
      <c r="C9" s="181"/>
      <c r="D9" s="181"/>
      <c r="E9" s="181"/>
      <c r="F9" s="181"/>
      <c r="G9" s="181"/>
      <c r="H9" s="181"/>
      <c r="I9" s="181"/>
      <c r="J9" s="181"/>
      <c r="K9" s="181"/>
      <c r="L9" s="181"/>
      <c r="M9" s="181"/>
      <c r="N9" s="181"/>
      <c r="O9" s="181"/>
      <c r="P9" s="181"/>
      <c r="Q9" s="181"/>
      <c r="R9" s="181"/>
      <c r="S9" s="40" t="s">
        <v>560</v>
      </c>
      <c r="T9" s="14" t="s">
        <v>561</v>
      </c>
    </row>
    <row r="10" spans="1:40" ht="14.25" customHeight="1" x14ac:dyDescent="0.2">
      <c r="A10" s="181"/>
      <c r="B10" s="181"/>
      <c r="C10" s="181"/>
      <c r="D10" s="176"/>
      <c r="E10" s="176"/>
      <c r="F10" s="176"/>
      <c r="G10" s="176"/>
      <c r="H10" s="181"/>
      <c r="I10" s="181"/>
      <c r="J10" s="176"/>
      <c r="K10" s="176"/>
      <c r="L10" s="176"/>
      <c r="M10" s="176"/>
      <c r="N10" s="176"/>
      <c r="O10" s="181"/>
      <c r="P10" s="181"/>
      <c r="Q10" s="176"/>
      <c r="R10" s="176"/>
      <c r="S10" s="40" t="s">
        <v>219</v>
      </c>
      <c r="T10" s="14" t="s">
        <v>1055</v>
      </c>
    </row>
    <row r="11" spans="1:40" ht="14.25" customHeight="1" x14ac:dyDescent="0.2">
      <c r="A11" s="181"/>
      <c r="B11" s="181"/>
      <c r="C11" s="181"/>
      <c r="D11" s="179" t="s">
        <v>411</v>
      </c>
      <c r="E11" s="179" t="s">
        <v>155</v>
      </c>
      <c r="F11" s="179" t="s">
        <v>412</v>
      </c>
      <c r="G11" s="178">
        <v>216</v>
      </c>
      <c r="H11" s="181"/>
      <c r="I11" s="181"/>
      <c r="J11" s="175" t="s">
        <v>27</v>
      </c>
      <c r="K11" s="179">
        <v>10</v>
      </c>
      <c r="L11" s="178">
        <v>2.1</v>
      </c>
      <c r="M11" s="179" t="s">
        <v>221</v>
      </c>
      <c r="N11" s="180">
        <f>L11*G11/2*K11+G11/2*50*L11</f>
        <v>13608</v>
      </c>
      <c r="O11" s="181"/>
      <c r="P11" s="181"/>
      <c r="Q11" s="175">
        <f>N11/$O$2</f>
        <v>1.3651685393258426</v>
      </c>
      <c r="R11" s="190">
        <v>2</v>
      </c>
      <c r="S11" s="14" t="s">
        <v>568</v>
      </c>
      <c r="T11" s="14" t="s">
        <v>569</v>
      </c>
    </row>
    <row r="12" spans="1:40" ht="14.25" customHeight="1" x14ac:dyDescent="0.2">
      <c r="A12" s="181"/>
      <c r="B12" s="181"/>
      <c r="C12" s="181"/>
      <c r="D12" s="181"/>
      <c r="E12" s="181"/>
      <c r="F12" s="181"/>
      <c r="G12" s="181"/>
      <c r="H12" s="181"/>
      <c r="I12" s="181"/>
      <c r="J12" s="181"/>
      <c r="K12" s="181"/>
      <c r="L12" s="181"/>
      <c r="M12" s="181"/>
      <c r="N12" s="181"/>
      <c r="O12" s="181"/>
      <c r="P12" s="181"/>
      <c r="Q12" s="181"/>
      <c r="R12" s="181"/>
      <c r="S12" s="40" t="s">
        <v>224</v>
      </c>
      <c r="T12" s="14" t="s">
        <v>572</v>
      </c>
    </row>
    <row r="13" spans="1:40" ht="14.25" customHeight="1" x14ac:dyDescent="0.2">
      <c r="A13" s="181"/>
      <c r="B13" s="181"/>
      <c r="C13" s="181"/>
      <c r="D13" s="181"/>
      <c r="E13" s="181"/>
      <c r="F13" s="181"/>
      <c r="G13" s="181"/>
      <c r="H13" s="181"/>
      <c r="I13" s="181"/>
      <c r="J13" s="181"/>
      <c r="K13" s="181"/>
      <c r="L13" s="181"/>
      <c r="M13" s="181"/>
      <c r="N13" s="181"/>
      <c r="O13" s="181"/>
      <c r="P13" s="181"/>
      <c r="Q13" s="181"/>
      <c r="R13" s="181"/>
      <c r="S13" s="40" t="s">
        <v>227</v>
      </c>
      <c r="T13" s="14" t="s">
        <v>576</v>
      </c>
    </row>
    <row r="14" spans="1:40" ht="14.25" customHeight="1" x14ac:dyDescent="0.2">
      <c r="A14" s="181"/>
      <c r="B14" s="181"/>
      <c r="C14" s="181"/>
      <c r="D14" s="176"/>
      <c r="E14" s="176"/>
      <c r="F14" s="176"/>
      <c r="G14" s="176"/>
      <c r="H14" s="181"/>
      <c r="I14" s="181"/>
      <c r="J14" s="176"/>
      <c r="K14" s="176"/>
      <c r="L14" s="176"/>
      <c r="M14" s="176"/>
      <c r="N14" s="176"/>
      <c r="O14" s="181"/>
      <c r="P14" s="181"/>
      <c r="Q14" s="176"/>
      <c r="R14" s="176"/>
      <c r="S14" s="14" t="s">
        <v>229</v>
      </c>
      <c r="T14" s="14" t="s">
        <v>1057</v>
      </c>
    </row>
    <row r="15" spans="1:40" ht="14.25" customHeight="1" x14ac:dyDescent="0.2">
      <c r="A15" s="181"/>
      <c r="B15" s="181"/>
      <c r="C15" s="181"/>
      <c r="D15" s="179" t="s">
        <v>197</v>
      </c>
      <c r="E15" s="179" t="s">
        <v>155</v>
      </c>
      <c r="F15" s="179" t="s">
        <v>441</v>
      </c>
      <c r="G15" s="178">
        <v>41</v>
      </c>
      <c r="H15" s="181"/>
      <c r="I15" s="181"/>
      <c r="J15" s="175" t="s">
        <v>1058</v>
      </c>
      <c r="K15" s="179">
        <v>23</v>
      </c>
      <c r="L15" s="178">
        <v>20</v>
      </c>
      <c r="M15" s="179" t="s">
        <v>221</v>
      </c>
      <c r="N15" s="180">
        <f>L15*K15*G15</f>
        <v>18860</v>
      </c>
      <c r="O15" s="181"/>
      <c r="P15" s="181"/>
      <c r="Q15" s="175">
        <f>N15/$O$2</f>
        <v>1.8920545746388444</v>
      </c>
      <c r="R15" s="190">
        <v>1</v>
      </c>
      <c r="S15" s="14" t="s">
        <v>1060</v>
      </c>
      <c r="T15" s="14" t="s">
        <v>1061</v>
      </c>
    </row>
    <row r="16" spans="1:40" ht="14.25" customHeight="1" x14ac:dyDescent="0.2">
      <c r="A16" s="181"/>
      <c r="B16" s="181"/>
      <c r="C16" s="181"/>
      <c r="D16" s="176"/>
      <c r="E16" s="176"/>
      <c r="F16" s="176"/>
      <c r="G16" s="176"/>
      <c r="H16" s="181"/>
      <c r="I16" s="181"/>
      <c r="J16" s="176"/>
      <c r="K16" s="176"/>
      <c r="L16" s="176"/>
      <c r="M16" s="176"/>
      <c r="N16" s="176"/>
      <c r="O16" s="181"/>
      <c r="P16" s="181"/>
      <c r="Q16" s="176"/>
      <c r="R16" s="176"/>
      <c r="S16" s="14" t="s">
        <v>191</v>
      </c>
      <c r="T16" s="14" t="s">
        <v>1062</v>
      </c>
    </row>
    <row r="17" spans="1:40" ht="14.25" customHeight="1" x14ac:dyDescent="0.2">
      <c r="A17" s="181"/>
      <c r="B17" s="181"/>
      <c r="C17" s="181"/>
      <c r="D17" s="179" t="s">
        <v>239</v>
      </c>
      <c r="E17" s="179" t="s">
        <v>155</v>
      </c>
      <c r="F17" s="179" t="s">
        <v>7</v>
      </c>
      <c r="G17" s="182">
        <v>1</v>
      </c>
      <c r="H17" s="181"/>
      <c r="I17" s="181"/>
      <c r="J17" s="175">
        <v>3.3333333333333335E-3</v>
      </c>
      <c r="K17" s="179" t="s">
        <v>27</v>
      </c>
      <c r="L17" s="178">
        <v>1.6559999999999999</v>
      </c>
      <c r="M17" s="179" t="s">
        <v>1063</v>
      </c>
      <c r="N17" s="180">
        <f>L17*H7</f>
        <v>18216</v>
      </c>
      <c r="O17" s="181"/>
      <c r="P17" s="181"/>
      <c r="Q17" s="175">
        <f>N17/$O$2</f>
        <v>1.8274478330658106</v>
      </c>
      <c r="R17" s="191">
        <v>4</v>
      </c>
      <c r="S17" s="14" t="s">
        <v>243</v>
      </c>
      <c r="T17" s="14" t="s">
        <v>244</v>
      </c>
    </row>
    <row r="18" spans="1:40" ht="14.25" customHeight="1" x14ac:dyDescent="0.2">
      <c r="A18" s="181"/>
      <c r="B18" s="181"/>
      <c r="C18" s="181"/>
      <c r="D18" s="181"/>
      <c r="E18" s="181"/>
      <c r="F18" s="181"/>
      <c r="G18" s="181"/>
      <c r="H18" s="181"/>
      <c r="I18" s="181"/>
      <c r="J18" s="181"/>
      <c r="K18" s="181"/>
      <c r="L18" s="181"/>
      <c r="M18" s="181"/>
      <c r="N18" s="181"/>
      <c r="O18" s="181"/>
      <c r="P18" s="181"/>
      <c r="Q18" s="181"/>
      <c r="R18" s="181"/>
      <c r="S18" s="40" t="s">
        <v>610</v>
      </c>
      <c r="T18" s="14" t="s">
        <v>611</v>
      </c>
    </row>
    <row r="19" spans="1:40" ht="14.25" customHeight="1" x14ac:dyDescent="0.2">
      <c r="A19" s="181"/>
      <c r="B19" s="176"/>
      <c r="C19" s="176"/>
      <c r="D19" s="176"/>
      <c r="E19" s="176"/>
      <c r="F19" s="176"/>
      <c r="G19" s="176"/>
      <c r="H19" s="176"/>
      <c r="I19" s="176"/>
      <c r="J19" s="176"/>
      <c r="K19" s="176"/>
      <c r="L19" s="176"/>
      <c r="M19" s="176"/>
      <c r="N19" s="176"/>
      <c r="O19" s="181"/>
      <c r="P19" s="181"/>
      <c r="Q19" s="176"/>
      <c r="R19" s="176"/>
      <c r="S19" s="40" t="s">
        <v>246</v>
      </c>
      <c r="T19" s="14" t="s">
        <v>247</v>
      </c>
    </row>
    <row r="20" spans="1:40" ht="16.5" customHeight="1" x14ac:dyDescent="0.2">
      <c r="A20" s="181"/>
      <c r="B20" s="183" t="s">
        <v>251</v>
      </c>
      <c r="C20" s="184" t="s">
        <v>285</v>
      </c>
      <c r="D20" s="179" t="s">
        <v>140</v>
      </c>
      <c r="E20" s="179" t="s">
        <v>140</v>
      </c>
      <c r="F20" s="179" t="s">
        <v>140</v>
      </c>
      <c r="G20" s="182">
        <v>1</v>
      </c>
      <c r="H20" s="182">
        <v>1700</v>
      </c>
      <c r="I20" s="183" t="s">
        <v>166</v>
      </c>
      <c r="J20" s="175">
        <v>0.60416666666666663</v>
      </c>
      <c r="K20" s="179" t="s">
        <v>27</v>
      </c>
      <c r="L20" s="178">
        <v>150</v>
      </c>
      <c r="M20" s="179" t="s">
        <v>1069</v>
      </c>
      <c r="N20" s="180">
        <f>H20*L20*J20</f>
        <v>154062.5</v>
      </c>
      <c r="O20" s="181"/>
      <c r="P20" s="181"/>
      <c r="Q20" s="175">
        <f>N20/$O$2</f>
        <v>15.455708266452648</v>
      </c>
      <c r="R20" s="190">
        <v>2</v>
      </c>
      <c r="S20" s="14" t="s">
        <v>549</v>
      </c>
      <c r="T20" s="14" t="s">
        <v>550</v>
      </c>
    </row>
    <row r="21" spans="1:40" ht="16.5" customHeight="1" x14ac:dyDescent="0.2">
      <c r="A21" s="181"/>
      <c r="B21" s="181"/>
      <c r="C21" s="181"/>
      <c r="D21" s="181"/>
      <c r="E21" s="181"/>
      <c r="F21" s="181"/>
      <c r="G21" s="181"/>
      <c r="H21" s="181"/>
      <c r="I21" s="181"/>
      <c r="J21" s="181"/>
      <c r="K21" s="181"/>
      <c r="L21" s="181"/>
      <c r="M21" s="181"/>
      <c r="N21" s="181"/>
      <c r="O21" s="181"/>
      <c r="P21" s="181"/>
      <c r="Q21" s="181"/>
      <c r="R21" s="181"/>
      <c r="S21" s="14" t="s">
        <v>270</v>
      </c>
      <c r="T21" s="14" t="s">
        <v>271</v>
      </c>
    </row>
    <row r="22" spans="1:40" ht="16.5" customHeight="1" x14ac:dyDescent="0.2">
      <c r="A22" s="181"/>
      <c r="B22" s="181"/>
      <c r="C22" s="181"/>
      <c r="D22" s="181"/>
      <c r="E22" s="181"/>
      <c r="F22" s="181"/>
      <c r="G22" s="181"/>
      <c r="H22" s="181"/>
      <c r="I22" s="181"/>
      <c r="J22" s="181"/>
      <c r="K22" s="181"/>
      <c r="L22" s="181"/>
      <c r="M22" s="181"/>
      <c r="N22" s="181"/>
      <c r="O22" s="181"/>
      <c r="P22" s="181"/>
      <c r="Q22" s="181"/>
      <c r="R22" s="181"/>
      <c r="S22" s="14" t="s">
        <v>552</v>
      </c>
      <c r="T22" s="14" t="s">
        <v>553</v>
      </c>
    </row>
    <row r="23" spans="1:40" ht="16.5" customHeight="1" x14ac:dyDescent="0.2">
      <c r="A23" s="181"/>
      <c r="B23" s="181"/>
      <c r="C23" s="181"/>
      <c r="D23" s="176"/>
      <c r="E23" s="176"/>
      <c r="F23" s="176"/>
      <c r="G23" s="181"/>
      <c r="H23" s="181"/>
      <c r="I23" s="181"/>
      <c r="J23" s="176"/>
      <c r="K23" s="176"/>
      <c r="L23" s="176"/>
      <c r="M23" s="176"/>
      <c r="N23" s="176"/>
      <c r="O23" s="181"/>
      <c r="P23" s="181"/>
      <c r="Q23" s="176"/>
      <c r="R23" s="176"/>
      <c r="S23" s="40" t="s">
        <v>262</v>
      </c>
      <c r="T23" s="14" t="s">
        <v>471</v>
      </c>
    </row>
    <row r="24" spans="1:40" ht="15" customHeight="1" x14ac:dyDescent="0.2">
      <c r="A24" s="181"/>
      <c r="B24" s="181"/>
      <c r="C24" s="176"/>
      <c r="D24" s="41" t="s">
        <v>154</v>
      </c>
      <c r="E24" s="41" t="s">
        <v>155</v>
      </c>
      <c r="F24" s="41" t="s">
        <v>156</v>
      </c>
      <c r="G24" s="176"/>
      <c r="H24" s="176"/>
      <c r="I24" s="176"/>
      <c r="J24" s="51" t="s">
        <v>27</v>
      </c>
      <c r="K24" s="41" t="s">
        <v>27</v>
      </c>
      <c r="L24" s="53">
        <v>1.9</v>
      </c>
      <c r="M24" s="14" t="s">
        <v>1077</v>
      </c>
      <c r="N24" s="54">
        <f>L24*H20</f>
        <v>3230</v>
      </c>
      <c r="O24" s="181"/>
      <c r="P24" s="181"/>
      <c r="Q24" s="57">
        <f t="shared" ref="Q24:Q35" si="1">N24/$O$2</f>
        <v>0.32403691813804175</v>
      </c>
      <c r="R24" s="62">
        <v>3</v>
      </c>
      <c r="S24" s="14" t="s">
        <v>280</v>
      </c>
      <c r="T24" s="14" t="s">
        <v>281</v>
      </c>
      <c r="U24" s="63"/>
      <c r="V24" s="63"/>
      <c r="W24" s="63"/>
      <c r="X24" s="63"/>
      <c r="Y24" s="63"/>
      <c r="Z24" s="63"/>
      <c r="AA24" s="63"/>
      <c r="AB24" s="63"/>
      <c r="AC24" s="63"/>
      <c r="AD24" s="63"/>
      <c r="AE24" s="63"/>
      <c r="AF24" s="63"/>
      <c r="AG24" s="63"/>
      <c r="AH24" s="63"/>
      <c r="AI24" s="63"/>
      <c r="AJ24" s="63"/>
      <c r="AK24" s="63"/>
      <c r="AL24" s="63"/>
    </row>
    <row r="25" spans="1:40" ht="15" customHeight="1" x14ac:dyDescent="0.2">
      <c r="A25" s="181"/>
      <c r="B25" s="181"/>
      <c r="C25" s="184" t="s">
        <v>252</v>
      </c>
      <c r="D25" s="50" t="s">
        <v>253</v>
      </c>
      <c r="E25" s="50" t="s">
        <v>140</v>
      </c>
      <c r="F25" s="50" t="s">
        <v>399</v>
      </c>
      <c r="G25" s="182">
        <v>1</v>
      </c>
      <c r="H25" s="182">
        <v>1900</v>
      </c>
      <c r="I25" s="183" t="s">
        <v>166</v>
      </c>
      <c r="J25" s="51">
        <v>0.66666666666666663</v>
      </c>
      <c r="K25" s="50" t="s">
        <v>27</v>
      </c>
      <c r="L25" s="53">
        <v>150</v>
      </c>
      <c r="M25" s="14" t="s">
        <v>1079</v>
      </c>
      <c r="N25" s="54">
        <f>L25*J25*H25</f>
        <v>190000</v>
      </c>
      <c r="O25" s="181"/>
      <c r="P25" s="181"/>
      <c r="Q25" s="57">
        <f t="shared" si="1"/>
        <v>19.060995184590691</v>
      </c>
      <c r="R25" s="71">
        <v>3</v>
      </c>
      <c r="S25" s="40" t="s">
        <v>259</v>
      </c>
      <c r="T25" s="14" t="s">
        <v>260</v>
      </c>
      <c r="U25" s="63"/>
      <c r="V25" s="63"/>
      <c r="W25" s="63"/>
      <c r="X25" s="63"/>
      <c r="Y25" s="63"/>
      <c r="Z25" s="63"/>
      <c r="AA25" s="63"/>
      <c r="AB25" s="63"/>
      <c r="AC25" s="63"/>
      <c r="AD25" s="63"/>
      <c r="AE25" s="63"/>
      <c r="AF25" s="63"/>
      <c r="AG25" s="63"/>
      <c r="AH25" s="63"/>
      <c r="AI25" s="63"/>
      <c r="AJ25" s="63"/>
      <c r="AK25" s="63"/>
      <c r="AL25" s="63"/>
    </row>
    <row r="26" spans="1:40" ht="15" customHeight="1" x14ac:dyDescent="0.2">
      <c r="A26" s="181"/>
      <c r="B26" s="181"/>
      <c r="C26" s="176"/>
      <c r="D26" s="50" t="s">
        <v>154</v>
      </c>
      <c r="E26" s="50" t="s">
        <v>155</v>
      </c>
      <c r="F26" s="50" t="s">
        <v>156</v>
      </c>
      <c r="G26" s="176"/>
      <c r="H26" s="176"/>
      <c r="I26" s="176"/>
      <c r="J26" s="51" t="s">
        <v>27</v>
      </c>
      <c r="K26" s="50" t="s">
        <v>27</v>
      </c>
      <c r="L26" s="53">
        <v>1.9</v>
      </c>
      <c r="M26" s="14" t="s">
        <v>1081</v>
      </c>
      <c r="N26" s="54">
        <f>L26*H25</f>
        <v>3610</v>
      </c>
      <c r="O26" s="181"/>
      <c r="P26" s="181"/>
      <c r="Q26" s="57">
        <f t="shared" si="1"/>
        <v>0.3621589085072231</v>
      </c>
      <c r="R26" s="71">
        <v>3</v>
      </c>
      <c r="S26" s="40" t="s">
        <v>262</v>
      </c>
      <c r="T26" s="14" t="s">
        <v>267</v>
      </c>
      <c r="U26" s="63"/>
      <c r="V26" s="63"/>
      <c r="W26" s="63"/>
      <c r="X26" s="63"/>
      <c r="Y26" s="63"/>
      <c r="Z26" s="63"/>
      <c r="AA26" s="63"/>
      <c r="AB26" s="63"/>
      <c r="AC26" s="63"/>
      <c r="AD26" s="63"/>
      <c r="AE26" s="63"/>
      <c r="AF26" s="63"/>
      <c r="AG26" s="63"/>
      <c r="AH26" s="63"/>
      <c r="AI26" s="63"/>
      <c r="AJ26" s="63"/>
      <c r="AK26" s="63"/>
      <c r="AL26" s="63"/>
    </row>
    <row r="27" spans="1:40" ht="15" customHeight="1" x14ac:dyDescent="0.2">
      <c r="A27" s="181"/>
      <c r="B27" s="181"/>
      <c r="C27" s="184" t="s">
        <v>268</v>
      </c>
      <c r="D27" s="50" t="s">
        <v>269</v>
      </c>
      <c r="E27" s="50" t="s">
        <v>155</v>
      </c>
      <c r="F27" s="50" t="s">
        <v>7</v>
      </c>
      <c r="G27" s="182">
        <v>1</v>
      </c>
      <c r="H27" s="182">
        <v>5700</v>
      </c>
      <c r="I27" s="183" t="s">
        <v>166</v>
      </c>
      <c r="J27" s="51">
        <v>5.0000000000000001E-3</v>
      </c>
      <c r="K27" s="50" t="s">
        <v>27</v>
      </c>
      <c r="L27" s="53">
        <v>480</v>
      </c>
      <c r="M27" s="14" t="s">
        <v>1082</v>
      </c>
      <c r="N27" s="54">
        <f>L27*J27*H27</f>
        <v>13680</v>
      </c>
      <c r="O27" s="181"/>
      <c r="P27" s="181"/>
      <c r="Q27" s="57">
        <f t="shared" si="1"/>
        <v>1.3723916532905296</v>
      </c>
      <c r="R27" s="71">
        <v>4</v>
      </c>
      <c r="S27" s="40" t="s">
        <v>275</v>
      </c>
      <c r="T27" s="14" t="s">
        <v>276</v>
      </c>
      <c r="U27" s="63"/>
      <c r="V27" s="63"/>
      <c r="W27" s="63"/>
      <c r="X27" s="63"/>
      <c r="Y27" s="63"/>
      <c r="Z27" s="63"/>
      <c r="AA27" s="63"/>
      <c r="AB27" s="63"/>
      <c r="AC27" s="63"/>
      <c r="AD27" s="63"/>
      <c r="AE27" s="63"/>
      <c r="AF27" s="63"/>
      <c r="AG27" s="63"/>
      <c r="AH27" s="63"/>
      <c r="AI27" s="63"/>
      <c r="AJ27" s="63"/>
      <c r="AK27" s="63"/>
      <c r="AL27" s="63"/>
    </row>
    <row r="28" spans="1:40" ht="15" customHeight="1" x14ac:dyDescent="0.2">
      <c r="A28" s="181"/>
      <c r="B28" s="181"/>
      <c r="C28" s="181"/>
      <c r="D28" s="50" t="s">
        <v>286</v>
      </c>
      <c r="E28" s="50" t="s">
        <v>287</v>
      </c>
      <c r="F28" s="50" t="s">
        <v>10</v>
      </c>
      <c r="G28" s="181"/>
      <c r="H28" s="181"/>
      <c r="I28" s="181"/>
      <c r="J28" s="51">
        <v>0.16666666666666666</v>
      </c>
      <c r="K28" s="50" t="s">
        <v>27</v>
      </c>
      <c r="L28" s="53">
        <v>2.5</v>
      </c>
      <c r="M28" s="14" t="s">
        <v>1083</v>
      </c>
      <c r="N28" s="54">
        <f>L28*J28*H27</f>
        <v>2375</v>
      </c>
      <c r="O28" s="181"/>
      <c r="P28" s="181"/>
      <c r="Q28" s="57">
        <f t="shared" si="1"/>
        <v>0.23826243980738362</v>
      </c>
      <c r="R28" s="71">
        <v>2</v>
      </c>
      <c r="S28" s="14" t="s">
        <v>291</v>
      </c>
      <c r="T28" s="14" t="s">
        <v>292</v>
      </c>
      <c r="U28" s="63"/>
      <c r="V28" s="63"/>
      <c r="W28" s="63"/>
      <c r="X28" s="63"/>
      <c r="Y28" s="63"/>
      <c r="Z28" s="63"/>
      <c r="AA28" s="63"/>
      <c r="AB28" s="63"/>
      <c r="AC28" s="63"/>
      <c r="AD28" s="63"/>
      <c r="AE28" s="63"/>
      <c r="AF28" s="63"/>
      <c r="AG28" s="63"/>
      <c r="AH28" s="63"/>
      <c r="AI28" s="63"/>
      <c r="AJ28" s="63"/>
      <c r="AK28" s="63"/>
      <c r="AL28" s="63"/>
    </row>
    <row r="29" spans="1:40" ht="15" customHeight="1" x14ac:dyDescent="0.2">
      <c r="A29" s="181"/>
      <c r="B29" s="181"/>
      <c r="C29" s="181"/>
      <c r="D29" s="50" t="s">
        <v>872</v>
      </c>
      <c r="E29" s="50" t="s">
        <v>279</v>
      </c>
      <c r="F29" s="50" t="s">
        <v>14</v>
      </c>
      <c r="G29" s="181"/>
      <c r="H29" s="181"/>
      <c r="I29" s="181"/>
      <c r="J29" s="51" t="s">
        <v>27</v>
      </c>
      <c r="K29" s="50" t="s">
        <v>27</v>
      </c>
      <c r="L29" s="53">
        <v>0.15</v>
      </c>
      <c r="M29" s="14" t="s">
        <v>1085</v>
      </c>
      <c r="N29" s="54">
        <f>L29*H27</f>
        <v>855</v>
      </c>
      <c r="O29" s="181"/>
      <c r="P29" s="181"/>
      <c r="Q29" s="57">
        <f t="shared" si="1"/>
        <v>8.5774478330658099E-2</v>
      </c>
      <c r="R29" s="71">
        <v>3</v>
      </c>
      <c r="S29" s="14" t="s">
        <v>283</v>
      </c>
      <c r="T29" s="14" t="s">
        <v>284</v>
      </c>
      <c r="U29" s="14"/>
      <c r="V29" s="14"/>
      <c r="W29" s="14"/>
      <c r="X29" s="14"/>
      <c r="Y29" s="38"/>
      <c r="Z29" s="14"/>
      <c r="AA29" s="14"/>
      <c r="AB29" s="14"/>
      <c r="AC29" s="14"/>
      <c r="AD29" s="60"/>
      <c r="AE29" s="61"/>
      <c r="AF29" s="61"/>
      <c r="AG29" s="61"/>
      <c r="AH29" s="61"/>
      <c r="AI29" s="61"/>
      <c r="AJ29" s="61"/>
      <c r="AK29" s="61"/>
      <c r="AL29" s="61"/>
      <c r="AM29" s="85"/>
      <c r="AN29" s="85"/>
    </row>
    <row r="30" spans="1:40" ht="15" customHeight="1" x14ac:dyDescent="0.2">
      <c r="A30" s="181"/>
      <c r="B30" s="181"/>
      <c r="C30" s="176"/>
      <c r="D30" s="50" t="s">
        <v>293</v>
      </c>
      <c r="E30" s="50" t="s">
        <v>294</v>
      </c>
      <c r="F30" s="50" t="s">
        <v>12</v>
      </c>
      <c r="G30" s="176"/>
      <c r="H30" s="176"/>
      <c r="I30" s="176"/>
      <c r="J30" s="51">
        <v>4.1666666666666664E-2</v>
      </c>
      <c r="K30" s="50" t="s">
        <v>27</v>
      </c>
      <c r="L30" s="53">
        <v>50</v>
      </c>
      <c r="M30" s="14" t="s">
        <v>1087</v>
      </c>
      <c r="N30" s="54">
        <f>L30*J30*H27</f>
        <v>11874.999999999998</v>
      </c>
      <c r="O30" s="181"/>
      <c r="P30" s="181"/>
      <c r="Q30" s="57">
        <f t="shared" si="1"/>
        <v>1.191312199036918</v>
      </c>
      <c r="R30" s="71">
        <v>3</v>
      </c>
      <c r="S30" s="40" t="s">
        <v>296</v>
      </c>
      <c r="T30" s="14" t="s">
        <v>297</v>
      </c>
      <c r="U30" s="63"/>
      <c r="V30" s="63"/>
      <c r="W30" s="63"/>
      <c r="X30" s="63"/>
      <c r="Y30" s="63"/>
      <c r="Z30" s="63"/>
      <c r="AA30" s="63"/>
      <c r="AB30" s="63"/>
      <c r="AC30" s="63"/>
      <c r="AD30" s="63"/>
      <c r="AE30" s="63"/>
      <c r="AF30" s="63"/>
      <c r="AG30" s="63"/>
      <c r="AH30" s="63"/>
      <c r="AI30" s="63"/>
      <c r="AJ30" s="63"/>
      <c r="AK30" s="63"/>
      <c r="AL30" s="63"/>
    </row>
    <row r="31" spans="1:40" ht="14.25" customHeight="1" x14ac:dyDescent="0.2">
      <c r="A31" s="181"/>
      <c r="B31" s="181"/>
      <c r="C31" s="184" t="s">
        <v>637</v>
      </c>
      <c r="D31" s="14" t="s">
        <v>638</v>
      </c>
      <c r="E31" s="14" t="s">
        <v>16</v>
      </c>
      <c r="F31" s="14" t="s">
        <v>16</v>
      </c>
      <c r="G31" s="182">
        <v>1</v>
      </c>
      <c r="H31" s="182">
        <v>8560</v>
      </c>
      <c r="I31" s="183" t="s">
        <v>166</v>
      </c>
      <c r="J31" s="100">
        <v>3.6458333333333336E-2</v>
      </c>
      <c r="K31" s="101" t="s">
        <v>27</v>
      </c>
      <c r="L31" s="14">
        <v>4.0999999999999996</v>
      </c>
      <c r="M31" s="14" t="s">
        <v>1091</v>
      </c>
      <c r="N31" s="38">
        <f>L31*H31</f>
        <v>35096</v>
      </c>
      <c r="O31" s="181"/>
      <c r="P31" s="181"/>
      <c r="Q31" s="19">
        <f t="shared" si="1"/>
        <v>3.5208667736757624</v>
      </c>
      <c r="R31" s="48">
        <v>3</v>
      </c>
      <c r="S31" s="40" t="s">
        <v>640</v>
      </c>
      <c r="T31" s="14" t="s">
        <v>641</v>
      </c>
    </row>
    <row r="32" spans="1:40" ht="14.25" customHeight="1" x14ac:dyDescent="0.2">
      <c r="A32" s="181"/>
      <c r="B32" s="181"/>
      <c r="C32" s="181"/>
      <c r="D32" s="41" t="s">
        <v>286</v>
      </c>
      <c r="E32" s="41" t="s">
        <v>287</v>
      </c>
      <c r="F32" s="50" t="s">
        <v>10</v>
      </c>
      <c r="G32" s="181"/>
      <c r="H32" s="181"/>
      <c r="I32" s="181"/>
      <c r="J32" s="91">
        <v>0.16666666666666666</v>
      </c>
      <c r="K32" s="41" t="s">
        <v>27</v>
      </c>
      <c r="L32" s="41">
        <v>2.5</v>
      </c>
      <c r="M32" s="41" t="s">
        <v>1093</v>
      </c>
      <c r="N32" s="96">
        <f>H31*J32*L32</f>
        <v>3566.6666666666661</v>
      </c>
      <c r="O32" s="181"/>
      <c r="P32" s="181"/>
      <c r="Q32" s="91">
        <f t="shared" si="1"/>
        <v>0.35781166399143921</v>
      </c>
      <c r="R32" s="102">
        <v>2</v>
      </c>
      <c r="S32" s="14" t="s">
        <v>291</v>
      </c>
      <c r="T32" s="14" t="s">
        <v>292</v>
      </c>
    </row>
    <row r="33" spans="1:40" ht="15" customHeight="1" x14ac:dyDescent="0.2">
      <c r="A33" s="181"/>
      <c r="B33" s="181"/>
      <c r="C33" s="181"/>
      <c r="D33" s="50" t="s">
        <v>872</v>
      </c>
      <c r="E33" s="50" t="s">
        <v>279</v>
      </c>
      <c r="F33" s="50" t="s">
        <v>14</v>
      </c>
      <c r="G33" s="181"/>
      <c r="H33" s="181"/>
      <c r="I33" s="181"/>
      <c r="J33" s="51" t="s">
        <v>27</v>
      </c>
      <c r="K33" s="50" t="s">
        <v>27</v>
      </c>
      <c r="L33" s="53">
        <v>0.15</v>
      </c>
      <c r="M33" s="14" t="s">
        <v>1095</v>
      </c>
      <c r="N33" s="54">
        <f>L33*H31</f>
        <v>1284</v>
      </c>
      <c r="O33" s="181"/>
      <c r="P33" s="181"/>
      <c r="Q33" s="57">
        <f t="shared" si="1"/>
        <v>0.12881219903691815</v>
      </c>
      <c r="R33" s="71">
        <v>3</v>
      </c>
      <c r="S33" s="14" t="s">
        <v>283</v>
      </c>
      <c r="T33" s="14" t="s">
        <v>284</v>
      </c>
      <c r="U33" s="14"/>
      <c r="V33" s="14"/>
      <c r="W33" s="14"/>
      <c r="X33" s="14"/>
      <c r="Y33" s="38"/>
      <c r="Z33" s="14"/>
      <c r="AA33" s="14"/>
      <c r="AB33" s="14"/>
      <c r="AC33" s="14"/>
      <c r="AD33" s="60"/>
      <c r="AE33" s="61"/>
      <c r="AF33" s="61"/>
      <c r="AG33" s="61"/>
      <c r="AH33" s="61"/>
      <c r="AI33" s="61"/>
      <c r="AJ33" s="61"/>
      <c r="AK33" s="61"/>
      <c r="AL33" s="61"/>
      <c r="AM33" s="85"/>
      <c r="AN33" s="85"/>
    </row>
    <row r="34" spans="1:40" ht="14.25" customHeight="1" x14ac:dyDescent="0.2">
      <c r="A34" s="181"/>
      <c r="B34" s="176"/>
      <c r="C34" s="176"/>
      <c r="D34" s="41" t="s">
        <v>293</v>
      </c>
      <c r="E34" s="41" t="s">
        <v>294</v>
      </c>
      <c r="F34" s="50" t="s">
        <v>12</v>
      </c>
      <c r="G34" s="176"/>
      <c r="H34" s="176"/>
      <c r="I34" s="176"/>
      <c r="J34" s="91">
        <v>4.1666666666666664E-2</v>
      </c>
      <c r="K34" s="41" t="s">
        <v>27</v>
      </c>
      <c r="L34" s="41">
        <v>50</v>
      </c>
      <c r="M34" s="41" t="s">
        <v>1098</v>
      </c>
      <c r="N34" s="96">
        <f>L34*J34*H31</f>
        <v>17833.333333333332</v>
      </c>
      <c r="O34" s="181"/>
      <c r="P34" s="181"/>
      <c r="Q34" s="91">
        <f t="shared" si="1"/>
        <v>1.7890583199571963</v>
      </c>
      <c r="R34" s="102">
        <v>3</v>
      </c>
      <c r="S34" s="40" t="s">
        <v>296</v>
      </c>
      <c r="T34" s="14" t="s">
        <v>297</v>
      </c>
    </row>
    <row r="35" spans="1:40" ht="14.25" customHeight="1" x14ac:dyDescent="0.2">
      <c r="A35" s="181"/>
      <c r="B35" s="184" t="s">
        <v>299</v>
      </c>
      <c r="C35" s="183" t="s">
        <v>300</v>
      </c>
      <c r="D35" s="179" t="s">
        <v>301</v>
      </c>
      <c r="E35" s="179" t="s">
        <v>27</v>
      </c>
      <c r="F35" s="179" t="s">
        <v>27</v>
      </c>
      <c r="G35" s="182">
        <v>9</v>
      </c>
      <c r="H35" s="178">
        <v>21</v>
      </c>
      <c r="I35" s="179" t="s">
        <v>166</v>
      </c>
      <c r="J35" s="175" t="s">
        <v>27</v>
      </c>
      <c r="K35" s="179" t="s">
        <v>27</v>
      </c>
      <c r="L35" s="178" t="s">
        <v>27</v>
      </c>
      <c r="M35" s="179" t="s">
        <v>304</v>
      </c>
      <c r="N35" s="180">
        <f>H35*G35</f>
        <v>189</v>
      </c>
      <c r="O35" s="181"/>
      <c r="P35" s="181"/>
      <c r="Q35" s="175">
        <f t="shared" si="1"/>
        <v>1.8960674157303372E-2</v>
      </c>
      <c r="R35" s="191">
        <v>4</v>
      </c>
      <c r="S35" s="14" t="s">
        <v>1102</v>
      </c>
      <c r="T35" s="14" t="s">
        <v>1103</v>
      </c>
    </row>
    <row r="36" spans="1:40" ht="14.25" customHeight="1" x14ac:dyDescent="0.2">
      <c r="A36" s="181"/>
      <c r="B36" s="176"/>
      <c r="C36" s="176"/>
      <c r="D36" s="176"/>
      <c r="E36" s="176"/>
      <c r="F36" s="176"/>
      <c r="G36" s="176"/>
      <c r="H36" s="176"/>
      <c r="I36" s="176"/>
      <c r="J36" s="176"/>
      <c r="K36" s="176"/>
      <c r="L36" s="176"/>
      <c r="M36" s="176"/>
      <c r="N36" s="176"/>
      <c r="O36" s="181"/>
      <c r="P36" s="181"/>
      <c r="Q36" s="176"/>
      <c r="R36" s="176"/>
      <c r="S36" s="40" t="s">
        <v>1104</v>
      </c>
      <c r="T36" s="14" t="s">
        <v>1105</v>
      </c>
    </row>
    <row r="37" spans="1:40" ht="16.5" customHeight="1" x14ac:dyDescent="0.2">
      <c r="A37" s="181"/>
      <c r="B37" s="183" t="s">
        <v>310</v>
      </c>
      <c r="C37" s="183" t="s">
        <v>312</v>
      </c>
      <c r="D37" s="179" t="s">
        <v>301</v>
      </c>
      <c r="E37" s="179" t="s">
        <v>27</v>
      </c>
      <c r="F37" s="179" t="s">
        <v>27</v>
      </c>
      <c r="G37" s="182">
        <v>6</v>
      </c>
      <c r="H37" s="178">
        <v>270</v>
      </c>
      <c r="I37" s="179" t="s">
        <v>166</v>
      </c>
      <c r="J37" s="175" t="s">
        <v>27</v>
      </c>
      <c r="K37" s="179" t="s">
        <v>27</v>
      </c>
      <c r="L37" s="178" t="s">
        <v>27</v>
      </c>
      <c r="M37" s="179" t="s">
        <v>1106</v>
      </c>
      <c r="N37" s="180">
        <f>H37*G37</f>
        <v>1620</v>
      </c>
      <c r="O37" s="181"/>
      <c r="P37" s="181"/>
      <c r="Q37" s="175">
        <f>N37/$O$2</f>
        <v>0.16252006420545748</v>
      </c>
      <c r="R37" s="190">
        <v>2</v>
      </c>
      <c r="S37" s="14" t="s">
        <v>1107</v>
      </c>
      <c r="T37" s="14"/>
    </row>
    <row r="38" spans="1:40" ht="14.25" customHeight="1" x14ac:dyDescent="0.2">
      <c r="A38" s="181"/>
      <c r="B38" s="176"/>
      <c r="C38" s="176"/>
      <c r="D38" s="176"/>
      <c r="E38" s="176"/>
      <c r="F38" s="176"/>
      <c r="G38" s="176"/>
      <c r="H38" s="176"/>
      <c r="I38" s="176"/>
      <c r="J38" s="176"/>
      <c r="K38" s="176"/>
      <c r="L38" s="176"/>
      <c r="M38" s="176"/>
      <c r="N38" s="176"/>
      <c r="O38" s="181"/>
      <c r="P38" s="181"/>
      <c r="Q38" s="176"/>
      <c r="R38" s="176"/>
      <c r="S38" s="14" t="s">
        <v>1108</v>
      </c>
      <c r="T38" s="14"/>
    </row>
    <row r="39" spans="1:40" ht="14.25" customHeight="1" x14ac:dyDescent="0.2">
      <c r="A39" s="181"/>
      <c r="B39" s="183" t="s">
        <v>417</v>
      </c>
      <c r="C39" s="183" t="s">
        <v>418</v>
      </c>
      <c r="D39" s="179" t="s">
        <v>419</v>
      </c>
      <c r="E39" s="179" t="s">
        <v>155</v>
      </c>
      <c r="F39" s="179" t="s">
        <v>7</v>
      </c>
      <c r="G39" s="182">
        <v>7</v>
      </c>
      <c r="H39" s="178">
        <v>21</v>
      </c>
      <c r="I39" s="179" t="s">
        <v>142</v>
      </c>
      <c r="J39" s="175" t="s">
        <v>27</v>
      </c>
      <c r="K39" s="179" t="s">
        <v>27</v>
      </c>
      <c r="L39" s="178">
        <v>2.75</v>
      </c>
      <c r="M39" s="179" t="s">
        <v>180</v>
      </c>
      <c r="N39" s="180">
        <f>L39*H39*G39</f>
        <v>404.25</v>
      </c>
      <c r="O39" s="181"/>
      <c r="P39" s="181"/>
      <c r="Q39" s="175">
        <f>N39/$O$2</f>
        <v>4.0554775280898875E-2</v>
      </c>
      <c r="R39" s="190">
        <v>3</v>
      </c>
      <c r="S39" s="40" t="s">
        <v>424</v>
      </c>
      <c r="T39" s="14" t="s">
        <v>426</v>
      </c>
    </row>
    <row r="40" spans="1:40" ht="14.25" customHeight="1" x14ac:dyDescent="0.2">
      <c r="A40" s="181"/>
      <c r="B40" s="181"/>
      <c r="C40" s="181"/>
      <c r="D40" s="176"/>
      <c r="E40" s="176"/>
      <c r="F40" s="176"/>
      <c r="G40" s="181"/>
      <c r="H40" s="176"/>
      <c r="I40" s="176"/>
      <c r="J40" s="176"/>
      <c r="K40" s="176"/>
      <c r="L40" s="176"/>
      <c r="M40" s="176"/>
      <c r="N40" s="176"/>
      <c r="O40" s="181"/>
      <c r="P40" s="181"/>
      <c r="Q40" s="176"/>
      <c r="R40" s="176"/>
      <c r="S40" s="14" t="s">
        <v>925</v>
      </c>
      <c r="T40" s="14" t="s">
        <v>1109</v>
      </c>
    </row>
    <row r="41" spans="1:40" ht="14.25" customHeight="1" x14ac:dyDescent="0.2">
      <c r="A41" s="181"/>
      <c r="B41" s="181"/>
      <c r="C41" s="181"/>
      <c r="D41" s="179" t="s">
        <v>433</v>
      </c>
      <c r="E41" s="179" t="s">
        <v>434</v>
      </c>
      <c r="F41" s="179" t="s">
        <v>435</v>
      </c>
      <c r="G41" s="181"/>
      <c r="H41" s="178">
        <v>25</v>
      </c>
      <c r="I41" s="179" t="s">
        <v>166</v>
      </c>
      <c r="J41" s="175">
        <v>2.0833333333333332E-2</v>
      </c>
      <c r="K41" s="193" t="s">
        <v>27</v>
      </c>
      <c r="L41" s="194">
        <v>158</v>
      </c>
      <c r="M41" s="193" t="s">
        <v>1110</v>
      </c>
      <c r="N41" s="180">
        <f>L41*J41*H41*G39*2</f>
        <v>1152.0833333333333</v>
      </c>
      <c r="O41" s="181"/>
      <c r="P41" s="181"/>
      <c r="Q41" s="175">
        <f>N41/$O$2</f>
        <v>0.11557818352059925</v>
      </c>
      <c r="R41" s="190">
        <v>3</v>
      </c>
      <c r="S41" s="14" t="s">
        <v>439</v>
      </c>
      <c r="T41" s="14" t="s">
        <v>440</v>
      </c>
    </row>
    <row r="42" spans="1:40" ht="14.25" customHeight="1" x14ac:dyDescent="0.2">
      <c r="A42" s="181"/>
      <c r="B42" s="181"/>
      <c r="C42" s="181"/>
      <c r="D42" s="181"/>
      <c r="E42" s="181"/>
      <c r="F42" s="181"/>
      <c r="G42" s="181"/>
      <c r="H42" s="181"/>
      <c r="I42" s="181"/>
      <c r="J42" s="181"/>
      <c r="K42" s="181"/>
      <c r="L42" s="181"/>
      <c r="M42" s="181"/>
      <c r="N42" s="181"/>
      <c r="O42" s="181"/>
      <c r="P42" s="181"/>
      <c r="Q42" s="181"/>
      <c r="R42" s="181"/>
      <c r="S42" s="14" t="s">
        <v>443</v>
      </c>
      <c r="T42" s="14" t="s">
        <v>444</v>
      </c>
    </row>
    <row r="43" spans="1:40" ht="14.25" customHeight="1" x14ac:dyDescent="0.2">
      <c r="A43" s="181"/>
      <c r="B43" s="181"/>
      <c r="C43" s="181"/>
      <c r="D43" s="181"/>
      <c r="E43" s="181"/>
      <c r="F43" s="181"/>
      <c r="G43" s="181"/>
      <c r="H43" s="181"/>
      <c r="I43" s="181"/>
      <c r="J43" s="181"/>
      <c r="K43" s="181"/>
      <c r="L43" s="181"/>
      <c r="M43" s="181"/>
      <c r="N43" s="181"/>
      <c r="O43" s="181"/>
      <c r="P43" s="181"/>
      <c r="Q43" s="181"/>
      <c r="R43" s="181"/>
      <c r="S43" s="14" t="s">
        <v>451</v>
      </c>
      <c r="T43" s="14" t="s">
        <v>452</v>
      </c>
    </row>
    <row r="44" spans="1:40" ht="14.25" customHeight="1" x14ac:dyDescent="0.2">
      <c r="A44" s="181"/>
      <c r="B44" s="181"/>
      <c r="C44" s="181"/>
      <c r="D44" s="181"/>
      <c r="E44" s="181"/>
      <c r="F44" s="181"/>
      <c r="G44" s="181"/>
      <c r="H44" s="181"/>
      <c r="I44" s="181"/>
      <c r="J44" s="181"/>
      <c r="K44" s="181"/>
      <c r="L44" s="181"/>
      <c r="M44" s="181"/>
      <c r="N44" s="181"/>
      <c r="O44" s="181"/>
      <c r="P44" s="181"/>
      <c r="Q44" s="181"/>
      <c r="R44" s="181"/>
      <c r="S44" s="14"/>
      <c r="T44" s="85" t="s">
        <v>454</v>
      </c>
    </row>
    <row r="45" spans="1:40" ht="14.25" customHeight="1" x14ac:dyDescent="0.2">
      <c r="A45" s="181"/>
      <c r="B45" s="181"/>
      <c r="C45" s="181"/>
      <c r="D45" s="181"/>
      <c r="E45" s="176"/>
      <c r="F45" s="176"/>
      <c r="G45" s="181"/>
      <c r="H45" s="181"/>
      <c r="I45" s="181"/>
      <c r="J45" s="176"/>
      <c r="K45" s="176"/>
      <c r="L45" s="176"/>
      <c r="M45" s="176"/>
      <c r="N45" s="176"/>
      <c r="O45" s="181"/>
      <c r="P45" s="181"/>
      <c r="Q45" s="176"/>
      <c r="R45" s="176"/>
      <c r="S45" s="40" t="s">
        <v>447</v>
      </c>
      <c r="T45" s="14" t="s">
        <v>449</v>
      </c>
    </row>
    <row r="46" spans="1:40" ht="14.25" customHeight="1" x14ac:dyDescent="0.2">
      <c r="A46" s="181"/>
      <c r="B46" s="176"/>
      <c r="C46" s="176"/>
      <c r="D46" s="176"/>
      <c r="E46" s="14" t="s">
        <v>287</v>
      </c>
      <c r="F46" s="14" t="s">
        <v>19</v>
      </c>
      <c r="G46" s="176"/>
      <c r="H46" s="176"/>
      <c r="I46" s="176"/>
      <c r="J46" s="51">
        <v>2.5000000000000001E-3</v>
      </c>
      <c r="K46" s="50" t="s">
        <v>27</v>
      </c>
      <c r="L46" s="53">
        <v>0.17</v>
      </c>
      <c r="M46" s="14" t="s">
        <v>1113</v>
      </c>
      <c r="N46" s="54">
        <f>L46*H41*G39*2</f>
        <v>59.5</v>
      </c>
      <c r="O46" s="181"/>
      <c r="P46" s="181"/>
      <c r="Q46" s="51">
        <f t="shared" ref="Q46:Q47" si="2">N46/$O$2</f>
        <v>5.9691011235955055E-3</v>
      </c>
      <c r="R46" s="62">
        <v>3</v>
      </c>
      <c r="S46" s="40" t="s">
        <v>460</v>
      </c>
      <c r="T46" s="14" t="s">
        <v>461</v>
      </c>
    </row>
    <row r="47" spans="1:40" ht="14.25" customHeight="1" x14ac:dyDescent="0.2">
      <c r="A47" s="181"/>
      <c r="B47" s="183" t="s">
        <v>321</v>
      </c>
      <c r="C47" s="184" t="s">
        <v>715</v>
      </c>
      <c r="D47" s="179" t="s">
        <v>323</v>
      </c>
      <c r="E47" s="179" t="s">
        <v>13</v>
      </c>
      <c r="F47" s="179" t="s">
        <v>13</v>
      </c>
      <c r="G47" s="182">
        <v>1</v>
      </c>
      <c r="H47" s="182">
        <v>11500</v>
      </c>
      <c r="I47" s="183" t="s">
        <v>166</v>
      </c>
      <c r="J47" s="175">
        <v>4.1666666666666666E-3</v>
      </c>
      <c r="K47" s="179" t="s">
        <v>27</v>
      </c>
      <c r="L47" s="178">
        <v>0.56899999999999995</v>
      </c>
      <c r="M47" s="179" t="s">
        <v>1117</v>
      </c>
      <c r="N47" s="180">
        <f>H47*L47</f>
        <v>6543.4999999999991</v>
      </c>
      <c r="O47" s="181"/>
      <c r="P47" s="181"/>
      <c r="Q47" s="175">
        <f t="shared" si="2"/>
        <v>0.6564506420545746</v>
      </c>
      <c r="R47" s="192">
        <v>3</v>
      </c>
      <c r="S47" s="14" t="s">
        <v>325</v>
      </c>
      <c r="T47" s="14" t="s">
        <v>326</v>
      </c>
    </row>
    <row r="48" spans="1:40" ht="14.25" customHeight="1" x14ac:dyDescent="0.2">
      <c r="A48" s="181"/>
      <c r="B48" s="181"/>
      <c r="C48" s="181"/>
      <c r="D48" s="181"/>
      <c r="E48" s="181"/>
      <c r="F48" s="181"/>
      <c r="G48" s="181"/>
      <c r="H48" s="181"/>
      <c r="I48" s="181"/>
      <c r="J48" s="181"/>
      <c r="K48" s="181"/>
      <c r="L48" s="181"/>
      <c r="M48" s="181"/>
      <c r="N48" s="181"/>
      <c r="O48" s="181"/>
      <c r="P48" s="181"/>
      <c r="Q48" s="181"/>
      <c r="R48" s="181"/>
      <c r="S48" s="14" t="s">
        <v>327</v>
      </c>
      <c r="T48" s="14" t="s">
        <v>328</v>
      </c>
    </row>
    <row r="49" spans="1:20" ht="14.25" customHeight="1" x14ac:dyDescent="0.2">
      <c r="A49" s="181"/>
      <c r="B49" s="181"/>
      <c r="C49" s="181"/>
      <c r="D49" s="176"/>
      <c r="E49" s="176"/>
      <c r="F49" s="176"/>
      <c r="G49" s="176"/>
      <c r="H49" s="181"/>
      <c r="I49" s="181"/>
      <c r="J49" s="176"/>
      <c r="K49" s="176"/>
      <c r="L49" s="176"/>
      <c r="M49" s="176"/>
      <c r="N49" s="176"/>
      <c r="O49" s="181"/>
      <c r="P49" s="181"/>
      <c r="Q49" s="176"/>
      <c r="R49" s="176"/>
      <c r="S49" s="14" t="s">
        <v>723</v>
      </c>
      <c r="T49" s="14" t="s">
        <v>724</v>
      </c>
    </row>
    <row r="50" spans="1:20" ht="14.25" customHeight="1" x14ac:dyDescent="0.2">
      <c r="A50" s="181"/>
      <c r="B50" s="181"/>
      <c r="C50" s="181"/>
      <c r="D50" s="179" t="s">
        <v>331</v>
      </c>
      <c r="E50" s="179" t="s">
        <v>279</v>
      </c>
      <c r="F50" s="179" t="s">
        <v>15</v>
      </c>
      <c r="G50" s="178">
        <v>1</v>
      </c>
      <c r="H50" s="181"/>
      <c r="I50" s="181"/>
      <c r="J50" s="175" t="s">
        <v>27</v>
      </c>
      <c r="K50" s="179" t="s">
        <v>27</v>
      </c>
      <c r="L50" s="178">
        <v>0.215</v>
      </c>
      <c r="M50" s="179" t="s">
        <v>1122</v>
      </c>
      <c r="N50" s="180">
        <f>H47*L50</f>
        <v>2472.5</v>
      </c>
      <c r="O50" s="181"/>
      <c r="P50" s="181"/>
      <c r="Q50" s="175">
        <f>N50/$O$2</f>
        <v>0.24804373996789728</v>
      </c>
      <c r="R50" s="191">
        <v>2</v>
      </c>
      <c r="S50" s="14" t="s">
        <v>530</v>
      </c>
      <c r="T50" s="14" t="s">
        <v>336</v>
      </c>
    </row>
    <row r="51" spans="1:20" ht="14.25" customHeight="1" x14ac:dyDescent="0.2">
      <c r="A51" s="181"/>
      <c r="B51" s="181"/>
      <c r="C51" s="181"/>
      <c r="D51" s="176"/>
      <c r="E51" s="176"/>
      <c r="F51" s="176"/>
      <c r="G51" s="176"/>
      <c r="H51" s="181"/>
      <c r="I51" s="181"/>
      <c r="J51" s="176"/>
      <c r="K51" s="176"/>
      <c r="L51" s="176"/>
      <c r="M51" s="176"/>
      <c r="N51" s="176"/>
      <c r="O51" s="181"/>
      <c r="P51" s="181"/>
      <c r="Q51" s="176"/>
      <c r="R51" s="176"/>
      <c r="S51" s="14" t="s">
        <v>728</v>
      </c>
      <c r="T51" s="14" t="s">
        <v>729</v>
      </c>
    </row>
    <row r="52" spans="1:20" ht="15" customHeight="1" x14ac:dyDescent="0.2">
      <c r="A52" s="181"/>
      <c r="B52" s="181"/>
      <c r="C52" s="181"/>
      <c r="D52" s="179" t="s">
        <v>5</v>
      </c>
      <c r="E52" s="179" t="s">
        <v>92</v>
      </c>
      <c r="F52" s="179" t="s">
        <v>5</v>
      </c>
      <c r="G52" s="178">
        <v>1</v>
      </c>
      <c r="H52" s="181"/>
      <c r="I52" s="181"/>
      <c r="J52" s="175">
        <v>5.2083333333333336E-2</v>
      </c>
      <c r="K52" s="179" t="s">
        <v>27</v>
      </c>
      <c r="L52" s="178">
        <v>1.56</v>
      </c>
      <c r="M52" s="179" t="s">
        <v>1127</v>
      </c>
      <c r="N52" s="180">
        <f>L52*H47</f>
        <v>17940</v>
      </c>
      <c r="O52" s="181"/>
      <c r="P52" s="181"/>
      <c r="Q52" s="175">
        <f>N52/$O$2</f>
        <v>1.7997592295345104</v>
      </c>
      <c r="R52" s="191">
        <v>2</v>
      </c>
      <c r="S52" s="14" t="s">
        <v>736</v>
      </c>
      <c r="T52" s="14" t="s">
        <v>339</v>
      </c>
    </row>
    <row r="53" spans="1:20" ht="14.25" customHeight="1" x14ac:dyDescent="0.2">
      <c r="A53" s="181"/>
      <c r="B53" s="181"/>
      <c r="C53" s="181"/>
      <c r="D53" s="176"/>
      <c r="E53" s="176"/>
      <c r="F53" s="176"/>
      <c r="G53" s="176"/>
      <c r="H53" s="181"/>
      <c r="I53" s="181"/>
      <c r="J53" s="176"/>
      <c r="K53" s="176"/>
      <c r="L53" s="176"/>
      <c r="M53" s="176"/>
      <c r="N53" s="176"/>
      <c r="O53" s="181"/>
      <c r="P53" s="181"/>
      <c r="Q53" s="176"/>
      <c r="R53" s="176"/>
      <c r="S53" s="14" t="s">
        <v>738</v>
      </c>
      <c r="T53" s="14" t="s">
        <v>341</v>
      </c>
    </row>
    <row r="54" spans="1:20" ht="17.25" customHeight="1" x14ac:dyDescent="0.2">
      <c r="A54" s="181"/>
      <c r="B54" s="181"/>
      <c r="C54" s="181"/>
      <c r="D54" s="179" t="s">
        <v>286</v>
      </c>
      <c r="E54" s="179" t="s">
        <v>287</v>
      </c>
      <c r="F54" s="179" t="s">
        <v>10</v>
      </c>
      <c r="G54" s="182">
        <v>2</v>
      </c>
      <c r="H54" s="181"/>
      <c r="I54" s="181"/>
      <c r="J54" s="175">
        <v>0.125</v>
      </c>
      <c r="K54" s="179" t="s">
        <v>27</v>
      </c>
      <c r="L54" s="178">
        <v>2.5</v>
      </c>
      <c r="M54" s="179" t="s">
        <v>1135</v>
      </c>
      <c r="N54" s="180">
        <f>G54*H47*J54*L54</f>
        <v>7187.5</v>
      </c>
      <c r="O54" s="181"/>
      <c r="P54" s="181"/>
      <c r="Q54" s="175">
        <f>N54/$O$2</f>
        <v>0.72105738362760829</v>
      </c>
      <c r="R54" s="191">
        <v>3</v>
      </c>
      <c r="S54" s="14" t="s">
        <v>343</v>
      </c>
      <c r="T54" s="14" t="s">
        <v>344</v>
      </c>
    </row>
    <row r="55" spans="1:20" ht="14.25" customHeight="1" x14ac:dyDescent="0.2">
      <c r="A55" s="181"/>
      <c r="B55" s="181"/>
      <c r="C55" s="181"/>
      <c r="D55" s="181"/>
      <c r="E55" s="181"/>
      <c r="F55" s="181"/>
      <c r="G55" s="181"/>
      <c r="H55" s="181"/>
      <c r="I55" s="181"/>
      <c r="J55" s="181"/>
      <c r="K55" s="181"/>
      <c r="L55" s="181"/>
      <c r="M55" s="181"/>
      <c r="N55" s="181"/>
      <c r="O55" s="181"/>
      <c r="P55" s="181"/>
      <c r="Q55" s="181"/>
      <c r="R55" s="181"/>
      <c r="S55" s="97" t="s">
        <v>345</v>
      </c>
      <c r="T55" s="44" t="s">
        <v>346</v>
      </c>
    </row>
    <row r="56" spans="1:20" ht="14.25" customHeight="1" x14ac:dyDescent="0.2">
      <c r="A56" s="181"/>
      <c r="B56" s="181"/>
      <c r="C56" s="181"/>
      <c r="D56" s="181"/>
      <c r="E56" s="181"/>
      <c r="F56" s="181"/>
      <c r="G56" s="181"/>
      <c r="H56" s="181"/>
      <c r="I56" s="181"/>
      <c r="J56" s="181"/>
      <c r="K56" s="181"/>
      <c r="L56" s="181"/>
      <c r="M56" s="181"/>
      <c r="N56" s="181"/>
      <c r="O56" s="181"/>
      <c r="P56" s="181"/>
      <c r="Q56" s="181"/>
      <c r="R56" s="181"/>
      <c r="S56" s="14" t="s">
        <v>347</v>
      </c>
      <c r="T56" s="14" t="s">
        <v>348</v>
      </c>
    </row>
    <row r="57" spans="1:20" ht="14.25" customHeight="1" x14ac:dyDescent="0.2">
      <c r="A57" s="181"/>
      <c r="B57" s="181"/>
      <c r="C57" s="176"/>
      <c r="D57" s="176"/>
      <c r="E57" s="176"/>
      <c r="F57" s="176"/>
      <c r="G57" s="176"/>
      <c r="H57" s="176"/>
      <c r="I57" s="176"/>
      <c r="J57" s="176"/>
      <c r="K57" s="176"/>
      <c r="L57" s="176"/>
      <c r="M57" s="176"/>
      <c r="N57" s="176"/>
      <c r="O57" s="181"/>
      <c r="P57" s="181"/>
      <c r="Q57" s="176"/>
      <c r="R57" s="176"/>
      <c r="S57" s="14" t="s">
        <v>349</v>
      </c>
      <c r="T57" s="14" t="s">
        <v>350</v>
      </c>
    </row>
    <row r="58" spans="1:20" ht="17.25" customHeight="1" x14ac:dyDescent="0.2">
      <c r="A58" s="181"/>
      <c r="B58" s="181"/>
      <c r="C58" s="184" t="s">
        <v>1144</v>
      </c>
      <c r="D58" s="179" t="s">
        <v>1145</v>
      </c>
      <c r="E58" s="179" t="s">
        <v>16</v>
      </c>
      <c r="F58" s="179" t="s">
        <v>16</v>
      </c>
      <c r="G58" s="182">
        <v>1</v>
      </c>
      <c r="H58" s="182">
        <v>700</v>
      </c>
      <c r="I58" s="183" t="s">
        <v>166</v>
      </c>
      <c r="J58" s="175">
        <v>3.6458333333333336E-2</v>
      </c>
      <c r="K58" s="179" t="s">
        <v>27</v>
      </c>
      <c r="L58" s="178">
        <v>4.0999999999999996</v>
      </c>
      <c r="M58" s="179" t="s">
        <v>1146</v>
      </c>
      <c r="N58" s="180">
        <f>L58*H58</f>
        <v>2869.9999999999995</v>
      </c>
      <c r="O58" s="181"/>
      <c r="P58" s="181"/>
      <c r="Q58" s="175">
        <f>N58/$O$2</f>
        <v>0.2879213483146067</v>
      </c>
      <c r="R58" s="191">
        <v>4</v>
      </c>
      <c r="S58" s="40" t="s">
        <v>1148</v>
      </c>
      <c r="T58" s="14" t="s">
        <v>1151</v>
      </c>
    </row>
    <row r="59" spans="1:20" ht="14.25" customHeight="1" x14ac:dyDescent="0.2">
      <c r="A59" s="181"/>
      <c r="B59" s="181"/>
      <c r="C59" s="181"/>
      <c r="D59" s="181"/>
      <c r="E59" s="181"/>
      <c r="F59" s="181"/>
      <c r="G59" s="181"/>
      <c r="H59" s="181"/>
      <c r="I59" s="181"/>
      <c r="J59" s="181"/>
      <c r="K59" s="181"/>
      <c r="L59" s="181"/>
      <c r="M59" s="181"/>
      <c r="N59" s="181"/>
      <c r="O59" s="181"/>
      <c r="P59" s="181"/>
      <c r="Q59" s="181"/>
      <c r="R59" s="181"/>
      <c r="S59" s="40" t="s">
        <v>1153</v>
      </c>
      <c r="T59" s="14" t="s">
        <v>1154</v>
      </c>
    </row>
    <row r="60" spans="1:20" ht="14.25" customHeight="1" x14ac:dyDescent="0.2">
      <c r="A60" s="176"/>
      <c r="B60" s="176"/>
      <c r="C60" s="176"/>
      <c r="D60" s="176"/>
      <c r="E60" s="176"/>
      <c r="F60" s="176"/>
      <c r="G60" s="176"/>
      <c r="H60" s="176"/>
      <c r="I60" s="176"/>
      <c r="J60" s="176"/>
      <c r="K60" s="176"/>
      <c r="L60" s="176"/>
      <c r="M60" s="176"/>
      <c r="N60" s="176"/>
      <c r="O60" s="176"/>
      <c r="P60" s="176"/>
      <c r="Q60" s="176"/>
      <c r="R60" s="176"/>
      <c r="S60" s="40" t="s">
        <v>640</v>
      </c>
      <c r="T60" s="14" t="s">
        <v>1156</v>
      </c>
    </row>
    <row r="61" spans="1:20" ht="14.25" customHeight="1" x14ac:dyDescent="0.2"/>
    <row r="62" spans="1:20" ht="14.25" customHeight="1" x14ac:dyDescent="0.2"/>
    <row r="63" spans="1:20" ht="14.25" customHeight="1" x14ac:dyDescent="0.2">
      <c r="F63" s="28" t="s">
        <v>309</v>
      </c>
      <c r="G63" s="28" t="s">
        <v>128</v>
      </c>
      <c r="H63" s="28" t="s">
        <v>1157</v>
      </c>
    </row>
    <row r="64" spans="1:20" ht="14.25" customHeight="1" x14ac:dyDescent="0.2">
      <c r="F64" s="50" t="s">
        <v>140</v>
      </c>
      <c r="G64" s="72">
        <f t="shared" ref="G64:G78" si="3">SUMIF($F$2:$F$60,$F64,N$2:N$60)</f>
        <v>960237.5</v>
      </c>
      <c r="H64" s="73">
        <f t="shared" ref="H64:H78" si="4">SUMIF($F$2:$F$60,$F64,Q$2:Q$60)</f>
        <v>96.332012439807372</v>
      </c>
    </row>
    <row r="65" spans="6:8" ht="14.25" customHeight="1" x14ac:dyDescent="0.2">
      <c r="F65" s="14" t="s">
        <v>156</v>
      </c>
      <c r="G65" s="72">
        <f t="shared" si="3"/>
        <v>38732.625</v>
      </c>
      <c r="H65" s="73">
        <f t="shared" si="4"/>
        <v>3.8856967295345104</v>
      </c>
    </row>
    <row r="66" spans="6:8" ht="14.25" customHeight="1" x14ac:dyDescent="0.2">
      <c r="F66" s="50" t="s">
        <v>412</v>
      </c>
      <c r="G66" s="72">
        <f t="shared" si="3"/>
        <v>37653</v>
      </c>
      <c r="H66" s="73">
        <f t="shared" si="4"/>
        <v>3.7773876404494384</v>
      </c>
    </row>
    <row r="67" spans="6:8" ht="14.25" customHeight="1" x14ac:dyDescent="0.2">
      <c r="F67" s="34" t="s">
        <v>441</v>
      </c>
      <c r="G67" s="72">
        <f t="shared" si="3"/>
        <v>18860</v>
      </c>
      <c r="H67" s="73">
        <f t="shared" si="4"/>
        <v>1.8920545746388444</v>
      </c>
    </row>
    <row r="68" spans="6:8" ht="14.25" customHeight="1" x14ac:dyDescent="0.2">
      <c r="F68" s="50" t="s">
        <v>7</v>
      </c>
      <c r="G68" s="72">
        <f t="shared" si="3"/>
        <v>32300.25</v>
      </c>
      <c r="H68" s="73">
        <f t="shared" si="4"/>
        <v>3.2403942616372388</v>
      </c>
    </row>
    <row r="69" spans="6:8" ht="14.25" customHeight="1" x14ac:dyDescent="0.2">
      <c r="F69" s="50" t="s">
        <v>10</v>
      </c>
      <c r="G69" s="72">
        <f t="shared" si="3"/>
        <v>13129.166666666666</v>
      </c>
      <c r="H69" s="73">
        <f t="shared" si="4"/>
        <v>1.317131487426431</v>
      </c>
    </row>
    <row r="70" spans="6:8" ht="14.25" customHeight="1" x14ac:dyDescent="0.2">
      <c r="F70" s="50" t="s">
        <v>12</v>
      </c>
      <c r="G70" s="72">
        <f t="shared" si="3"/>
        <v>29708.333333333328</v>
      </c>
      <c r="H70" s="73">
        <f t="shared" si="4"/>
        <v>2.9803705189941141</v>
      </c>
    </row>
    <row r="71" spans="6:8" ht="14.25" customHeight="1" x14ac:dyDescent="0.2">
      <c r="F71" s="14" t="s">
        <v>16</v>
      </c>
      <c r="G71" s="72">
        <f t="shared" si="3"/>
        <v>37966</v>
      </c>
      <c r="H71" s="73">
        <f t="shared" si="4"/>
        <v>3.8087881219903692</v>
      </c>
    </row>
    <row r="72" spans="6:8" ht="14.25" customHeight="1" x14ac:dyDescent="0.2">
      <c r="F72" s="50" t="s">
        <v>399</v>
      </c>
      <c r="G72" s="72">
        <f t="shared" si="3"/>
        <v>190000</v>
      </c>
      <c r="H72" s="73">
        <f t="shared" si="4"/>
        <v>19.060995184590691</v>
      </c>
    </row>
    <row r="73" spans="6:8" ht="14.25" customHeight="1" x14ac:dyDescent="0.2">
      <c r="F73" s="50" t="s">
        <v>435</v>
      </c>
      <c r="G73" s="72">
        <f t="shared" si="3"/>
        <v>1152.0833333333333</v>
      </c>
      <c r="H73" s="73">
        <f t="shared" si="4"/>
        <v>0.11557818352059925</v>
      </c>
    </row>
    <row r="74" spans="6:8" ht="14.25" customHeight="1" x14ac:dyDescent="0.2">
      <c r="F74" s="14" t="s">
        <v>19</v>
      </c>
      <c r="G74" s="72">
        <f t="shared" si="3"/>
        <v>59.5</v>
      </c>
      <c r="H74" s="73">
        <f t="shared" si="4"/>
        <v>5.9691011235955055E-3</v>
      </c>
    </row>
    <row r="75" spans="6:8" ht="14.25" customHeight="1" x14ac:dyDescent="0.2">
      <c r="F75" s="50" t="s">
        <v>13</v>
      </c>
      <c r="G75" s="72">
        <f t="shared" si="3"/>
        <v>6543.4999999999991</v>
      </c>
      <c r="H75" s="73">
        <f t="shared" si="4"/>
        <v>0.6564506420545746</v>
      </c>
    </row>
    <row r="76" spans="6:8" ht="14.25" customHeight="1" x14ac:dyDescent="0.2">
      <c r="F76" s="50" t="s">
        <v>14</v>
      </c>
      <c r="G76" s="72">
        <f t="shared" si="3"/>
        <v>2139</v>
      </c>
      <c r="H76" s="73">
        <f t="shared" si="4"/>
        <v>0.21458667736757625</v>
      </c>
    </row>
    <row r="77" spans="6:8" ht="14.25" customHeight="1" x14ac:dyDescent="0.2">
      <c r="F77" s="50" t="s">
        <v>15</v>
      </c>
      <c r="G77" s="72">
        <f t="shared" si="3"/>
        <v>2472.5</v>
      </c>
      <c r="H77" s="73">
        <f t="shared" si="4"/>
        <v>0.24804373996789728</v>
      </c>
    </row>
    <row r="78" spans="6:8" ht="14.25" customHeight="1" x14ac:dyDescent="0.2">
      <c r="F78" s="50" t="s">
        <v>5</v>
      </c>
      <c r="G78" s="72">
        <f t="shared" si="3"/>
        <v>17940</v>
      </c>
      <c r="H78" s="73">
        <f t="shared" si="4"/>
        <v>1.7997592295345104</v>
      </c>
    </row>
    <row r="79" spans="6:8" ht="14.25" customHeight="1" x14ac:dyDescent="0.2">
      <c r="G79" s="75"/>
    </row>
    <row r="80" spans="6:8" ht="14.25" customHeight="1" x14ac:dyDescent="0.2">
      <c r="G80" s="75"/>
    </row>
    <row r="81" spans="6:8" ht="14.25" customHeight="1" x14ac:dyDescent="0.2">
      <c r="F81" s="93" t="s">
        <v>631</v>
      </c>
      <c r="G81" s="28" t="s">
        <v>128</v>
      </c>
      <c r="H81" s="28" t="s">
        <v>1164</v>
      </c>
    </row>
    <row r="82" spans="6:8" ht="14.25" customHeight="1" x14ac:dyDescent="0.2">
      <c r="F82" s="50" t="s">
        <v>140</v>
      </c>
      <c r="G82" s="72">
        <f t="shared" ref="G82:G90" si="5">SUMIF($E$2:$E$60,$F82,N$2:N$60)</f>
        <v>1150237.5</v>
      </c>
      <c r="H82" s="73">
        <f t="shared" ref="H82:H90" si="6">SUMIF($E$2:$E$60,$F82,Q$2:Q$60)</f>
        <v>115.39300762439807</v>
      </c>
    </row>
    <row r="83" spans="6:8" ht="14.25" customHeight="1" x14ac:dyDescent="0.2">
      <c r="F83" s="14" t="s">
        <v>155</v>
      </c>
      <c r="G83" s="72">
        <f t="shared" si="5"/>
        <v>127545.875</v>
      </c>
      <c r="H83" s="73">
        <f t="shared" si="6"/>
        <v>12.795533206260032</v>
      </c>
    </row>
    <row r="84" spans="6:8" ht="14.25" customHeight="1" x14ac:dyDescent="0.2">
      <c r="F84" s="50" t="s">
        <v>92</v>
      </c>
      <c r="G84" s="72">
        <f t="shared" si="5"/>
        <v>17940</v>
      </c>
      <c r="H84" s="73">
        <f t="shared" si="6"/>
        <v>1.7997592295345104</v>
      </c>
    </row>
    <row r="85" spans="6:8" ht="14.25" customHeight="1" x14ac:dyDescent="0.2">
      <c r="F85" s="50" t="s">
        <v>287</v>
      </c>
      <c r="G85" s="72">
        <f t="shared" si="5"/>
        <v>13188.666666666666</v>
      </c>
      <c r="H85" s="73">
        <f t="shared" si="6"/>
        <v>1.3231005885500267</v>
      </c>
    </row>
    <row r="86" spans="6:8" ht="14.25" customHeight="1" x14ac:dyDescent="0.2">
      <c r="F86" s="50" t="s">
        <v>294</v>
      </c>
      <c r="G86" s="72">
        <f t="shared" si="5"/>
        <v>29708.333333333328</v>
      </c>
      <c r="H86" s="73">
        <f t="shared" si="6"/>
        <v>2.9803705189941141</v>
      </c>
    </row>
    <row r="87" spans="6:8" ht="14.25" customHeight="1" x14ac:dyDescent="0.2">
      <c r="F87" s="14" t="s">
        <v>16</v>
      </c>
      <c r="G87" s="72">
        <f t="shared" si="5"/>
        <v>37966</v>
      </c>
      <c r="H87" s="73">
        <f t="shared" si="6"/>
        <v>3.8087881219903692</v>
      </c>
    </row>
    <row r="88" spans="6:8" ht="14.25" customHeight="1" x14ac:dyDescent="0.2">
      <c r="F88" s="50" t="s">
        <v>434</v>
      </c>
      <c r="G88" s="72">
        <f t="shared" si="5"/>
        <v>1152.0833333333333</v>
      </c>
      <c r="H88" s="73">
        <f t="shared" si="6"/>
        <v>0.11557818352059925</v>
      </c>
    </row>
    <row r="89" spans="6:8" ht="14.25" customHeight="1" x14ac:dyDescent="0.2">
      <c r="F89" s="50" t="s">
        <v>13</v>
      </c>
      <c r="G89" s="72">
        <f t="shared" si="5"/>
        <v>6543.4999999999991</v>
      </c>
      <c r="H89" s="73">
        <f t="shared" si="6"/>
        <v>0.6564506420545746</v>
      </c>
    </row>
    <row r="90" spans="6:8" ht="14.25" customHeight="1" x14ac:dyDescent="0.2">
      <c r="F90" s="50" t="s">
        <v>279</v>
      </c>
      <c r="G90" s="72">
        <f t="shared" si="5"/>
        <v>4611.5</v>
      </c>
      <c r="H90" s="73">
        <f t="shared" si="6"/>
        <v>0.4626304173354735</v>
      </c>
    </row>
    <row r="91" spans="6:8" ht="14.25" customHeight="1" x14ac:dyDescent="0.2"/>
    <row r="92" spans="6:8" ht="14.25" customHeight="1" x14ac:dyDescent="0.2"/>
    <row r="93" spans="6:8" ht="14.25" customHeight="1" x14ac:dyDescent="0.2"/>
    <row r="94" spans="6:8" ht="14.25" customHeight="1" x14ac:dyDescent="0.2"/>
    <row r="95" spans="6:8" ht="14.25" customHeight="1" x14ac:dyDescent="0.2"/>
    <row r="96" spans="6: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19">
    <mergeCell ref="H41:H46"/>
    <mergeCell ref="I41:I46"/>
    <mergeCell ref="J41:J45"/>
    <mergeCell ref="K41:K45"/>
    <mergeCell ref="L41:L45"/>
    <mergeCell ref="M41:M45"/>
    <mergeCell ref="G39:G46"/>
    <mergeCell ref="H39:H40"/>
    <mergeCell ref="I39:I40"/>
    <mergeCell ref="J39:J40"/>
    <mergeCell ref="N41:N45"/>
    <mergeCell ref="B20:B34"/>
    <mergeCell ref="C39:C46"/>
    <mergeCell ref="G20:G24"/>
    <mergeCell ref="G25:G26"/>
    <mergeCell ref="I25:I26"/>
    <mergeCell ref="I27:I30"/>
    <mergeCell ref="I31:I34"/>
    <mergeCell ref="N35:N36"/>
    <mergeCell ref="G35:G36"/>
    <mergeCell ref="H35:H36"/>
    <mergeCell ref="I35:I36"/>
    <mergeCell ref="J35:J36"/>
    <mergeCell ref="K35:K36"/>
    <mergeCell ref="L35:L36"/>
    <mergeCell ref="M35:M36"/>
    <mergeCell ref="K39:K40"/>
    <mergeCell ref="L39:L40"/>
    <mergeCell ref="M39:M40"/>
    <mergeCell ref="N39:N40"/>
    <mergeCell ref="E41:E45"/>
    <mergeCell ref="C47:C57"/>
    <mergeCell ref="D47:D49"/>
    <mergeCell ref="E47:E49"/>
    <mergeCell ref="F47:F49"/>
    <mergeCell ref="B5:B6"/>
    <mergeCell ref="C5:C6"/>
    <mergeCell ref="B47:B60"/>
    <mergeCell ref="D50:D51"/>
    <mergeCell ref="E50:E51"/>
    <mergeCell ref="F50:F51"/>
    <mergeCell ref="D52:D53"/>
    <mergeCell ref="E52:E53"/>
    <mergeCell ref="F52:F53"/>
    <mergeCell ref="D54:D57"/>
    <mergeCell ref="E54:E57"/>
    <mergeCell ref="C58:C60"/>
    <mergeCell ref="D58:D60"/>
    <mergeCell ref="E58:E60"/>
    <mergeCell ref="B37:B38"/>
    <mergeCell ref="C37:C38"/>
    <mergeCell ref="G37:G38"/>
    <mergeCell ref="H37:H38"/>
    <mergeCell ref="I37:I38"/>
    <mergeCell ref="J37:J38"/>
    <mergeCell ref="K37:K38"/>
    <mergeCell ref="A2:A60"/>
    <mergeCell ref="C35:C36"/>
    <mergeCell ref="E35:E36"/>
    <mergeCell ref="F35:F36"/>
    <mergeCell ref="F37:F38"/>
    <mergeCell ref="F41:F45"/>
    <mergeCell ref="F54:F57"/>
    <mergeCell ref="F58:F60"/>
    <mergeCell ref="D37:D38"/>
    <mergeCell ref="E37:E38"/>
    <mergeCell ref="B35:B36"/>
    <mergeCell ref="B39:B46"/>
    <mergeCell ref="D35:D36"/>
    <mergeCell ref="D39:D40"/>
    <mergeCell ref="E39:E40"/>
    <mergeCell ref="F39:F40"/>
    <mergeCell ref="D41:D46"/>
    <mergeCell ref="G47:G49"/>
    <mergeCell ref="G50:G51"/>
    <mergeCell ref="G52:G53"/>
    <mergeCell ref="G54:G57"/>
    <mergeCell ref="G58:G60"/>
    <mergeCell ref="J50:J51"/>
    <mergeCell ref="K50:K51"/>
    <mergeCell ref="L50:L51"/>
    <mergeCell ref="M50:M51"/>
    <mergeCell ref="J47:J49"/>
    <mergeCell ref="J52:J53"/>
    <mergeCell ref="K52:K53"/>
    <mergeCell ref="L52:L53"/>
    <mergeCell ref="M52:M53"/>
    <mergeCell ref="J54:J57"/>
    <mergeCell ref="K54:K57"/>
    <mergeCell ref="L54:L57"/>
    <mergeCell ref="M54:M57"/>
    <mergeCell ref="H47:H57"/>
    <mergeCell ref="I47:I57"/>
    <mergeCell ref="K47:K49"/>
    <mergeCell ref="L47:L49"/>
    <mergeCell ref="M47:M49"/>
    <mergeCell ref="Q54:Q57"/>
    <mergeCell ref="Q58:Q60"/>
    <mergeCell ref="R54:R57"/>
    <mergeCell ref="H58:H60"/>
    <mergeCell ref="I58:I60"/>
    <mergeCell ref="J58:J60"/>
    <mergeCell ref="K58:K60"/>
    <mergeCell ref="L58:L60"/>
    <mergeCell ref="M58:M60"/>
    <mergeCell ref="R58:R60"/>
    <mergeCell ref="O2:O60"/>
    <mergeCell ref="P2:P60"/>
    <mergeCell ref="N54:N57"/>
    <mergeCell ref="N58:N60"/>
    <mergeCell ref="H2:H4"/>
    <mergeCell ref="I2:I4"/>
    <mergeCell ref="J2:J4"/>
    <mergeCell ref="K2:K4"/>
    <mergeCell ref="L2:L3"/>
    <mergeCell ref="M2:M3"/>
    <mergeCell ref="N2:N3"/>
    <mergeCell ref="M17:M19"/>
    <mergeCell ref="N17:N19"/>
    <mergeCell ref="Q2:Q3"/>
    <mergeCell ref="R2:R3"/>
    <mergeCell ref="Q7:Q10"/>
    <mergeCell ref="R7:R10"/>
    <mergeCell ref="Q11:Q14"/>
    <mergeCell ref="R11:R14"/>
    <mergeCell ref="R15:R16"/>
    <mergeCell ref="H20:H24"/>
    <mergeCell ref="I20:I24"/>
    <mergeCell ref="J20:J23"/>
    <mergeCell ref="K20:K23"/>
    <mergeCell ref="L20:L23"/>
    <mergeCell ref="M20:M23"/>
    <mergeCell ref="N20:N23"/>
    <mergeCell ref="Q15:Q16"/>
    <mergeCell ref="Q17:Q19"/>
    <mergeCell ref="R17:R19"/>
    <mergeCell ref="Q20:Q23"/>
    <mergeCell ref="R20:R23"/>
    <mergeCell ref="M7:M10"/>
    <mergeCell ref="N7:N10"/>
    <mergeCell ref="M11:M14"/>
    <mergeCell ref="N11:N14"/>
    <mergeCell ref="M15:M16"/>
    <mergeCell ref="N15:N16"/>
    <mergeCell ref="L17:L19"/>
    <mergeCell ref="R35:R36"/>
    <mergeCell ref="R37:R38"/>
    <mergeCell ref="R39:R40"/>
    <mergeCell ref="Q47:Q49"/>
    <mergeCell ref="R47:R49"/>
    <mergeCell ref="Q50:Q51"/>
    <mergeCell ref="R50:R51"/>
    <mergeCell ref="Q52:Q53"/>
    <mergeCell ref="R52:R53"/>
    <mergeCell ref="Q35:Q36"/>
    <mergeCell ref="N47:N49"/>
    <mergeCell ref="N50:N51"/>
    <mergeCell ref="N52:N53"/>
    <mergeCell ref="Q37:Q38"/>
    <mergeCell ref="Q39:Q40"/>
    <mergeCell ref="Q41:Q45"/>
    <mergeCell ref="R41:R45"/>
    <mergeCell ref="L37:L38"/>
    <mergeCell ref="M37:M38"/>
    <mergeCell ref="N37:N38"/>
    <mergeCell ref="L7:L10"/>
    <mergeCell ref="G11:G14"/>
    <mergeCell ref="E11:E14"/>
    <mergeCell ref="F11:F14"/>
    <mergeCell ref="J7:J10"/>
    <mergeCell ref="J11:J14"/>
    <mergeCell ref="K11:K14"/>
    <mergeCell ref="L11:L14"/>
    <mergeCell ref="E15:E16"/>
    <mergeCell ref="F15:F16"/>
    <mergeCell ref="K15:K16"/>
    <mergeCell ref="L15:L16"/>
    <mergeCell ref="I5:I6"/>
    <mergeCell ref="J5:J6"/>
    <mergeCell ref="K5:K6"/>
    <mergeCell ref="C7:C19"/>
    <mergeCell ref="D11:D14"/>
    <mergeCell ref="D15:D16"/>
    <mergeCell ref="D17:D19"/>
    <mergeCell ref="J17:J19"/>
    <mergeCell ref="K17:K19"/>
    <mergeCell ref="G15:G16"/>
    <mergeCell ref="J15:J16"/>
    <mergeCell ref="E7:E10"/>
    <mergeCell ref="F7:F10"/>
    <mergeCell ref="H7:H19"/>
    <mergeCell ref="I7:I19"/>
    <mergeCell ref="K7:K10"/>
    <mergeCell ref="E17:E19"/>
    <mergeCell ref="F17:F19"/>
    <mergeCell ref="B2:B4"/>
    <mergeCell ref="B7:B19"/>
    <mergeCell ref="C20:C24"/>
    <mergeCell ref="D20:D23"/>
    <mergeCell ref="E20:E23"/>
    <mergeCell ref="F20:F23"/>
    <mergeCell ref="C25:C26"/>
    <mergeCell ref="G31:G34"/>
    <mergeCell ref="H31:H34"/>
    <mergeCell ref="H25:H26"/>
    <mergeCell ref="C27:C30"/>
    <mergeCell ref="G27:G30"/>
    <mergeCell ref="H27:H30"/>
    <mergeCell ref="C31:C34"/>
    <mergeCell ref="D2:D3"/>
    <mergeCell ref="D7:D10"/>
    <mergeCell ref="C2:C4"/>
    <mergeCell ref="E2:E3"/>
    <mergeCell ref="F2:F3"/>
    <mergeCell ref="G2:G4"/>
    <mergeCell ref="G5:G6"/>
    <mergeCell ref="G7:G10"/>
    <mergeCell ref="G17:G19"/>
    <mergeCell ref="H5:H6"/>
  </mergeCells>
  <conditionalFormatting sqref="R2:R15 R17:R28 R30:R32 R34:R53 R58:R60">
    <cfRule type="colorScale" priority="1">
      <colorScale>
        <cfvo type="min"/>
        <cfvo type="percentile" val="50"/>
        <cfvo type="max"/>
        <color rgb="FFF8696B"/>
        <color rgb="FFFFEB84"/>
        <color rgb="FF63BE7B"/>
      </colorScale>
    </cfRule>
  </conditionalFormatting>
  <conditionalFormatting sqref="R29">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onditionalFormatting>
  <conditionalFormatting sqref="R33">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R54:R57">
    <cfRule type="colorScale" priority="10">
      <colorScale>
        <cfvo type="min"/>
        <cfvo type="percentile" val="50"/>
        <cfvo type="max"/>
        <color rgb="FFF8696B"/>
        <color rgb="FFFFEB84"/>
        <color rgb="FF63BE7B"/>
      </colorScale>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onditionalFormatting>
  <hyperlinks>
    <hyperlink ref="S8" r:id="rId1" xr:uid="{00000000-0004-0000-1000-000000000000}"/>
    <hyperlink ref="S9" r:id="rId2" xr:uid="{00000000-0004-0000-1000-000001000000}"/>
    <hyperlink ref="S12" r:id="rId3" xr:uid="{00000000-0004-0000-1000-000002000000}"/>
    <hyperlink ref="S18" r:id="rId4" xr:uid="{00000000-0004-0000-1000-000003000000}"/>
    <hyperlink ref="S19" r:id="rId5" xr:uid="{00000000-0004-0000-1000-000004000000}"/>
    <hyperlink ref="S23" r:id="rId6" location=":~:text=The%20minimum%20thickness%20for%20commercial,to%202.5%20psf%20of%20reinforcing). " xr:uid="{00000000-0004-0000-1000-000005000000}"/>
    <hyperlink ref="S25" r:id="rId7" xr:uid="{00000000-0004-0000-1000-000006000000}"/>
    <hyperlink ref="S26" r:id="rId8" location=":~:text=The%20minimum%20thickness%20for%20commercial,to%202.5%20psf%20of%20reinforcing). " xr:uid="{00000000-0004-0000-1000-000007000000}"/>
    <hyperlink ref="S27" r:id="rId9" xr:uid="{00000000-0004-0000-1000-000008000000}"/>
    <hyperlink ref="S30" r:id="rId10" location=":~:text=The%20most%20common%20type%20of,in%20exposed%20metal%20building%20applications. " xr:uid="{00000000-0004-0000-1000-000009000000}"/>
    <hyperlink ref="S34" r:id="rId11" location=":~:text=The%20most%20common%20type%20of,in%20exposed%20metal%20building%20applications. " xr:uid="{00000000-0004-0000-1000-00000A000000}"/>
    <hyperlink ref="S36" r:id="rId12" xr:uid="{00000000-0004-0000-1000-00000B000000}"/>
    <hyperlink ref="S39" r:id="rId13" location=" " xr:uid="{00000000-0004-0000-1000-00000C000000}"/>
    <hyperlink ref="S45" r:id="rId14" xr:uid="{00000000-0004-0000-1000-00000D000000}"/>
    <hyperlink ref="S46" r:id="rId15" xr:uid="{00000000-0004-0000-1000-00000E000000}"/>
    <hyperlink ref="S58" r:id="rId16" location=":~:text=Strength%20and%20Durability:%20Asbestos%20fibers,those%20creating%20and%20using%20transite " xr:uid="{00000000-0004-0000-1000-00000F000000}"/>
    <hyperlink ref="S59" r:id="rId17" location=":~:text=Visible%20Asbestos%20Fibers%20on%20Transite,%22%20%2D%2010'6%22. " xr:uid="{00000000-0004-0000-1000-000010000000}"/>
  </hyperlinks>
  <pageMargins left="0.7" right="0.7" top="0.75" bottom="0.75" header="0" footer="0"/>
  <pageSetup orientation="portrait"/>
  <drawing r:id="rId18"/>
  <legacyDrawing r:id="rId19"/>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51</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1047</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1049</v>
      </c>
      <c r="B2" s="183" t="s">
        <v>53</v>
      </c>
      <c r="C2" s="183" t="s">
        <v>139</v>
      </c>
      <c r="D2" s="179" t="s">
        <v>140</v>
      </c>
      <c r="E2" s="179" t="s">
        <v>140</v>
      </c>
      <c r="F2" s="179" t="s">
        <v>140</v>
      </c>
      <c r="G2" s="182">
        <v>1</v>
      </c>
      <c r="H2" s="182">
        <v>0</v>
      </c>
      <c r="I2" s="183" t="s">
        <v>142</v>
      </c>
      <c r="J2" s="178">
        <v>0.66666666666666663</v>
      </c>
      <c r="K2" s="178">
        <v>1.5</v>
      </c>
      <c r="L2" s="178">
        <v>150</v>
      </c>
      <c r="M2" s="179" t="s">
        <v>1051</v>
      </c>
      <c r="N2" s="188">
        <f>L2*K2*J2*H2</f>
        <v>0</v>
      </c>
      <c r="O2" s="187">
        <v>49195</v>
      </c>
      <c r="P2" s="187" t="s">
        <v>356</v>
      </c>
      <c r="Q2" s="175">
        <f>N2/O2</f>
        <v>0</v>
      </c>
      <c r="R2" s="191">
        <v>4</v>
      </c>
      <c r="S2" s="14" t="s">
        <v>149</v>
      </c>
      <c r="T2" s="85" t="s">
        <v>150</v>
      </c>
      <c r="U2" s="141"/>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181"/>
      <c r="C3" s="181"/>
      <c r="D3" s="176"/>
      <c r="E3" s="176"/>
      <c r="F3" s="176"/>
      <c r="G3" s="181"/>
      <c r="H3" s="181"/>
      <c r="I3" s="181"/>
      <c r="J3" s="181"/>
      <c r="K3" s="181"/>
      <c r="L3" s="176"/>
      <c r="M3" s="176"/>
      <c r="N3" s="176"/>
      <c r="O3" s="181"/>
      <c r="P3" s="181"/>
      <c r="Q3" s="176"/>
      <c r="R3" s="176"/>
      <c r="S3" s="14" t="s">
        <v>401</v>
      </c>
      <c r="T3" s="85" t="s">
        <v>714</v>
      </c>
      <c r="U3" s="141"/>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76"/>
      <c r="C4" s="176"/>
      <c r="D4" s="14" t="s">
        <v>154</v>
      </c>
      <c r="E4" s="14" t="s">
        <v>155</v>
      </c>
      <c r="F4" s="14" t="s">
        <v>156</v>
      </c>
      <c r="G4" s="176"/>
      <c r="H4" s="176"/>
      <c r="I4" s="176"/>
      <c r="J4" s="176"/>
      <c r="K4" s="176"/>
      <c r="L4" s="14">
        <v>5.25</v>
      </c>
      <c r="M4" s="14" t="s">
        <v>1054</v>
      </c>
      <c r="N4" s="38">
        <f>L4*K2*J2*H2</f>
        <v>0</v>
      </c>
      <c r="O4" s="181"/>
      <c r="P4" s="181"/>
      <c r="Q4" s="19">
        <f>N4/$O$2</f>
        <v>0</v>
      </c>
      <c r="R4" s="48">
        <v>4</v>
      </c>
      <c r="S4" s="14" t="s">
        <v>174</v>
      </c>
      <c r="T4" s="85" t="s">
        <v>175</v>
      </c>
      <c r="U4" s="141"/>
      <c r="V4" s="85"/>
      <c r="W4" s="85"/>
      <c r="X4" s="85"/>
      <c r="Y4" s="85"/>
      <c r="Z4" s="85"/>
      <c r="AA4" s="85"/>
      <c r="AB4" s="85"/>
      <c r="AC4" s="85"/>
      <c r="AD4" s="85"/>
      <c r="AE4" s="85"/>
      <c r="AF4" s="85"/>
      <c r="AG4" s="85"/>
      <c r="AH4" s="85"/>
      <c r="AI4" s="85"/>
      <c r="AJ4" s="85"/>
      <c r="AK4" s="85"/>
      <c r="AL4" s="85"/>
      <c r="AM4" s="85"/>
      <c r="AN4" s="85"/>
    </row>
    <row r="5" spans="1:40" ht="17.25" customHeight="1" x14ac:dyDescent="0.2">
      <c r="A5" s="181"/>
      <c r="B5" s="183" t="s">
        <v>164</v>
      </c>
      <c r="C5" s="183" t="s">
        <v>165</v>
      </c>
      <c r="D5" s="179" t="s">
        <v>140</v>
      </c>
      <c r="E5" s="179" t="s">
        <v>140</v>
      </c>
      <c r="F5" s="179" t="s">
        <v>140</v>
      </c>
      <c r="G5" s="182">
        <v>1</v>
      </c>
      <c r="H5" s="182">
        <v>24598</v>
      </c>
      <c r="I5" s="183" t="s">
        <v>166</v>
      </c>
      <c r="J5" s="175">
        <v>0.5</v>
      </c>
      <c r="K5" s="179" t="s">
        <v>27</v>
      </c>
      <c r="L5" s="178">
        <v>150</v>
      </c>
      <c r="M5" s="179" t="s">
        <v>1056</v>
      </c>
      <c r="N5" s="180">
        <f>L5*J5*H5</f>
        <v>1844850</v>
      </c>
      <c r="O5" s="181"/>
      <c r="P5" s="181"/>
      <c r="Q5" s="175">
        <f>N5/O2</f>
        <v>37.50076227258868</v>
      </c>
      <c r="R5" s="202">
        <v>5</v>
      </c>
      <c r="S5" s="14" t="s">
        <v>388</v>
      </c>
      <c r="T5" s="85" t="s">
        <v>389</v>
      </c>
      <c r="U5" s="141"/>
      <c r="V5" s="85"/>
      <c r="W5" s="85"/>
      <c r="X5" s="85"/>
      <c r="Y5" s="85"/>
      <c r="Z5" s="85"/>
      <c r="AA5" s="85"/>
      <c r="AB5" s="85"/>
      <c r="AC5" s="85"/>
      <c r="AD5" s="85"/>
      <c r="AE5" s="85"/>
      <c r="AF5" s="85"/>
      <c r="AG5" s="85"/>
      <c r="AH5" s="85"/>
      <c r="AI5" s="85"/>
      <c r="AJ5" s="85"/>
      <c r="AK5" s="85"/>
      <c r="AL5" s="85"/>
      <c r="AM5" s="85"/>
      <c r="AN5" s="85"/>
    </row>
    <row r="6" spans="1:40" ht="14.25" customHeight="1" x14ac:dyDescent="0.2">
      <c r="A6" s="181"/>
      <c r="B6" s="181"/>
      <c r="C6" s="181"/>
      <c r="D6" s="176"/>
      <c r="E6" s="176"/>
      <c r="F6" s="176"/>
      <c r="G6" s="181"/>
      <c r="H6" s="181"/>
      <c r="I6" s="181"/>
      <c r="J6" s="181"/>
      <c r="K6" s="181"/>
      <c r="L6" s="176"/>
      <c r="M6" s="176"/>
      <c r="N6" s="176"/>
      <c r="O6" s="181"/>
      <c r="P6" s="181"/>
      <c r="Q6" s="176"/>
      <c r="R6" s="176"/>
      <c r="S6" s="14" t="s">
        <v>191</v>
      </c>
      <c r="T6" s="85" t="s">
        <v>392</v>
      </c>
      <c r="U6" s="141"/>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176"/>
      <c r="C7" s="176"/>
      <c r="D7" s="14" t="s">
        <v>154</v>
      </c>
      <c r="E7" s="41" t="s">
        <v>155</v>
      </c>
      <c r="F7" s="41" t="s">
        <v>156</v>
      </c>
      <c r="G7" s="176"/>
      <c r="H7" s="176"/>
      <c r="I7" s="176"/>
      <c r="J7" s="176"/>
      <c r="K7" s="176"/>
      <c r="L7" s="14">
        <v>6</v>
      </c>
      <c r="M7" s="14" t="s">
        <v>1059</v>
      </c>
      <c r="N7" s="38">
        <f>L7*J5*H5</f>
        <v>73794</v>
      </c>
      <c r="O7" s="181"/>
      <c r="P7" s="181"/>
      <c r="Q7" s="19">
        <f>N7/O2</f>
        <v>1.5000304909035471</v>
      </c>
      <c r="R7" s="49">
        <v>5</v>
      </c>
      <c r="S7" s="14" t="s">
        <v>174</v>
      </c>
      <c r="T7" s="85" t="s">
        <v>175</v>
      </c>
      <c r="U7" s="141"/>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183" t="s">
        <v>176</v>
      </c>
      <c r="C8" s="184" t="s">
        <v>473</v>
      </c>
      <c r="D8" s="179" t="s">
        <v>255</v>
      </c>
      <c r="E8" s="50" t="s">
        <v>140</v>
      </c>
      <c r="F8" s="14" t="s">
        <v>140</v>
      </c>
      <c r="G8" s="182">
        <v>1</v>
      </c>
      <c r="H8" s="182">
        <v>24598</v>
      </c>
      <c r="I8" s="183" t="s">
        <v>166</v>
      </c>
      <c r="J8" s="178">
        <v>0.5</v>
      </c>
      <c r="K8" s="179" t="s">
        <v>27</v>
      </c>
      <c r="L8" s="14">
        <v>150</v>
      </c>
      <c r="M8" s="14" t="s">
        <v>1064</v>
      </c>
      <c r="N8" s="38">
        <f>L8*J8*H8</f>
        <v>1844850</v>
      </c>
      <c r="O8" s="181"/>
      <c r="P8" s="181"/>
      <c r="Q8" s="26">
        <f t="shared" ref="Q8:Q13" si="0">N8/$O$2</f>
        <v>37.50076227258868</v>
      </c>
      <c r="R8" s="39">
        <v>2</v>
      </c>
      <c r="S8" s="40" t="s">
        <v>485</v>
      </c>
      <c r="T8" s="14" t="s">
        <v>486</v>
      </c>
    </row>
    <row r="9" spans="1:40" ht="14.25" customHeight="1" x14ac:dyDescent="0.2">
      <c r="A9" s="181"/>
      <c r="B9" s="181"/>
      <c r="C9" s="181"/>
      <c r="D9" s="176"/>
      <c r="E9" s="50" t="s">
        <v>155</v>
      </c>
      <c r="F9" s="14" t="s">
        <v>156</v>
      </c>
      <c r="G9" s="176"/>
      <c r="H9" s="176"/>
      <c r="I9" s="176"/>
      <c r="J9" s="176"/>
      <c r="K9" s="176"/>
      <c r="L9" s="14">
        <v>6</v>
      </c>
      <c r="M9" s="14" t="s">
        <v>1065</v>
      </c>
      <c r="N9" s="38">
        <f>L9*J8*H8</f>
        <v>73794</v>
      </c>
      <c r="O9" s="181"/>
      <c r="P9" s="181"/>
      <c r="Q9" s="26">
        <f t="shared" si="0"/>
        <v>1.5000304909035471</v>
      </c>
      <c r="R9" s="39">
        <v>2</v>
      </c>
      <c r="S9" s="14" t="s">
        <v>1066</v>
      </c>
      <c r="T9" s="14" t="s">
        <v>1067</v>
      </c>
    </row>
    <row r="10" spans="1:40" ht="14.25" customHeight="1" x14ac:dyDescent="0.2">
      <c r="A10" s="181"/>
      <c r="B10" s="181"/>
      <c r="C10" s="181"/>
      <c r="D10" s="179" t="s">
        <v>480</v>
      </c>
      <c r="E10" s="50" t="s">
        <v>140</v>
      </c>
      <c r="F10" s="14" t="s">
        <v>140</v>
      </c>
      <c r="G10" s="178">
        <f>4+14</f>
        <v>18</v>
      </c>
      <c r="H10" s="178">
        <v>2190</v>
      </c>
      <c r="I10" s="179" t="s">
        <v>142</v>
      </c>
      <c r="J10" s="178">
        <v>0.79166666666666663</v>
      </c>
      <c r="K10" s="178">
        <v>1.5833333333333333</v>
      </c>
      <c r="L10" s="14">
        <v>150</v>
      </c>
      <c r="M10" s="14" t="s">
        <v>1068</v>
      </c>
      <c r="N10" s="38">
        <f>H10*J10*K10*L10</f>
        <v>411765.625</v>
      </c>
      <c r="O10" s="181"/>
      <c r="P10" s="181"/>
      <c r="Q10" s="26">
        <f t="shared" si="0"/>
        <v>8.3700706372598841</v>
      </c>
      <c r="R10" s="39">
        <v>2</v>
      </c>
      <c r="S10" s="14" t="s">
        <v>1070</v>
      </c>
      <c r="T10" s="14" t="s">
        <v>1071</v>
      </c>
    </row>
    <row r="11" spans="1:40" ht="14.25" customHeight="1" x14ac:dyDescent="0.2">
      <c r="A11" s="181"/>
      <c r="B11" s="181"/>
      <c r="C11" s="181"/>
      <c r="D11" s="176"/>
      <c r="E11" s="50" t="s">
        <v>155</v>
      </c>
      <c r="F11" s="14" t="s">
        <v>156</v>
      </c>
      <c r="G11" s="176"/>
      <c r="H11" s="176"/>
      <c r="I11" s="176"/>
      <c r="J11" s="176"/>
      <c r="K11" s="176"/>
      <c r="L11" s="14">
        <v>19</v>
      </c>
      <c r="M11" s="14" t="s">
        <v>1072</v>
      </c>
      <c r="N11" s="38">
        <f>H10*J10*K10*L11</f>
        <v>52156.979166666664</v>
      </c>
      <c r="O11" s="181"/>
      <c r="P11" s="181"/>
      <c r="Q11" s="26">
        <f t="shared" si="0"/>
        <v>1.0602089473862519</v>
      </c>
      <c r="R11" s="39">
        <v>2</v>
      </c>
      <c r="S11" s="14" t="s">
        <v>1070</v>
      </c>
      <c r="T11" s="14" t="s">
        <v>1073</v>
      </c>
    </row>
    <row r="12" spans="1:40" ht="14.25" customHeight="1" x14ac:dyDescent="0.2">
      <c r="A12" s="181"/>
      <c r="B12" s="181"/>
      <c r="C12" s="181"/>
      <c r="D12" s="179" t="s">
        <v>489</v>
      </c>
      <c r="E12" s="50" t="s">
        <v>140</v>
      </c>
      <c r="F12" s="14" t="s">
        <v>140</v>
      </c>
      <c r="G12" s="178">
        <v>48</v>
      </c>
      <c r="H12" s="178">
        <v>12</v>
      </c>
      <c r="I12" s="179" t="s">
        <v>142</v>
      </c>
      <c r="J12" s="178">
        <v>1</v>
      </c>
      <c r="K12" s="178">
        <v>1</v>
      </c>
      <c r="L12" s="14">
        <v>150</v>
      </c>
      <c r="M12" s="14" t="s">
        <v>1074</v>
      </c>
      <c r="N12" s="38">
        <f>G12*H12*J12*K12*L12</f>
        <v>86400</v>
      </c>
      <c r="O12" s="181"/>
      <c r="P12" s="181"/>
      <c r="Q12" s="26">
        <f t="shared" si="0"/>
        <v>1.7562760443134464</v>
      </c>
      <c r="R12" s="39">
        <v>2</v>
      </c>
      <c r="S12" s="14" t="s">
        <v>181</v>
      </c>
      <c r="T12" s="14" t="s">
        <v>1075</v>
      </c>
    </row>
    <row r="13" spans="1:40" ht="14.25" customHeight="1" x14ac:dyDescent="0.2">
      <c r="A13" s="181"/>
      <c r="B13" s="176"/>
      <c r="C13" s="176"/>
      <c r="D13" s="176"/>
      <c r="E13" s="50" t="s">
        <v>155</v>
      </c>
      <c r="F13" s="14" t="s">
        <v>156</v>
      </c>
      <c r="G13" s="176"/>
      <c r="H13" s="176"/>
      <c r="I13" s="176"/>
      <c r="J13" s="176"/>
      <c r="K13" s="176"/>
      <c r="L13" s="14">
        <v>20.2</v>
      </c>
      <c r="M13" s="14" t="s">
        <v>1076</v>
      </c>
      <c r="N13" s="38">
        <f>G12*H12*J12*K12*L13</f>
        <v>11635.199999999999</v>
      </c>
      <c r="O13" s="181"/>
      <c r="P13" s="181"/>
      <c r="Q13" s="26">
        <f t="shared" si="0"/>
        <v>0.23651184063421077</v>
      </c>
      <c r="R13" s="39">
        <v>2</v>
      </c>
      <c r="S13" s="40" t="s">
        <v>240</v>
      </c>
      <c r="T13" s="14" t="s">
        <v>1078</v>
      </c>
    </row>
    <row r="14" spans="1:40" ht="14.25" customHeight="1" x14ac:dyDescent="0.2">
      <c r="A14" s="181"/>
      <c r="B14" s="183" t="s">
        <v>209</v>
      </c>
      <c r="C14" s="184" t="s">
        <v>363</v>
      </c>
      <c r="D14" s="179" t="s">
        <v>239</v>
      </c>
      <c r="E14" s="179" t="s">
        <v>155</v>
      </c>
      <c r="F14" s="179" t="s">
        <v>7</v>
      </c>
      <c r="G14" s="182">
        <v>1</v>
      </c>
      <c r="H14" s="182">
        <v>24598</v>
      </c>
      <c r="I14" s="183" t="s">
        <v>166</v>
      </c>
      <c r="J14" s="175">
        <v>3.3333333333333335E-3</v>
      </c>
      <c r="K14" s="179" t="s">
        <v>27</v>
      </c>
      <c r="L14" s="178">
        <v>1.6559999999999999</v>
      </c>
      <c r="M14" s="179" t="s">
        <v>1080</v>
      </c>
      <c r="N14" s="195">
        <f>L14*H14</f>
        <v>40734.288</v>
      </c>
      <c r="O14" s="181"/>
      <c r="P14" s="181"/>
      <c r="Q14" s="175">
        <f>N14/O2</f>
        <v>0.828016830978758</v>
      </c>
      <c r="R14" s="190">
        <v>4</v>
      </c>
      <c r="S14" s="40" t="s">
        <v>365</v>
      </c>
      <c r="T14" s="85" t="s">
        <v>366</v>
      </c>
      <c r="U14" s="141"/>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181"/>
      <c r="C15" s="181"/>
      <c r="D15" s="181"/>
      <c r="E15" s="181"/>
      <c r="F15" s="181"/>
      <c r="G15" s="181"/>
      <c r="H15" s="181"/>
      <c r="I15" s="181"/>
      <c r="J15" s="181"/>
      <c r="K15" s="181"/>
      <c r="L15" s="181"/>
      <c r="M15" s="181"/>
      <c r="N15" s="181"/>
      <c r="O15" s="181"/>
      <c r="P15" s="181"/>
      <c r="Q15" s="181"/>
      <c r="R15" s="181"/>
      <c r="S15" s="14" t="s">
        <v>368</v>
      </c>
      <c r="T15" s="85" t="s">
        <v>369</v>
      </c>
      <c r="U15" s="141"/>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181"/>
      <c r="C16" s="181"/>
      <c r="D16" s="176"/>
      <c r="E16" s="176"/>
      <c r="F16" s="176"/>
      <c r="G16" s="176"/>
      <c r="H16" s="181"/>
      <c r="I16" s="181"/>
      <c r="J16" s="176"/>
      <c r="K16" s="176"/>
      <c r="L16" s="176"/>
      <c r="M16" s="176"/>
      <c r="N16" s="176"/>
      <c r="O16" s="181"/>
      <c r="P16" s="181"/>
      <c r="Q16" s="176"/>
      <c r="R16" s="176"/>
      <c r="S16" s="40" t="s">
        <v>370</v>
      </c>
      <c r="T16" s="85" t="s">
        <v>372</v>
      </c>
      <c r="U16" s="141"/>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181"/>
      <c r="C17" s="181"/>
      <c r="D17" s="179" t="s">
        <v>1084</v>
      </c>
      <c r="E17" s="179" t="s">
        <v>155</v>
      </c>
      <c r="F17" s="179" t="s">
        <v>8</v>
      </c>
      <c r="G17" s="178">
        <v>28</v>
      </c>
      <c r="H17" s="181"/>
      <c r="I17" s="181"/>
      <c r="J17" s="175" t="s">
        <v>496</v>
      </c>
      <c r="K17" s="179">
        <v>37.5</v>
      </c>
      <c r="L17" s="178">
        <v>40</v>
      </c>
      <c r="M17" s="179" t="s">
        <v>376</v>
      </c>
      <c r="N17" s="180">
        <f>L17*K17*G17</f>
        <v>42000</v>
      </c>
      <c r="O17" s="181"/>
      <c r="P17" s="181"/>
      <c r="Q17" s="175">
        <f>N17/O2</f>
        <v>0.85374529931903653</v>
      </c>
      <c r="R17" s="190">
        <v>2</v>
      </c>
      <c r="S17" s="14" t="s">
        <v>213</v>
      </c>
      <c r="T17" s="14" t="s">
        <v>1086</v>
      </c>
      <c r="U17" s="141"/>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181"/>
      <c r="C18" s="181"/>
      <c r="D18" s="181"/>
      <c r="E18" s="181"/>
      <c r="F18" s="181"/>
      <c r="G18" s="181"/>
      <c r="H18" s="181"/>
      <c r="I18" s="181"/>
      <c r="J18" s="181"/>
      <c r="K18" s="181"/>
      <c r="L18" s="181"/>
      <c r="M18" s="181"/>
      <c r="N18" s="181"/>
      <c r="O18" s="181"/>
      <c r="P18" s="181"/>
      <c r="Q18" s="181"/>
      <c r="R18" s="181"/>
      <c r="S18" s="14" t="s">
        <v>1088</v>
      </c>
      <c r="T18" s="14" t="s">
        <v>1089</v>
      </c>
      <c r="U18" s="141"/>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181"/>
      <c r="C19" s="181"/>
      <c r="D19" s="176"/>
      <c r="E19" s="176"/>
      <c r="F19" s="176"/>
      <c r="G19" s="176"/>
      <c r="H19" s="181"/>
      <c r="I19" s="181"/>
      <c r="J19" s="176"/>
      <c r="K19" s="176"/>
      <c r="L19" s="176"/>
      <c r="M19" s="176"/>
      <c r="N19" s="176"/>
      <c r="O19" s="181"/>
      <c r="P19" s="181"/>
      <c r="Q19" s="176"/>
      <c r="R19" s="176"/>
      <c r="S19" s="14" t="s">
        <v>181</v>
      </c>
      <c r="T19" s="14" t="s">
        <v>1090</v>
      </c>
      <c r="U19" s="141"/>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181"/>
      <c r="C20" s="181"/>
      <c r="D20" s="179" t="s">
        <v>1092</v>
      </c>
      <c r="E20" s="179" t="s">
        <v>155</v>
      </c>
      <c r="F20" s="179" t="s">
        <v>8</v>
      </c>
      <c r="G20" s="178">
        <v>15</v>
      </c>
      <c r="H20" s="181"/>
      <c r="I20" s="181"/>
      <c r="J20" s="175" t="s">
        <v>1094</v>
      </c>
      <c r="K20" s="179">
        <v>22</v>
      </c>
      <c r="L20" s="178">
        <v>26</v>
      </c>
      <c r="M20" s="179" t="s">
        <v>385</v>
      </c>
      <c r="N20" s="195">
        <f>L20*K20*G20</f>
        <v>8580</v>
      </c>
      <c r="O20" s="181"/>
      <c r="P20" s="181"/>
      <c r="Q20" s="175">
        <f>N20/O2</f>
        <v>0.17440796828946031</v>
      </c>
      <c r="R20" s="190">
        <v>2</v>
      </c>
      <c r="S20" s="14" t="s">
        <v>1096</v>
      </c>
      <c r="T20" s="14" t="s">
        <v>1097</v>
      </c>
      <c r="U20" s="141"/>
      <c r="V20" s="85"/>
      <c r="W20" s="85"/>
      <c r="X20" s="85"/>
      <c r="Y20" s="85"/>
      <c r="Z20" s="85"/>
      <c r="AA20" s="85"/>
      <c r="AB20" s="85"/>
      <c r="AC20" s="85"/>
      <c r="AD20" s="85"/>
      <c r="AE20" s="85"/>
      <c r="AF20" s="85"/>
      <c r="AG20" s="85"/>
      <c r="AH20" s="85"/>
      <c r="AI20" s="85"/>
      <c r="AJ20" s="85"/>
      <c r="AK20" s="85"/>
      <c r="AL20" s="85"/>
      <c r="AM20" s="85"/>
      <c r="AN20" s="85"/>
    </row>
    <row r="21" spans="1:40" ht="14.25" customHeight="1" x14ac:dyDescent="0.2">
      <c r="A21" s="181"/>
      <c r="B21" s="181"/>
      <c r="C21" s="181"/>
      <c r="D21" s="176"/>
      <c r="E21" s="176"/>
      <c r="F21" s="176"/>
      <c r="G21" s="176"/>
      <c r="H21" s="181"/>
      <c r="I21" s="181"/>
      <c r="J21" s="176"/>
      <c r="K21" s="176"/>
      <c r="L21" s="176"/>
      <c r="M21" s="176"/>
      <c r="N21" s="176"/>
      <c r="O21" s="181"/>
      <c r="P21" s="181"/>
      <c r="Q21" s="176"/>
      <c r="R21" s="176"/>
      <c r="S21" s="14" t="s">
        <v>181</v>
      </c>
      <c r="T21" s="14" t="s">
        <v>1099</v>
      </c>
      <c r="U21" s="141"/>
      <c r="V21" s="85"/>
      <c r="W21" s="85"/>
      <c r="X21" s="85"/>
      <c r="Y21" s="85"/>
      <c r="Z21" s="85"/>
      <c r="AA21" s="85"/>
      <c r="AB21" s="85"/>
      <c r="AC21" s="85"/>
      <c r="AD21" s="85"/>
      <c r="AE21" s="85"/>
      <c r="AF21" s="85"/>
      <c r="AG21" s="85"/>
      <c r="AH21" s="85"/>
      <c r="AI21" s="85"/>
      <c r="AJ21" s="85"/>
      <c r="AK21" s="85"/>
      <c r="AL21" s="85"/>
      <c r="AM21" s="85"/>
      <c r="AN21" s="85"/>
    </row>
    <row r="22" spans="1:40" ht="14.25" customHeight="1" x14ac:dyDescent="0.2">
      <c r="A22" s="181"/>
      <c r="B22" s="181"/>
      <c r="C22" s="181"/>
      <c r="D22" s="179" t="s">
        <v>411</v>
      </c>
      <c r="E22" s="179" t="s">
        <v>155</v>
      </c>
      <c r="F22" s="179" t="s">
        <v>9</v>
      </c>
      <c r="G22" s="178">
        <v>210</v>
      </c>
      <c r="H22" s="181"/>
      <c r="I22" s="181"/>
      <c r="J22" s="203" t="s">
        <v>1100</v>
      </c>
      <c r="K22" s="179">
        <v>22</v>
      </c>
      <c r="L22" s="178">
        <v>3.27</v>
      </c>
      <c r="M22" s="179" t="s">
        <v>1101</v>
      </c>
      <c r="N22" s="180">
        <f>L22*K22*G22</f>
        <v>15107.4</v>
      </c>
      <c r="O22" s="181"/>
      <c r="P22" s="181"/>
      <c r="Q22" s="175">
        <f>N22/O2</f>
        <v>0.3070921841650574</v>
      </c>
      <c r="R22" s="190">
        <v>2</v>
      </c>
      <c r="S22" s="40" t="s">
        <v>420</v>
      </c>
      <c r="T22" s="14" t="s">
        <v>421</v>
      </c>
      <c r="U22" s="141"/>
      <c r="V22" s="85"/>
      <c r="W22" s="85"/>
      <c r="X22" s="85"/>
      <c r="Y22" s="85"/>
      <c r="Z22" s="85"/>
      <c r="AA22" s="85"/>
      <c r="AB22" s="85"/>
      <c r="AC22" s="85"/>
      <c r="AD22" s="85"/>
      <c r="AE22" s="85"/>
      <c r="AF22" s="85"/>
      <c r="AG22" s="85"/>
      <c r="AH22" s="85"/>
      <c r="AI22" s="85"/>
      <c r="AJ22" s="85"/>
      <c r="AK22" s="85"/>
      <c r="AL22" s="85"/>
      <c r="AM22" s="85"/>
      <c r="AN22" s="85"/>
    </row>
    <row r="23" spans="1:40" ht="14.25" customHeight="1" x14ac:dyDescent="0.2">
      <c r="A23" s="181"/>
      <c r="B23" s="181"/>
      <c r="C23" s="181"/>
      <c r="D23" s="181"/>
      <c r="E23" s="181"/>
      <c r="F23" s="181"/>
      <c r="G23" s="181"/>
      <c r="H23" s="181"/>
      <c r="I23" s="181"/>
      <c r="J23" s="181"/>
      <c r="K23" s="181"/>
      <c r="L23" s="181"/>
      <c r="M23" s="181"/>
      <c r="N23" s="181"/>
      <c r="O23" s="181"/>
      <c r="P23" s="181"/>
      <c r="Q23" s="181"/>
      <c r="R23" s="181"/>
      <c r="S23" s="40" t="s">
        <v>423</v>
      </c>
      <c r="T23" s="14" t="s">
        <v>511</v>
      </c>
      <c r="U23" s="141"/>
      <c r="V23" s="85"/>
      <c r="W23" s="85"/>
      <c r="X23" s="85"/>
      <c r="Y23" s="85"/>
      <c r="Z23" s="85"/>
      <c r="AA23" s="85"/>
      <c r="AB23" s="85"/>
      <c r="AC23" s="85"/>
      <c r="AD23" s="85"/>
      <c r="AE23" s="85"/>
      <c r="AF23" s="85"/>
      <c r="AG23" s="85"/>
      <c r="AH23" s="85"/>
      <c r="AI23" s="85"/>
      <c r="AJ23" s="85"/>
      <c r="AK23" s="85"/>
      <c r="AL23" s="85"/>
      <c r="AM23" s="85"/>
      <c r="AN23" s="85"/>
    </row>
    <row r="24" spans="1:40" ht="14.25" customHeight="1" x14ac:dyDescent="0.2">
      <c r="A24" s="181"/>
      <c r="B24" s="181"/>
      <c r="C24" s="181"/>
      <c r="D24" s="181"/>
      <c r="E24" s="181"/>
      <c r="F24" s="181"/>
      <c r="G24" s="181"/>
      <c r="H24" s="181"/>
      <c r="I24" s="181"/>
      <c r="J24" s="181"/>
      <c r="K24" s="181"/>
      <c r="L24" s="181"/>
      <c r="M24" s="181"/>
      <c r="N24" s="181"/>
      <c r="O24" s="181"/>
      <c r="P24" s="181"/>
      <c r="Q24" s="181"/>
      <c r="R24" s="181"/>
      <c r="S24" s="40" t="s">
        <v>513</v>
      </c>
      <c r="T24" s="14" t="s">
        <v>514</v>
      </c>
      <c r="U24" s="141"/>
      <c r="V24" s="85"/>
      <c r="W24" s="85"/>
      <c r="X24" s="85"/>
      <c r="Y24" s="85"/>
      <c r="Z24" s="85"/>
      <c r="AA24" s="85"/>
      <c r="AB24" s="85"/>
      <c r="AC24" s="85"/>
      <c r="AD24" s="85"/>
      <c r="AE24" s="85"/>
      <c r="AF24" s="85"/>
      <c r="AG24" s="85"/>
      <c r="AH24" s="85"/>
      <c r="AI24" s="85"/>
      <c r="AJ24" s="85"/>
      <c r="AK24" s="85"/>
      <c r="AL24" s="85"/>
      <c r="AM24" s="85"/>
      <c r="AN24" s="85"/>
    </row>
    <row r="25" spans="1:40" ht="14.25" customHeight="1" x14ac:dyDescent="0.2">
      <c r="A25" s="181"/>
      <c r="B25" s="181"/>
      <c r="C25" s="181"/>
      <c r="D25" s="181"/>
      <c r="E25" s="181"/>
      <c r="F25" s="181"/>
      <c r="G25" s="181"/>
      <c r="H25" s="181"/>
      <c r="I25" s="181"/>
      <c r="J25" s="181"/>
      <c r="K25" s="181"/>
      <c r="L25" s="181"/>
      <c r="M25" s="181"/>
      <c r="N25" s="181"/>
      <c r="O25" s="181"/>
      <c r="P25" s="181"/>
      <c r="Q25" s="181"/>
      <c r="R25" s="181"/>
      <c r="S25" s="40" t="s">
        <v>431</v>
      </c>
      <c r="T25" s="14" t="s">
        <v>432</v>
      </c>
      <c r="U25" s="141"/>
      <c r="V25" s="85"/>
      <c r="W25" s="85"/>
      <c r="X25" s="85"/>
      <c r="Y25" s="85"/>
      <c r="Z25" s="85"/>
      <c r="AA25" s="85"/>
      <c r="AB25" s="85"/>
      <c r="AC25" s="85"/>
      <c r="AD25" s="85"/>
      <c r="AE25" s="85"/>
      <c r="AF25" s="85"/>
      <c r="AG25" s="85"/>
      <c r="AH25" s="85"/>
      <c r="AI25" s="85"/>
      <c r="AJ25" s="85"/>
      <c r="AK25" s="85"/>
      <c r="AL25" s="85"/>
      <c r="AM25" s="85"/>
      <c r="AN25" s="85"/>
    </row>
    <row r="26" spans="1:40" ht="14.25" customHeight="1" x14ac:dyDescent="0.2">
      <c r="A26" s="181"/>
      <c r="B26" s="181"/>
      <c r="C26" s="181"/>
      <c r="D26" s="176"/>
      <c r="E26" s="176"/>
      <c r="F26" s="176"/>
      <c r="G26" s="176"/>
      <c r="H26" s="176"/>
      <c r="I26" s="176"/>
      <c r="J26" s="176"/>
      <c r="K26" s="176"/>
      <c r="L26" s="176"/>
      <c r="M26" s="176"/>
      <c r="N26" s="176"/>
      <c r="O26" s="181"/>
      <c r="P26" s="181"/>
      <c r="Q26" s="176"/>
      <c r="R26" s="176"/>
      <c r="S26" s="40" t="s">
        <v>436</v>
      </c>
      <c r="T26" s="14" t="s">
        <v>519</v>
      </c>
      <c r="U26" s="141"/>
      <c r="V26" s="85"/>
      <c r="W26" s="85"/>
      <c r="X26" s="85"/>
      <c r="Y26" s="85"/>
      <c r="Z26" s="85"/>
      <c r="AA26" s="85"/>
      <c r="AB26" s="85"/>
      <c r="AC26" s="85"/>
      <c r="AD26" s="85"/>
      <c r="AE26" s="85"/>
      <c r="AF26" s="85"/>
      <c r="AG26" s="85"/>
      <c r="AH26" s="85"/>
      <c r="AI26" s="85"/>
      <c r="AJ26" s="85"/>
      <c r="AK26" s="85"/>
      <c r="AL26" s="85"/>
      <c r="AM26" s="85"/>
      <c r="AN26" s="85"/>
    </row>
    <row r="27" spans="1:40" ht="14.25" customHeight="1" x14ac:dyDescent="0.2">
      <c r="A27" s="181"/>
      <c r="B27" s="181"/>
      <c r="C27" s="181"/>
      <c r="D27" s="179" t="s">
        <v>197</v>
      </c>
      <c r="E27" s="179" t="s">
        <v>155</v>
      </c>
      <c r="F27" s="179" t="s">
        <v>8</v>
      </c>
      <c r="G27" s="178">
        <v>14</v>
      </c>
      <c r="H27" s="178">
        <v>14</v>
      </c>
      <c r="I27" s="179" t="s">
        <v>142</v>
      </c>
      <c r="J27" s="175" t="s">
        <v>1111</v>
      </c>
      <c r="K27" s="179" t="s">
        <v>27</v>
      </c>
      <c r="L27" s="178">
        <v>18</v>
      </c>
      <c r="M27" s="179" t="s">
        <v>385</v>
      </c>
      <c r="N27" s="180">
        <f>L27*H27*G27</f>
        <v>3528</v>
      </c>
      <c r="O27" s="181"/>
      <c r="P27" s="181"/>
      <c r="Q27" s="175">
        <f>N27/O2</f>
        <v>7.1714605142799065E-2</v>
      </c>
      <c r="R27" s="190">
        <v>1</v>
      </c>
      <c r="S27" s="14" t="s">
        <v>229</v>
      </c>
      <c r="T27" s="117" t="s">
        <v>1112</v>
      </c>
      <c r="U27" s="141"/>
      <c r="V27" s="85"/>
      <c r="W27" s="85"/>
      <c r="X27" s="85"/>
      <c r="Y27" s="85"/>
      <c r="Z27" s="85"/>
      <c r="AA27" s="85"/>
      <c r="AB27" s="85"/>
      <c r="AC27" s="85"/>
      <c r="AD27" s="85"/>
      <c r="AE27" s="85"/>
      <c r="AF27" s="85"/>
      <c r="AG27" s="85"/>
      <c r="AH27" s="85"/>
      <c r="AI27" s="85"/>
      <c r="AJ27" s="85"/>
      <c r="AK27" s="85"/>
      <c r="AL27" s="85"/>
      <c r="AM27" s="85"/>
      <c r="AN27" s="85"/>
    </row>
    <row r="28" spans="1:40" ht="14.25" customHeight="1" x14ac:dyDescent="0.2">
      <c r="A28" s="181"/>
      <c r="B28" s="181"/>
      <c r="C28" s="181"/>
      <c r="D28" s="181"/>
      <c r="E28" s="181"/>
      <c r="F28" s="181"/>
      <c r="G28" s="181"/>
      <c r="H28" s="181"/>
      <c r="I28" s="181"/>
      <c r="J28" s="181"/>
      <c r="K28" s="181"/>
      <c r="L28" s="181"/>
      <c r="M28" s="181"/>
      <c r="N28" s="181"/>
      <c r="O28" s="181"/>
      <c r="P28" s="181"/>
      <c r="Q28" s="181"/>
      <c r="R28" s="181"/>
      <c r="S28" s="14" t="s">
        <v>191</v>
      </c>
      <c r="T28" s="117" t="s">
        <v>1114</v>
      </c>
      <c r="U28" s="141"/>
      <c r="V28" s="85"/>
      <c r="W28" s="85"/>
      <c r="X28" s="85"/>
      <c r="Y28" s="85"/>
      <c r="Z28" s="85"/>
      <c r="AA28" s="85"/>
      <c r="AB28" s="85"/>
      <c r="AC28" s="85"/>
      <c r="AD28" s="85"/>
      <c r="AE28" s="85"/>
      <c r="AF28" s="85"/>
      <c r="AG28" s="85"/>
      <c r="AH28" s="85"/>
      <c r="AI28" s="85"/>
      <c r="AJ28" s="85"/>
      <c r="AK28" s="85"/>
      <c r="AL28" s="85"/>
      <c r="AM28" s="85"/>
      <c r="AN28" s="85"/>
    </row>
    <row r="29" spans="1:40" ht="14.25" customHeight="1" x14ac:dyDescent="0.2">
      <c r="A29" s="181"/>
      <c r="B29" s="176"/>
      <c r="C29" s="197"/>
      <c r="D29" s="176"/>
      <c r="E29" s="176"/>
      <c r="F29" s="176"/>
      <c r="G29" s="176"/>
      <c r="H29" s="176"/>
      <c r="I29" s="176"/>
      <c r="J29" s="176"/>
      <c r="K29" s="176"/>
      <c r="L29" s="176"/>
      <c r="M29" s="176"/>
      <c r="N29" s="176"/>
      <c r="O29" s="181"/>
      <c r="P29" s="181"/>
      <c r="Q29" s="176"/>
      <c r="R29" s="176"/>
      <c r="S29" s="40" t="s">
        <v>1115</v>
      </c>
      <c r="T29" s="117" t="s">
        <v>1116</v>
      </c>
      <c r="U29" s="141"/>
      <c r="V29" s="85"/>
      <c r="W29" s="85"/>
      <c r="X29" s="85"/>
      <c r="Y29" s="85"/>
      <c r="Z29" s="85"/>
      <c r="AA29" s="85"/>
      <c r="AB29" s="85"/>
      <c r="AC29" s="85"/>
      <c r="AD29" s="85"/>
      <c r="AE29" s="85"/>
      <c r="AF29" s="85"/>
      <c r="AG29" s="85"/>
      <c r="AH29" s="85"/>
      <c r="AI29" s="85"/>
      <c r="AJ29" s="85"/>
      <c r="AK29" s="85"/>
      <c r="AL29" s="85"/>
      <c r="AM29" s="85"/>
      <c r="AN29" s="85"/>
    </row>
    <row r="30" spans="1:40" ht="16.5" customHeight="1" x14ac:dyDescent="0.2">
      <c r="A30" s="181"/>
      <c r="B30" s="232" t="s">
        <v>251</v>
      </c>
      <c r="C30" s="184" t="s">
        <v>1118</v>
      </c>
      <c r="D30" s="179" t="s">
        <v>140</v>
      </c>
      <c r="E30" s="179" t="s">
        <v>140</v>
      </c>
      <c r="F30" s="179" t="s">
        <v>140</v>
      </c>
      <c r="G30" s="182">
        <v>1</v>
      </c>
      <c r="H30" s="182">
        <v>34160</v>
      </c>
      <c r="I30" s="183" t="s">
        <v>166</v>
      </c>
      <c r="J30" s="175">
        <v>0.75</v>
      </c>
      <c r="K30" s="179" t="s">
        <v>27</v>
      </c>
      <c r="L30" s="178">
        <v>150</v>
      </c>
      <c r="M30" s="179" t="s">
        <v>1119</v>
      </c>
      <c r="N30" s="180">
        <f>H30*L30*J30</f>
        <v>3843000</v>
      </c>
      <c r="O30" s="181"/>
      <c r="P30" s="181"/>
      <c r="Q30" s="175">
        <f>N30/$O$2</f>
        <v>78.11769488769184</v>
      </c>
      <c r="R30" s="191">
        <v>4</v>
      </c>
      <c r="S30" s="14" t="s">
        <v>1120</v>
      </c>
      <c r="T30" s="14" t="s">
        <v>1121</v>
      </c>
    </row>
    <row r="31" spans="1:40" ht="16.5" customHeight="1" x14ac:dyDescent="0.2">
      <c r="A31" s="181"/>
      <c r="B31" s="181"/>
      <c r="C31" s="181"/>
      <c r="D31" s="181"/>
      <c r="E31" s="181"/>
      <c r="F31" s="181"/>
      <c r="G31" s="181"/>
      <c r="H31" s="181"/>
      <c r="I31" s="181"/>
      <c r="J31" s="181"/>
      <c r="K31" s="181"/>
      <c r="L31" s="181"/>
      <c r="M31" s="181"/>
      <c r="N31" s="181"/>
      <c r="O31" s="181"/>
      <c r="P31" s="181"/>
      <c r="Q31" s="181"/>
      <c r="R31" s="181"/>
      <c r="S31" s="14" t="s">
        <v>625</v>
      </c>
      <c r="T31" s="14" t="s">
        <v>1123</v>
      </c>
    </row>
    <row r="32" spans="1:40" ht="15" customHeight="1" x14ac:dyDescent="0.2">
      <c r="A32" s="181"/>
      <c r="B32" s="181"/>
      <c r="C32" s="181"/>
      <c r="D32" s="176"/>
      <c r="E32" s="176"/>
      <c r="F32" s="176"/>
      <c r="G32" s="181"/>
      <c r="H32" s="181"/>
      <c r="I32" s="181"/>
      <c r="J32" s="176"/>
      <c r="K32" s="176"/>
      <c r="L32" s="176"/>
      <c r="M32" s="176"/>
      <c r="N32" s="176"/>
      <c r="O32" s="181"/>
      <c r="P32" s="181"/>
      <c r="Q32" s="176"/>
      <c r="R32" s="176"/>
      <c r="S32" s="14" t="s">
        <v>1124</v>
      </c>
      <c r="T32" s="14" t="s">
        <v>1125</v>
      </c>
      <c r="U32" s="63"/>
      <c r="V32" s="63"/>
      <c r="W32" s="63"/>
      <c r="X32" s="63"/>
      <c r="Y32" s="63"/>
      <c r="Z32" s="63"/>
      <c r="AA32" s="63"/>
      <c r="AB32" s="63"/>
      <c r="AC32" s="63"/>
      <c r="AD32" s="63"/>
      <c r="AE32" s="63"/>
      <c r="AF32" s="63"/>
      <c r="AG32" s="63"/>
      <c r="AH32" s="63"/>
      <c r="AI32" s="63"/>
      <c r="AJ32" s="63"/>
      <c r="AK32" s="63"/>
      <c r="AL32" s="63"/>
    </row>
    <row r="33" spans="1:40" ht="14.25" customHeight="1" x14ac:dyDescent="0.2">
      <c r="A33" s="181"/>
      <c r="B33" s="181"/>
      <c r="C33" s="181"/>
      <c r="D33" s="14" t="s">
        <v>154</v>
      </c>
      <c r="E33" s="14" t="s">
        <v>155</v>
      </c>
      <c r="F33" s="14" t="s">
        <v>156</v>
      </c>
      <c r="G33" s="181"/>
      <c r="H33" s="181"/>
      <c r="I33" s="181"/>
      <c r="J33" s="100">
        <v>0.75</v>
      </c>
      <c r="K33" s="101" t="s">
        <v>27</v>
      </c>
      <c r="L33" s="14">
        <v>6</v>
      </c>
      <c r="M33" s="14" t="s">
        <v>1126</v>
      </c>
      <c r="N33" s="38">
        <f>L33*H30*J33</f>
        <v>153720</v>
      </c>
      <c r="O33" s="181"/>
      <c r="P33" s="181"/>
      <c r="Q33" s="19">
        <f t="shared" ref="Q33:Q34" si="1">N33/$O$2</f>
        <v>3.1247077955076734</v>
      </c>
      <c r="R33" s="48">
        <v>2</v>
      </c>
      <c r="S33" s="14" t="s">
        <v>1128</v>
      </c>
      <c r="T33" s="14" t="s">
        <v>1129</v>
      </c>
    </row>
    <row r="34" spans="1:40" ht="14.25" customHeight="1" x14ac:dyDescent="0.2">
      <c r="A34" s="181"/>
      <c r="B34" s="181"/>
      <c r="C34" s="181"/>
      <c r="D34" s="179" t="s">
        <v>286</v>
      </c>
      <c r="E34" s="179" t="s">
        <v>287</v>
      </c>
      <c r="F34" s="179" t="s">
        <v>1130</v>
      </c>
      <c r="G34" s="181"/>
      <c r="H34" s="181"/>
      <c r="I34" s="181"/>
      <c r="J34" s="175">
        <v>0.25</v>
      </c>
      <c r="K34" s="179"/>
      <c r="L34" s="178">
        <v>1.4</v>
      </c>
      <c r="M34" s="179" t="s">
        <v>1131</v>
      </c>
      <c r="N34" s="180">
        <f>H30*J34*L34</f>
        <v>11956</v>
      </c>
      <c r="O34" s="181"/>
      <c r="P34" s="181"/>
      <c r="Q34" s="175">
        <f t="shared" si="1"/>
        <v>0.24303282853948571</v>
      </c>
      <c r="R34" s="231">
        <v>1</v>
      </c>
      <c r="S34" s="14" t="s">
        <v>1133</v>
      </c>
      <c r="T34" s="14" t="s">
        <v>1134</v>
      </c>
    </row>
    <row r="35" spans="1:40" ht="14.25" customHeight="1" x14ac:dyDescent="0.2">
      <c r="A35" s="181"/>
      <c r="B35" s="197"/>
      <c r="C35" s="176"/>
      <c r="D35" s="176"/>
      <c r="E35" s="176"/>
      <c r="F35" s="176"/>
      <c r="G35" s="176"/>
      <c r="H35" s="176"/>
      <c r="I35" s="176"/>
      <c r="J35" s="176"/>
      <c r="K35" s="176"/>
      <c r="L35" s="176"/>
      <c r="M35" s="176"/>
      <c r="N35" s="176"/>
      <c r="O35" s="181"/>
      <c r="P35" s="181"/>
      <c r="Q35" s="176"/>
      <c r="R35" s="176"/>
      <c r="S35" s="14" t="s">
        <v>1136</v>
      </c>
      <c r="T35" s="14" t="s">
        <v>1137</v>
      </c>
    </row>
    <row r="36" spans="1:40" ht="14.25" customHeight="1" x14ac:dyDescent="0.2">
      <c r="A36" s="181"/>
      <c r="B36" s="69" t="s">
        <v>463</v>
      </c>
      <c r="C36" s="69" t="s">
        <v>1138</v>
      </c>
      <c r="D36" s="50" t="s">
        <v>1140</v>
      </c>
      <c r="E36" s="50" t="s">
        <v>27</v>
      </c>
      <c r="F36" s="50" t="s">
        <v>27</v>
      </c>
      <c r="G36" s="70">
        <v>8</v>
      </c>
      <c r="H36" s="53">
        <v>21</v>
      </c>
      <c r="I36" s="50" t="s">
        <v>166</v>
      </c>
      <c r="J36" s="51" t="s">
        <v>27</v>
      </c>
      <c r="K36" s="50" t="s">
        <v>27</v>
      </c>
      <c r="L36" s="53" t="s">
        <v>27</v>
      </c>
      <c r="M36" s="50" t="s">
        <v>1141</v>
      </c>
      <c r="N36" s="54">
        <f>G36*H36</f>
        <v>168</v>
      </c>
      <c r="O36" s="181"/>
      <c r="P36" s="181"/>
      <c r="Q36" s="51">
        <f>N36/O2</f>
        <v>3.414981197276146E-3</v>
      </c>
      <c r="R36" s="62">
        <v>2</v>
      </c>
      <c r="S36" s="14" t="s">
        <v>623</v>
      </c>
      <c r="T36" s="85" t="s">
        <v>913</v>
      </c>
      <c r="U36" s="141"/>
      <c r="V36" s="85"/>
      <c r="W36" s="85"/>
      <c r="X36" s="85"/>
      <c r="Y36" s="85"/>
      <c r="Z36" s="85"/>
      <c r="AA36" s="85"/>
      <c r="AB36" s="85"/>
      <c r="AC36" s="85"/>
      <c r="AD36" s="85"/>
      <c r="AE36" s="85"/>
      <c r="AF36" s="85"/>
      <c r="AG36" s="85"/>
      <c r="AH36" s="85"/>
      <c r="AI36" s="85"/>
      <c r="AJ36" s="85"/>
      <c r="AK36" s="85"/>
      <c r="AL36" s="85"/>
      <c r="AM36" s="85"/>
      <c r="AN36" s="85"/>
    </row>
    <row r="37" spans="1:40" ht="14.25" customHeight="1" x14ac:dyDescent="0.2">
      <c r="A37" s="181"/>
      <c r="B37" s="183" t="s">
        <v>321</v>
      </c>
      <c r="C37" s="184" t="s">
        <v>484</v>
      </c>
      <c r="D37" s="179" t="s">
        <v>286</v>
      </c>
      <c r="E37" s="179" t="s">
        <v>287</v>
      </c>
      <c r="F37" s="179" t="s">
        <v>10</v>
      </c>
      <c r="G37" s="178">
        <v>2</v>
      </c>
      <c r="H37" s="182">
        <v>24598</v>
      </c>
      <c r="I37" s="183" t="s">
        <v>166</v>
      </c>
      <c r="J37" s="175">
        <v>0.125</v>
      </c>
      <c r="K37" s="179" t="s">
        <v>27</v>
      </c>
      <c r="L37" s="178">
        <v>2.5</v>
      </c>
      <c r="M37" s="179" t="s">
        <v>1149</v>
      </c>
      <c r="N37" s="180">
        <f>H37*L37*(J37)*G37</f>
        <v>15373.75</v>
      </c>
      <c r="O37" s="181"/>
      <c r="P37" s="181"/>
      <c r="Q37" s="175">
        <f>N37/$O$2</f>
        <v>0.31250635227157231</v>
      </c>
      <c r="R37" s="192">
        <v>2</v>
      </c>
      <c r="S37" s="14" t="s">
        <v>347</v>
      </c>
      <c r="T37" s="85" t="s">
        <v>490</v>
      </c>
      <c r="U37" s="141"/>
      <c r="V37" s="85"/>
      <c r="W37" s="85"/>
      <c r="X37" s="85"/>
      <c r="Y37" s="85"/>
      <c r="Z37" s="85"/>
      <c r="AA37" s="85"/>
      <c r="AB37" s="85"/>
      <c r="AC37" s="85"/>
      <c r="AD37" s="85"/>
      <c r="AE37" s="85"/>
      <c r="AF37" s="85"/>
      <c r="AG37" s="85"/>
      <c r="AH37" s="85"/>
      <c r="AI37" s="85"/>
      <c r="AJ37" s="85"/>
      <c r="AK37" s="85"/>
      <c r="AL37" s="85"/>
      <c r="AM37" s="85"/>
      <c r="AN37" s="85"/>
    </row>
    <row r="38" spans="1:40" ht="14.25" customHeight="1" x14ac:dyDescent="0.2">
      <c r="A38" s="181"/>
      <c r="B38" s="181"/>
      <c r="C38" s="181"/>
      <c r="D38" s="181"/>
      <c r="E38" s="181"/>
      <c r="F38" s="181"/>
      <c r="G38" s="181"/>
      <c r="H38" s="181"/>
      <c r="I38" s="181"/>
      <c r="J38" s="181"/>
      <c r="K38" s="181"/>
      <c r="L38" s="181"/>
      <c r="M38" s="181"/>
      <c r="N38" s="181"/>
      <c r="O38" s="181"/>
      <c r="P38" s="181"/>
      <c r="Q38" s="181"/>
      <c r="R38" s="181"/>
      <c r="S38" s="14" t="s">
        <v>349</v>
      </c>
      <c r="T38" s="85" t="s">
        <v>350</v>
      </c>
      <c r="U38" s="141"/>
      <c r="V38" s="85"/>
      <c r="W38" s="85"/>
      <c r="X38" s="85"/>
      <c r="Y38" s="85"/>
      <c r="Z38" s="85"/>
      <c r="AA38" s="85"/>
      <c r="AB38" s="85"/>
      <c r="AC38" s="85"/>
      <c r="AD38" s="85"/>
      <c r="AE38" s="85"/>
      <c r="AF38" s="85"/>
      <c r="AG38" s="85"/>
      <c r="AH38" s="85"/>
      <c r="AI38" s="85"/>
      <c r="AJ38" s="85"/>
      <c r="AK38" s="85"/>
      <c r="AL38" s="85"/>
      <c r="AM38" s="85"/>
      <c r="AN38" s="85"/>
    </row>
    <row r="39" spans="1:40" ht="14.25" customHeight="1" x14ac:dyDescent="0.2">
      <c r="A39" s="181"/>
      <c r="B39" s="181"/>
      <c r="C39" s="181"/>
      <c r="D39" s="176"/>
      <c r="E39" s="176"/>
      <c r="F39" s="176"/>
      <c r="G39" s="176"/>
      <c r="H39" s="181"/>
      <c r="I39" s="181"/>
      <c r="J39" s="176"/>
      <c r="K39" s="176"/>
      <c r="L39" s="176"/>
      <c r="M39" s="176"/>
      <c r="N39" s="176"/>
      <c r="O39" s="181"/>
      <c r="P39" s="181"/>
      <c r="Q39" s="176"/>
      <c r="R39" s="176"/>
      <c r="S39" s="14" t="s">
        <v>494</v>
      </c>
      <c r="T39" s="14" t="s">
        <v>495</v>
      </c>
      <c r="U39" s="141"/>
      <c r="V39" s="85"/>
      <c r="W39" s="85"/>
      <c r="X39" s="85"/>
      <c r="Y39" s="85"/>
      <c r="Z39" s="85"/>
      <c r="AA39" s="85"/>
      <c r="AB39" s="85"/>
      <c r="AC39" s="85"/>
      <c r="AD39" s="85"/>
      <c r="AE39" s="85"/>
      <c r="AF39" s="85"/>
      <c r="AG39" s="85"/>
      <c r="AH39" s="85"/>
      <c r="AI39" s="85"/>
      <c r="AJ39" s="85"/>
      <c r="AK39" s="85"/>
      <c r="AL39" s="85"/>
      <c r="AM39" s="85"/>
      <c r="AN39" s="85"/>
    </row>
    <row r="40" spans="1:40" ht="14.25" customHeight="1" x14ac:dyDescent="0.2">
      <c r="A40" s="181"/>
      <c r="B40" s="181"/>
      <c r="C40" s="181"/>
      <c r="D40" s="179" t="s">
        <v>498</v>
      </c>
      <c r="E40" s="179" t="s">
        <v>294</v>
      </c>
      <c r="F40" s="196" t="s">
        <v>12</v>
      </c>
      <c r="G40" s="178">
        <v>1</v>
      </c>
      <c r="H40" s="181"/>
      <c r="I40" s="181"/>
      <c r="J40" s="193">
        <v>4.1666666666666664E-2</v>
      </c>
      <c r="K40" s="179" t="s">
        <v>27</v>
      </c>
      <c r="L40" s="178">
        <v>2</v>
      </c>
      <c r="M40" s="179" t="s">
        <v>1162</v>
      </c>
      <c r="N40" s="201">
        <f>H37*L40</f>
        <v>49196</v>
      </c>
      <c r="O40" s="181"/>
      <c r="P40" s="181"/>
      <c r="Q40" s="175">
        <f>N40/$O$2</f>
        <v>1.0000203272690313</v>
      </c>
      <c r="R40" s="191">
        <v>2</v>
      </c>
      <c r="S40" s="14" t="s">
        <v>503</v>
      </c>
      <c r="T40" s="85" t="s">
        <v>504</v>
      </c>
      <c r="U40" s="141"/>
      <c r="V40" s="85"/>
      <c r="W40" s="85"/>
      <c r="X40" s="85"/>
      <c r="Y40" s="85"/>
      <c r="Z40" s="85"/>
      <c r="AA40" s="85"/>
      <c r="AB40" s="85"/>
      <c r="AC40" s="85"/>
      <c r="AD40" s="85"/>
      <c r="AE40" s="85"/>
      <c r="AF40" s="85"/>
      <c r="AG40" s="85"/>
      <c r="AH40" s="85"/>
      <c r="AI40" s="85"/>
      <c r="AJ40" s="85"/>
      <c r="AK40" s="85"/>
      <c r="AL40" s="85"/>
      <c r="AM40" s="85"/>
      <c r="AN40" s="85"/>
    </row>
    <row r="41" spans="1:40" ht="14.25" customHeight="1" x14ac:dyDescent="0.2">
      <c r="A41" s="181"/>
      <c r="B41" s="181"/>
      <c r="C41" s="181"/>
      <c r="D41" s="181"/>
      <c r="E41" s="181"/>
      <c r="F41" s="181"/>
      <c r="G41" s="181"/>
      <c r="H41" s="181"/>
      <c r="I41" s="181"/>
      <c r="J41" s="181"/>
      <c r="K41" s="181"/>
      <c r="L41" s="181"/>
      <c r="M41" s="181"/>
      <c r="N41" s="181"/>
      <c r="O41" s="181"/>
      <c r="P41" s="181"/>
      <c r="Q41" s="181"/>
      <c r="R41" s="181"/>
      <c r="S41" s="14" t="s">
        <v>508</v>
      </c>
      <c r="T41" s="85" t="s">
        <v>509</v>
      </c>
      <c r="U41" s="141"/>
      <c r="V41" s="85"/>
      <c r="W41" s="85"/>
      <c r="X41" s="85"/>
      <c r="Y41" s="85"/>
      <c r="Z41" s="85"/>
      <c r="AA41" s="85"/>
      <c r="AB41" s="85"/>
      <c r="AC41" s="85"/>
      <c r="AD41" s="85"/>
      <c r="AE41" s="85"/>
      <c r="AF41" s="85"/>
      <c r="AG41" s="85"/>
      <c r="AH41" s="85"/>
      <c r="AI41" s="85"/>
      <c r="AJ41" s="85"/>
      <c r="AK41" s="85"/>
      <c r="AL41" s="85"/>
      <c r="AM41" s="85"/>
      <c r="AN41" s="85"/>
    </row>
    <row r="42" spans="1:40" ht="14.25" customHeight="1" x14ac:dyDescent="0.2">
      <c r="A42" s="181"/>
      <c r="B42" s="181"/>
      <c r="C42" s="181"/>
      <c r="D42" s="176"/>
      <c r="E42" s="176"/>
      <c r="F42" s="176"/>
      <c r="G42" s="176"/>
      <c r="H42" s="181"/>
      <c r="I42" s="181"/>
      <c r="J42" s="176"/>
      <c r="K42" s="176"/>
      <c r="L42" s="176"/>
      <c r="M42" s="176"/>
      <c r="N42" s="176"/>
      <c r="O42" s="181"/>
      <c r="P42" s="181"/>
      <c r="Q42" s="176"/>
      <c r="R42" s="176"/>
      <c r="S42" s="40" t="s">
        <v>510</v>
      </c>
      <c r="T42" s="85" t="s">
        <v>512</v>
      </c>
      <c r="U42" s="141"/>
      <c r="V42" s="85"/>
      <c r="W42" s="85"/>
      <c r="X42" s="85"/>
      <c r="Y42" s="85"/>
      <c r="Z42" s="85"/>
      <c r="AA42" s="85"/>
      <c r="AB42" s="85"/>
      <c r="AC42" s="85"/>
      <c r="AD42" s="85"/>
      <c r="AE42" s="85"/>
      <c r="AF42" s="85"/>
      <c r="AG42" s="85"/>
      <c r="AH42" s="85"/>
      <c r="AI42" s="85"/>
      <c r="AJ42" s="85"/>
      <c r="AK42" s="85"/>
      <c r="AL42" s="85"/>
      <c r="AM42" s="85"/>
      <c r="AN42" s="85"/>
    </row>
    <row r="43" spans="1:40" ht="15" customHeight="1" x14ac:dyDescent="0.2">
      <c r="A43" s="181"/>
      <c r="B43" s="181"/>
      <c r="C43" s="181"/>
      <c r="D43" s="179" t="s">
        <v>515</v>
      </c>
      <c r="E43" s="179" t="s">
        <v>516</v>
      </c>
      <c r="F43" s="179" t="s">
        <v>517</v>
      </c>
      <c r="G43" s="178">
        <v>1</v>
      </c>
      <c r="H43" s="181"/>
      <c r="I43" s="181"/>
      <c r="J43" s="175" t="s">
        <v>27</v>
      </c>
      <c r="K43" s="179" t="s">
        <v>27</v>
      </c>
      <c r="L43" s="178">
        <v>6.3</v>
      </c>
      <c r="M43" s="179" t="s">
        <v>1173</v>
      </c>
      <c r="N43" s="180">
        <f>L43*H37</f>
        <v>154967.4</v>
      </c>
      <c r="O43" s="181"/>
      <c r="P43" s="181"/>
      <c r="Q43" s="175">
        <f>N43/$O$2</f>
        <v>3.150064030897449</v>
      </c>
      <c r="R43" s="191">
        <v>5</v>
      </c>
      <c r="S43" s="14" t="s">
        <v>521</v>
      </c>
      <c r="T43" s="85" t="s">
        <v>522</v>
      </c>
      <c r="U43" s="141"/>
      <c r="V43" s="85"/>
      <c r="W43" s="85"/>
      <c r="X43" s="85"/>
      <c r="Y43" s="85"/>
      <c r="Z43" s="85"/>
      <c r="AA43" s="85"/>
      <c r="AB43" s="85"/>
      <c r="AC43" s="85"/>
      <c r="AD43" s="85"/>
      <c r="AE43" s="85"/>
      <c r="AF43" s="85"/>
      <c r="AG43" s="85"/>
      <c r="AH43" s="85"/>
      <c r="AI43" s="85"/>
      <c r="AJ43" s="85"/>
      <c r="AK43" s="85"/>
      <c r="AL43" s="85"/>
      <c r="AM43" s="85"/>
      <c r="AN43" s="85"/>
    </row>
    <row r="44" spans="1:40" ht="14.25" customHeight="1" x14ac:dyDescent="0.2">
      <c r="A44" s="181"/>
      <c r="B44" s="181"/>
      <c r="C44" s="181"/>
      <c r="D44" s="176"/>
      <c r="E44" s="176"/>
      <c r="F44" s="176"/>
      <c r="G44" s="176"/>
      <c r="H44" s="181"/>
      <c r="I44" s="176"/>
      <c r="J44" s="176"/>
      <c r="K44" s="176"/>
      <c r="L44" s="176"/>
      <c r="M44" s="176"/>
      <c r="N44" s="176"/>
      <c r="O44" s="181"/>
      <c r="P44" s="181"/>
      <c r="Q44" s="176"/>
      <c r="R44" s="176"/>
      <c r="S44" s="14" t="s">
        <v>524</v>
      </c>
      <c r="T44" s="85" t="s">
        <v>525</v>
      </c>
      <c r="U44" s="141"/>
      <c r="V44" s="85"/>
      <c r="W44" s="85"/>
      <c r="X44" s="85"/>
      <c r="Y44" s="85"/>
      <c r="Z44" s="85"/>
      <c r="AA44" s="85"/>
      <c r="AB44" s="85"/>
      <c r="AC44" s="85"/>
      <c r="AD44" s="85"/>
      <c r="AE44" s="85"/>
      <c r="AF44" s="85"/>
      <c r="AG44" s="85"/>
      <c r="AH44" s="85"/>
      <c r="AI44" s="85"/>
      <c r="AJ44" s="85"/>
      <c r="AK44" s="85"/>
      <c r="AL44" s="85"/>
      <c r="AM44" s="85"/>
      <c r="AN44" s="85"/>
    </row>
    <row r="45" spans="1:40" ht="17.25" customHeight="1" x14ac:dyDescent="0.2">
      <c r="A45" s="181"/>
      <c r="B45" s="181"/>
      <c r="C45" s="181"/>
      <c r="D45" s="179" t="s">
        <v>526</v>
      </c>
      <c r="E45" s="179" t="s">
        <v>527</v>
      </c>
      <c r="F45" s="179" t="s">
        <v>23</v>
      </c>
      <c r="G45" s="182">
        <v>1</v>
      </c>
      <c r="H45" s="181"/>
      <c r="I45" s="183" t="s">
        <v>166</v>
      </c>
      <c r="J45" s="175" t="s">
        <v>27</v>
      </c>
      <c r="K45" s="179" t="s">
        <v>27</v>
      </c>
      <c r="L45" s="178">
        <v>1</v>
      </c>
      <c r="M45" s="179" t="s">
        <v>1179</v>
      </c>
      <c r="N45" s="180">
        <f>L45*H37</f>
        <v>24598</v>
      </c>
      <c r="O45" s="181"/>
      <c r="P45" s="181"/>
      <c r="Q45" s="175">
        <f>N45/$O$2</f>
        <v>0.50001016363451567</v>
      </c>
      <c r="R45" s="191">
        <v>4</v>
      </c>
      <c r="S45" s="40" t="s">
        <v>530</v>
      </c>
      <c r="T45" s="85" t="s">
        <v>531</v>
      </c>
      <c r="U45" s="141"/>
      <c r="V45" s="85"/>
      <c r="W45" s="85"/>
      <c r="X45" s="85"/>
      <c r="Y45" s="85"/>
      <c r="Z45" s="85"/>
      <c r="AA45" s="85"/>
      <c r="AB45" s="85"/>
      <c r="AC45" s="85"/>
      <c r="AD45" s="85"/>
      <c r="AE45" s="85"/>
      <c r="AF45" s="85"/>
      <c r="AG45" s="85"/>
      <c r="AH45" s="85"/>
      <c r="AI45" s="85"/>
      <c r="AJ45" s="85"/>
      <c r="AK45" s="85"/>
      <c r="AL45" s="85"/>
      <c r="AM45" s="85"/>
      <c r="AN45" s="85"/>
    </row>
    <row r="46" spans="1:40" ht="14.25" customHeight="1" x14ac:dyDescent="0.2">
      <c r="A46" s="181"/>
      <c r="B46" s="181"/>
      <c r="C46" s="181"/>
      <c r="D46" s="181"/>
      <c r="E46" s="181"/>
      <c r="F46" s="181"/>
      <c r="G46" s="181"/>
      <c r="H46" s="181"/>
      <c r="I46" s="181"/>
      <c r="J46" s="181"/>
      <c r="K46" s="181"/>
      <c r="L46" s="181"/>
      <c r="M46" s="181"/>
      <c r="N46" s="181"/>
      <c r="O46" s="181"/>
      <c r="P46" s="181"/>
      <c r="Q46" s="181"/>
      <c r="R46" s="181"/>
      <c r="S46" s="14" t="s">
        <v>191</v>
      </c>
      <c r="T46" s="14" t="s">
        <v>534</v>
      </c>
      <c r="U46" s="141"/>
      <c r="V46" s="85"/>
      <c r="W46" s="85"/>
      <c r="X46" s="85"/>
      <c r="Y46" s="85"/>
      <c r="Z46" s="85"/>
      <c r="AA46" s="85"/>
      <c r="AB46" s="85"/>
      <c r="AC46" s="85"/>
      <c r="AD46" s="85"/>
      <c r="AE46" s="85"/>
      <c r="AF46" s="85"/>
      <c r="AG46" s="85"/>
      <c r="AH46" s="85"/>
      <c r="AI46" s="85"/>
      <c r="AJ46" s="85"/>
      <c r="AK46" s="85"/>
      <c r="AL46" s="85"/>
      <c r="AM46" s="85"/>
      <c r="AN46" s="85"/>
    </row>
    <row r="47" spans="1:40" ht="14.25" customHeight="1" x14ac:dyDescent="0.2">
      <c r="A47" s="176"/>
      <c r="B47" s="176"/>
      <c r="C47" s="176"/>
      <c r="D47" s="176"/>
      <c r="E47" s="176"/>
      <c r="F47" s="176"/>
      <c r="G47" s="176"/>
      <c r="H47" s="176"/>
      <c r="I47" s="176"/>
      <c r="J47" s="176"/>
      <c r="K47" s="176"/>
      <c r="L47" s="176"/>
      <c r="M47" s="176"/>
      <c r="N47" s="176"/>
      <c r="O47" s="176"/>
      <c r="P47" s="176"/>
      <c r="Q47" s="176"/>
      <c r="R47" s="176"/>
      <c r="S47" s="14" t="s">
        <v>536</v>
      </c>
      <c r="T47" s="85" t="s">
        <v>537</v>
      </c>
      <c r="U47" s="141"/>
      <c r="V47" s="85"/>
      <c r="W47" s="85"/>
      <c r="X47" s="85"/>
      <c r="Y47" s="85"/>
      <c r="Z47" s="85"/>
      <c r="AA47" s="85"/>
      <c r="AB47" s="85"/>
      <c r="AC47" s="85"/>
      <c r="AD47" s="85"/>
      <c r="AE47" s="85"/>
      <c r="AF47" s="85"/>
      <c r="AG47" s="85"/>
      <c r="AH47" s="85"/>
      <c r="AI47" s="85"/>
      <c r="AJ47" s="85"/>
      <c r="AK47" s="85"/>
      <c r="AL47" s="85"/>
      <c r="AM47" s="85"/>
      <c r="AN47" s="85"/>
    </row>
    <row r="48" spans="1:40" ht="14.25" customHeight="1" x14ac:dyDescent="0.2">
      <c r="T48" s="84"/>
    </row>
    <row r="49" spans="6:20" ht="14.25" customHeight="1" x14ac:dyDescent="0.2">
      <c r="T49" s="84"/>
    </row>
    <row r="50" spans="6:20" ht="14.25" customHeight="1" x14ac:dyDescent="0.2">
      <c r="F50" s="28" t="s">
        <v>121</v>
      </c>
      <c r="G50" s="28" t="s">
        <v>128</v>
      </c>
      <c r="H50" s="28" t="s">
        <v>1186</v>
      </c>
      <c r="T50" s="84"/>
    </row>
    <row r="51" spans="6:20" ht="14.25" customHeight="1" x14ac:dyDescent="0.2">
      <c r="F51" s="50" t="s">
        <v>140</v>
      </c>
      <c r="G51" s="72">
        <f t="shared" ref="G51:G60" si="2">SUMIF($F$2:$F$47,F51,N$2:N$47)</f>
        <v>8030865.625</v>
      </c>
      <c r="H51" s="73">
        <f t="shared" ref="H51:H60" si="3">SUMIF($F$2:$F$47,F51,Q$2:Q$47)</f>
        <v>163.24556611444254</v>
      </c>
      <c r="T51" s="84"/>
    </row>
    <row r="52" spans="6:20" ht="14.25" customHeight="1" x14ac:dyDescent="0.2">
      <c r="F52" s="14" t="s">
        <v>156</v>
      </c>
      <c r="G52" s="72">
        <f t="shared" si="2"/>
        <v>365100.1791666667</v>
      </c>
      <c r="H52" s="73">
        <f t="shared" si="3"/>
        <v>7.4214895653352304</v>
      </c>
      <c r="T52" s="84"/>
    </row>
    <row r="53" spans="6:20" ht="14.25" customHeight="1" x14ac:dyDescent="0.2">
      <c r="F53" s="50" t="s">
        <v>8</v>
      </c>
      <c r="G53" s="72">
        <f t="shared" si="2"/>
        <v>54108</v>
      </c>
      <c r="H53" s="73">
        <f t="shared" si="3"/>
        <v>1.0998678727512958</v>
      </c>
      <c r="T53" s="84"/>
    </row>
    <row r="54" spans="6:20" ht="14.25" customHeight="1" x14ac:dyDescent="0.2">
      <c r="F54" s="50" t="s">
        <v>9</v>
      </c>
      <c r="G54" s="72">
        <f t="shared" si="2"/>
        <v>15107.4</v>
      </c>
      <c r="H54" s="73">
        <f t="shared" si="3"/>
        <v>0.3070921841650574</v>
      </c>
      <c r="T54" s="84"/>
    </row>
    <row r="55" spans="6:20" ht="14.25" customHeight="1" x14ac:dyDescent="0.2">
      <c r="F55" s="50" t="s">
        <v>7</v>
      </c>
      <c r="G55" s="72">
        <f t="shared" si="2"/>
        <v>40734.288</v>
      </c>
      <c r="H55" s="73">
        <f t="shared" si="3"/>
        <v>0.828016830978758</v>
      </c>
      <c r="T55" s="84"/>
    </row>
    <row r="56" spans="6:20" ht="14.25" customHeight="1" x14ac:dyDescent="0.2">
      <c r="F56" s="50" t="s">
        <v>1130</v>
      </c>
      <c r="G56" s="72">
        <f t="shared" si="2"/>
        <v>11956</v>
      </c>
      <c r="H56" s="73">
        <f t="shared" si="3"/>
        <v>0.24303282853948571</v>
      </c>
      <c r="T56" s="84"/>
    </row>
    <row r="57" spans="6:20" ht="14.25" customHeight="1" x14ac:dyDescent="0.2">
      <c r="F57" s="50" t="s">
        <v>10</v>
      </c>
      <c r="G57" s="72">
        <f t="shared" si="2"/>
        <v>15373.75</v>
      </c>
      <c r="H57" s="73">
        <f t="shared" si="3"/>
        <v>0.31250635227157231</v>
      </c>
      <c r="T57" s="84"/>
    </row>
    <row r="58" spans="6:20" ht="14.25" customHeight="1" x14ac:dyDescent="0.2">
      <c r="F58" s="92" t="s">
        <v>12</v>
      </c>
      <c r="G58" s="72">
        <f t="shared" si="2"/>
        <v>49196</v>
      </c>
      <c r="H58" s="73">
        <f t="shared" si="3"/>
        <v>1.0000203272690313</v>
      </c>
      <c r="T58" s="84"/>
    </row>
    <row r="59" spans="6:20" ht="14.25" customHeight="1" x14ac:dyDescent="0.2">
      <c r="F59" s="50" t="s">
        <v>517</v>
      </c>
      <c r="G59" s="72">
        <f t="shared" si="2"/>
        <v>154967.4</v>
      </c>
      <c r="H59" s="73">
        <f t="shared" si="3"/>
        <v>3.150064030897449</v>
      </c>
      <c r="T59" s="84"/>
    </row>
    <row r="60" spans="6:20" ht="14.25" customHeight="1" x14ac:dyDescent="0.2">
      <c r="F60" s="50" t="s">
        <v>23</v>
      </c>
      <c r="G60" s="72">
        <f t="shared" si="2"/>
        <v>24598</v>
      </c>
      <c r="H60" s="73">
        <f t="shared" si="3"/>
        <v>0.50001016363451567</v>
      </c>
      <c r="T60" s="84"/>
    </row>
    <row r="61" spans="6:20" ht="14.25" customHeight="1" x14ac:dyDescent="0.2">
      <c r="T61" s="84"/>
    </row>
    <row r="62" spans="6:20" ht="14.25" customHeight="1" x14ac:dyDescent="0.2">
      <c r="T62" s="84"/>
    </row>
    <row r="63" spans="6:20" ht="14.25" customHeight="1" x14ac:dyDescent="0.2">
      <c r="F63" s="93" t="s">
        <v>751</v>
      </c>
      <c r="G63" s="28" t="s">
        <v>128</v>
      </c>
      <c r="H63" s="28" t="s">
        <v>1191</v>
      </c>
      <c r="T63" s="84"/>
    </row>
    <row r="64" spans="6:20" ht="14.25" customHeight="1" x14ac:dyDescent="0.2">
      <c r="F64" s="50" t="s">
        <v>140</v>
      </c>
      <c r="G64" s="72">
        <f t="shared" ref="G64:G69" si="4">SUMIF($E$2:$E$47,F64,$N$2:$N$47)</f>
        <v>8030865.625</v>
      </c>
      <c r="H64" s="73">
        <f t="shared" ref="H64:H69" si="5">SUMIF($E$2:$E$47,F64,Q$2:Q$47)</f>
        <v>163.24556611444254</v>
      </c>
      <c r="T64" s="84"/>
    </row>
    <row r="65" spans="6:20" ht="14.25" customHeight="1" x14ac:dyDescent="0.2">
      <c r="F65" s="14" t="s">
        <v>155</v>
      </c>
      <c r="G65" s="72">
        <f t="shared" si="4"/>
        <v>475049.86716666666</v>
      </c>
      <c r="H65" s="73">
        <f t="shared" si="5"/>
        <v>9.6564664532303404</v>
      </c>
      <c r="T65" s="84"/>
    </row>
    <row r="66" spans="6:20" ht="14.25" customHeight="1" x14ac:dyDescent="0.2">
      <c r="F66" s="50" t="s">
        <v>287</v>
      </c>
      <c r="G66" s="72">
        <f t="shared" si="4"/>
        <v>27329.75</v>
      </c>
      <c r="H66" s="73">
        <f t="shared" si="5"/>
        <v>0.55553918081105802</v>
      </c>
      <c r="T66" s="84"/>
    </row>
    <row r="67" spans="6:20" ht="14.25" customHeight="1" x14ac:dyDescent="0.2">
      <c r="F67" s="50" t="s">
        <v>294</v>
      </c>
      <c r="G67" s="72">
        <f t="shared" si="4"/>
        <v>49196</v>
      </c>
      <c r="H67" s="73">
        <f t="shared" si="5"/>
        <v>1.0000203272690313</v>
      </c>
      <c r="T67" s="84"/>
    </row>
    <row r="68" spans="6:20" ht="14.25" customHeight="1" x14ac:dyDescent="0.2">
      <c r="F68" s="50" t="s">
        <v>516</v>
      </c>
      <c r="G68" s="72">
        <f t="shared" si="4"/>
        <v>154967.4</v>
      </c>
      <c r="H68" s="73">
        <f t="shared" si="5"/>
        <v>3.150064030897449</v>
      </c>
      <c r="T68" s="84"/>
    </row>
    <row r="69" spans="6:20" ht="14.25" customHeight="1" x14ac:dyDescent="0.2">
      <c r="F69" s="50" t="s">
        <v>527</v>
      </c>
      <c r="G69" s="72">
        <f t="shared" si="4"/>
        <v>24598</v>
      </c>
      <c r="H69" s="73">
        <f t="shared" si="5"/>
        <v>0.50001016363451567</v>
      </c>
      <c r="T69" s="84"/>
    </row>
    <row r="70" spans="6:20" ht="14.25" customHeight="1" x14ac:dyDescent="0.2">
      <c r="T70" s="84"/>
    </row>
    <row r="71" spans="6:20" ht="14.25" customHeight="1" x14ac:dyDescent="0.2">
      <c r="T71" s="84"/>
    </row>
    <row r="72" spans="6:20" ht="14.25" customHeight="1" x14ac:dyDescent="0.2">
      <c r="G72" s="75"/>
      <c r="T72" s="84"/>
    </row>
    <row r="73" spans="6:20" ht="14.25" customHeight="1" x14ac:dyDescent="0.2">
      <c r="T73" s="84"/>
    </row>
    <row r="74" spans="6:20" ht="14.25" customHeight="1" x14ac:dyDescent="0.2">
      <c r="T74" s="84"/>
    </row>
    <row r="75" spans="6:20" ht="14.25" customHeight="1" x14ac:dyDescent="0.2">
      <c r="T75" s="84"/>
    </row>
    <row r="76" spans="6:20" ht="14.25" customHeight="1" x14ac:dyDescent="0.2">
      <c r="T76" s="84"/>
    </row>
    <row r="77" spans="6:20" ht="14.25" customHeight="1" x14ac:dyDescent="0.2">
      <c r="T77" s="84"/>
    </row>
    <row r="78" spans="6:20" ht="14.25" customHeight="1" x14ac:dyDescent="0.2">
      <c r="T78" s="84"/>
    </row>
    <row r="79" spans="6:20" ht="14.25" customHeight="1" x14ac:dyDescent="0.2">
      <c r="T79" s="84"/>
    </row>
    <row r="80" spans="6:20" ht="14.25" customHeight="1" x14ac:dyDescent="0.2">
      <c r="T80" s="84"/>
    </row>
    <row r="81" spans="20:20" ht="14.25" customHeight="1" x14ac:dyDescent="0.2">
      <c r="T81" s="84"/>
    </row>
    <row r="82" spans="20:20" ht="14.25" customHeight="1" x14ac:dyDescent="0.2">
      <c r="T82" s="84"/>
    </row>
    <row r="83" spans="20:20" ht="14.25" customHeight="1" x14ac:dyDescent="0.2">
      <c r="T83" s="84"/>
    </row>
    <row r="84" spans="20:20" ht="14.25" customHeight="1" x14ac:dyDescent="0.2">
      <c r="T84" s="84"/>
    </row>
    <row r="85" spans="20:20" ht="14.25" customHeight="1" x14ac:dyDescent="0.2">
      <c r="T85" s="84"/>
    </row>
    <row r="86" spans="20:20" ht="14.25" customHeight="1" x14ac:dyDescent="0.2">
      <c r="T86" s="84"/>
    </row>
    <row r="87" spans="20:20" ht="14.25" customHeight="1" x14ac:dyDescent="0.2">
      <c r="T87" s="84"/>
    </row>
    <row r="88" spans="20:20" ht="14.25" customHeight="1" x14ac:dyDescent="0.2">
      <c r="T88" s="84"/>
    </row>
    <row r="89" spans="20:20" ht="14.25" customHeight="1" x14ac:dyDescent="0.2">
      <c r="T89" s="84"/>
    </row>
    <row r="90" spans="20:20" ht="14.25" customHeight="1" x14ac:dyDescent="0.2">
      <c r="T90" s="84"/>
    </row>
    <row r="91" spans="20:20" ht="14.25" customHeight="1" x14ac:dyDescent="0.2">
      <c r="T91" s="84"/>
    </row>
    <row r="92" spans="20:20" ht="14.25" customHeight="1" x14ac:dyDescent="0.2">
      <c r="T92" s="84"/>
    </row>
    <row r="93" spans="20:20" ht="14.25" customHeight="1" x14ac:dyDescent="0.2">
      <c r="T93" s="84"/>
    </row>
    <row r="94" spans="20:20" ht="14.25" customHeight="1" x14ac:dyDescent="0.2">
      <c r="T94" s="84"/>
    </row>
    <row r="95" spans="20:20" ht="14.25" customHeight="1" x14ac:dyDescent="0.2">
      <c r="T95" s="84"/>
    </row>
    <row r="96" spans="20:20" ht="14.25" customHeight="1" x14ac:dyDescent="0.2">
      <c r="T96" s="84"/>
    </row>
    <row r="97" spans="20:20" ht="14.25" customHeight="1" x14ac:dyDescent="0.2">
      <c r="T97" s="84"/>
    </row>
    <row r="98" spans="20:20" ht="14.25" customHeight="1" x14ac:dyDescent="0.2">
      <c r="T98" s="84"/>
    </row>
    <row r="99" spans="20:20" ht="14.25" customHeight="1" x14ac:dyDescent="0.2">
      <c r="T99" s="84"/>
    </row>
    <row r="100" spans="20:20" ht="14.25" customHeight="1" x14ac:dyDescent="0.2">
      <c r="T100" s="84"/>
    </row>
    <row r="101" spans="20:20" ht="14.25" customHeight="1" x14ac:dyDescent="0.2">
      <c r="T101" s="84"/>
    </row>
    <row r="102" spans="20:20" ht="14.25" customHeight="1" x14ac:dyDescent="0.2">
      <c r="T102" s="84"/>
    </row>
    <row r="103" spans="20:20" ht="14.25" customHeight="1" x14ac:dyDescent="0.2">
      <c r="T103" s="84"/>
    </row>
    <row r="104" spans="20:20" ht="14.25" customHeight="1" x14ac:dyDescent="0.2">
      <c r="T104" s="84"/>
    </row>
    <row r="105" spans="20:20" ht="14.25" customHeight="1" x14ac:dyDescent="0.2">
      <c r="T105" s="84"/>
    </row>
    <row r="106" spans="20:20" ht="14.25" customHeight="1" x14ac:dyDescent="0.2">
      <c r="T106" s="84"/>
    </row>
    <row r="107" spans="20:20" ht="14.25" customHeight="1" x14ac:dyDescent="0.2">
      <c r="T107" s="84"/>
    </row>
    <row r="108" spans="20:20" ht="14.25" customHeight="1" x14ac:dyDescent="0.2">
      <c r="T108" s="84"/>
    </row>
    <row r="109" spans="20:20" ht="14.25" customHeight="1" x14ac:dyDescent="0.2">
      <c r="T109" s="84"/>
    </row>
    <row r="110" spans="20:20" ht="14.25" customHeight="1" x14ac:dyDescent="0.2">
      <c r="T110" s="84"/>
    </row>
    <row r="111" spans="20:20" ht="14.25" customHeight="1" x14ac:dyDescent="0.2">
      <c r="T111" s="84"/>
    </row>
    <row r="112" spans="20:20" ht="14.25" customHeight="1" x14ac:dyDescent="0.2">
      <c r="T112" s="84"/>
    </row>
    <row r="113" spans="20:20" ht="14.25" customHeight="1" x14ac:dyDescent="0.2">
      <c r="T113" s="84"/>
    </row>
    <row r="114" spans="20:20" ht="14.25" customHeight="1" x14ac:dyDescent="0.2">
      <c r="T114" s="84"/>
    </row>
    <row r="115" spans="20:20" ht="14.25" customHeight="1" x14ac:dyDescent="0.2">
      <c r="T115" s="84"/>
    </row>
    <row r="116" spans="20:20" ht="14.25" customHeight="1" x14ac:dyDescent="0.2">
      <c r="T116" s="84"/>
    </row>
    <row r="117" spans="20:20" ht="14.25" customHeight="1" x14ac:dyDescent="0.2">
      <c r="T117" s="84"/>
    </row>
    <row r="118" spans="20:20" ht="14.25" customHeight="1" x14ac:dyDescent="0.2">
      <c r="T118" s="84"/>
    </row>
    <row r="119" spans="20:20" ht="14.25" customHeight="1" x14ac:dyDescent="0.2">
      <c r="T119" s="84"/>
    </row>
    <row r="120" spans="20:20" ht="14.25" customHeight="1" x14ac:dyDescent="0.2">
      <c r="T120" s="84"/>
    </row>
    <row r="121" spans="20:20" ht="14.25" customHeight="1" x14ac:dyDescent="0.2">
      <c r="T121" s="84"/>
    </row>
    <row r="122" spans="20:20" ht="14.25" customHeight="1" x14ac:dyDescent="0.2">
      <c r="T122" s="84"/>
    </row>
    <row r="123" spans="20:20" ht="14.25" customHeight="1" x14ac:dyDescent="0.2">
      <c r="T123" s="84"/>
    </row>
    <row r="124" spans="20:20" ht="14.25" customHeight="1" x14ac:dyDescent="0.2">
      <c r="T124" s="84"/>
    </row>
    <row r="125" spans="20:20" ht="14.25" customHeight="1" x14ac:dyDescent="0.2">
      <c r="T125" s="84"/>
    </row>
    <row r="126" spans="20:20" ht="14.25" customHeight="1" x14ac:dyDescent="0.2">
      <c r="T126" s="84"/>
    </row>
    <row r="127" spans="20:20" ht="14.25" customHeight="1" x14ac:dyDescent="0.2">
      <c r="T127" s="84"/>
    </row>
    <row r="128" spans="20: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188">
    <mergeCell ref="R5:R6"/>
    <mergeCell ref="R2:R3"/>
    <mergeCell ref="Q14:Q16"/>
    <mergeCell ref="R14:R16"/>
    <mergeCell ref="Q17:Q19"/>
    <mergeCell ref="R17:R19"/>
    <mergeCell ref="R20:R21"/>
    <mergeCell ref="Q20:Q21"/>
    <mergeCell ref="Q22:Q26"/>
    <mergeCell ref="R22:R26"/>
    <mergeCell ref="A2:A47"/>
    <mergeCell ref="C2:C4"/>
    <mergeCell ref="D2:D3"/>
    <mergeCell ref="E2:E3"/>
    <mergeCell ref="F2:F3"/>
    <mergeCell ref="F5:F6"/>
    <mergeCell ref="C14:C29"/>
    <mergeCell ref="F45:F47"/>
    <mergeCell ref="B30:B35"/>
    <mergeCell ref="C30:C35"/>
    <mergeCell ref="D30:D32"/>
    <mergeCell ref="E30:E32"/>
    <mergeCell ref="F30:F32"/>
    <mergeCell ref="D34:D35"/>
    <mergeCell ref="E34:E35"/>
    <mergeCell ref="F34:F35"/>
    <mergeCell ref="B37:B47"/>
    <mergeCell ref="C37:C47"/>
    <mergeCell ref="D37:D39"/>
    <mergeCell ref="E37:E39"/>
    <mergeCell ref="D43:D44"/>
    <mergeCell ref="E43:E44"/>
    <mergeCell ref="G2:G4"/>
    <mergeCell ref="G5:G7"/>
    <mergeCell ref="H5:H7"/>
    <mergeCell ref="H2:H4"/>
    <mergeCell ref="G40:G42"/>
    <mergeCell ref="J40:J42"/>
    <mergeCell ref="B2:B4"/>
    <mergeCell ref="B14:B29"/>
    <mergeCell ref="B5:B7"/>
    <mergeCell ref="C5:C7"/>
    <mergeCell ref="F43:F44"/>
    <mergeCell ref="G43:G44"/>
    <mergeCell ref="J43:J44"/>
    <mergeCell ref="K43:K44"/>
    <mergeCell ref="L43:L44"/>
    <mergeCell ref="G8:G9"/>
    <mergeCell ref="H8:H9"/>
    <mergeCell ref="I8:I9"/>
    <mergeCell ref="J8:J9"/>
    <mergeCell ref="K8:K9"/>
    <mergeCell ref="D5:D6"/>
    <mergeCell ref="E5:E6"/>
    <mergeCell ref="F22:F26"/>
    <mergeCell ref="D27:D29"/>
    <mergeCell ref="E27:E29"/>
    <mergeCell ref="F27:F29"/>
    <mergeCell ref="G27:G29"/>
    <mergeCell ref="J34:J35"/>
    <mergeCell ref="F37:F39"/>
    <mergeCell ref="D40:D42"/>
    <mergeCell ref="E40:E42"/>
    <mergeCell ref="F40:F42"/>
    <mergeCell ref="I2:I4"/>
    <mergeCell ref="J2:J4"/>
    <mergeCell ref="K2:K4"/>
    <mergeCell ref="L2:L3"/>
    <mergeCell ref="M2:M3"/>
    <mergeCell ref="N2:N3"/>
    <mergeCell ref="M5:M6"/>
    <mergeCell ref="N5:N6"/>
    <mergeCell ref="Q5:Q6"/>
    <mergeCell ref="Q2:Q3"/>
    <mergeCell ref="I5:I7"/>
    <mergeCell ref="J5:J7"/>
    <mergeCell ref="K5:K7"/>
    <mergeCell ref="L5:L6"/>
    <mergeCell ref="O2:O47"/>
    <mergeCell ref="P2:P47"/>
    <mergeCell ref="M27:M29"/>
    <mergeCell ref="Q27:Q29"/>
    <mergeCell ref="R27:R29"/>
    <mergeCell ref="M43:M44"/>
    <mergeCell ref="N43:N44"/>
    <mergeCell ref="Q43:Q44"/>
    <mergeCell ref="R43:R44"/>
    <mergeCell ref="M45:M47"/>
    <mergeCell ref="N45:N47"/>
    <mergeCell ref="Q45:Q47"/>
    <mergeCell ref="R45:R47"/>
    <mergeCell ref="M30:M32"/>
    <mergeCell ref="N30:N32"/>
    <mergeCell ref="M40:M42"/>
    <mergeCell ref="N40:N42"/>
    <mergeCell ref="Q40:Q42"/>
    <mergeCell ref="R40:R42"/>
    <mergeCell ref="M37:M39"/>
    <mergeCell ref="N37:N39"/>
    <mergeCell ref="Q37:Q39"/>
    <mergeCell ref="R37:R39"/>
    <mergeCell ref="D45:D47"/>
    <mergeCell ref="E45:E47"/>
    <mergeCell ref="G45:G47"/>
    <mergeCell ref="I45:I47"/>
    <mergeCell ref="J45:J47"/>
    <mergeCell ref="K45:K47"/>
    <mergeCell ref="L45:L47"/>
    <mergeCell ref="I10:I11"/>
    <mergeCell ref="J10:J11"/>
    <mergeCell ref="G10:G11"/>
    <mergeCell ref="H10:H11"/>
    <mergeCell ref="K10:K11"/>
    <mergeCell ref="J14:J16"/>
    <mergeCell ref="K14:K16"/>
    <mergeCell ref="G12:G13"/>
    <mergeCell ref="I12:I13"/>
    <mergeCell ref="J12:J13"/>
    <mergeCell ref="K12:K13"/>
    <mergeCell ref="G14:G16"/>
    <mergeCell ref="L17:L19"/>
    <mergeCell ref="H27:H29"/>
    <mergeCell ref="I27:I29"/>
    <mergeCell ref="J27:J29"/>
    <mergeCell ref="K27:K29"/>
    <mergeCell ref="G17:G19"/>
    <mergeCell ref="G20:G21"/>
    <mergeCell ref="G22:G26"/>
    <mergeCell ref="J20:J21"/>
    <mergeCell ref="K20:K21"/>
    <mergeCell ref="L20:L21"/>
    <mergeCell ref="M20:M21"/>
    <mergeCell ref="I14:I26"/>
    <mergeCell ref="J22:J26"/>
    <mergeCell ref="K22:K26"/>
    <mergeCell ref="L22:L26"/>
    <mergeCell ref="M22:M26"/>
    <mergeCell ref="J17:J19"/>
    <mergeCell ref="K17:K19"/>
    <mergeCell ref="H12:H13"/>
    <mergeCell ref="H14:H26"/>
    <mergeCell ref="L14:L16"/>
    <mergeCell ref="M14:M16"/>
    <mergeCell ref="N14:N16"/>
    <mergeCell ref="N17:N19"/>
    <mergeCell ref="N20:N21"/>
    <mergeCell ref="B8:B13"/>
    <mergeCell ref="C8:C13"/>
    <mergeCell ref="D8:D9"/>
    <mergeCell ref="D10:D11"/>
    <mergeCell ref="D12:D13"/>
    <mergeCell ref="D14:D16"/>
    <mergeCell ref="E14:E16"/>
    <mergeCell ref="F14:F16"/>
    <mergeCell ref="D17:D19"/>
    <mergeCell ref="E17:E19"/>
    <mergeCell ref="F17:F19"/>
    <mergeCell ref="D20:D21"/>
    <mergeCell ref="E20:E21"/>
    <mergeCell ref="F20:F21"/>
    <mergeCell ref="D22:D26"/>
    <mergeCell ref="E22:E26"/>
    <mergeCell ref="M17:M19"/>
    <mergeCell ref="L27:L29"/>
    <mergeCell ref="G30:G35"/>
    <mergeCell ref="H30:H35"/>
    <mergeCell ref="I30:I35"/>
    <mergeCell ref="J30:J32"/>
    <mergeCell ref="K30:K32"/>
    <mergeCell ref="L30:L32"/>
    <mergeCell ref="L34:L35"/>
    <mergeCell ref="N22:N26"/>
    <mergeCell ref="N27:N29"/>
    <mergeCell ref="J37:J39"/>
    <mergeCell ref="K37:K39"/>
    <mergeCell ref="Q30:Q32"/>
    <mergeCell ref="R30:R32"/>
    <mergeCell ref="Q34:Q35"/>
    <mergeCell ref="R34:R35"/>
    <mergeCell ref="G37:G39"/>
    <mergeCell ref="H37:H47"/>
    <mergeCell ref="I37:I44"/>
    <mergeCell ref="K34:K35"/>
    <mergeCell ref="M34:M35"/>
    <mergeCell ref="N34:N35"/>
    <mergeCell ref="K40:K42"/>
    <mergeCell ref="L40:L42"/>
    <mergeCell ref="L37:L39"/>
  </mergeCells>
  <conditionalFormatting sqref="R2:R4">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2:R7 R14:R20 R27 R30:R47">
    <cfRule type="colorScale" priority="3">
      <colorScale>
        <cfvo type="min"/>
        <cfvo type="percentile" val="50"/>
        <cfvo type="max"/>
        <color rgb="FFF8696B"/>
        <color rgb="FFFFEB84"/>
        <color rgb="FF63BE7B"/>
      </colorScale>
    </cfRule>
  </conditionalFormatting>
  <conditionalFormatting sqref="R2:R22 R27:R47">
    <cfRule type="colorScale" priority="4">
      <colorScale>
        <cfvo type="min"/>
        <cfvo type="percentile" val="50"/>
        <cfvo type="max"/>
        <color rgb="FFF8696B"/>
        <color rgb="FFFFEB84"/>
        <color rgb="FF63BE7B"/>
      </colorScale>
    </cfRule>
  </conditionalFormatting>
  <conditionalFormatting sqref="R5 R7 R14:R17 R30:R36">
    <cfRule type="colorScale" priority="7">
      <colorScale>
        <cfvo type="min"/>
        <cfvo type="percentile" val="50"/>
        <cfvo type="max"/>
        <color rgb="FFF8696B"/>
        <color rgb="FFFFEB84"/>
        <color rgb="FF63BE7B"/>
      </colorScale>
    </cfRule>
  </conditionalFormatting>
  <conditionalFormatting sqref="R8:R13">
    <cfRule type="colorScale" priority="5">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onditionalFormatting>
  <conditionalFormatting sqref="R30:R36">
    <cfRule type="colorScale" priority="8">
      <colorScale>
        <cfvo type="min"/>
        <cfvo type="percentile" val="50"/>
        <cfvo type="max"/>
        <color rgb="FFF8696B"/>
        <color rgb="FFFFEB84"/>
        <color rgb="FF63BE7B"/>
      </colorScale>
    </cfRule>
  </conditionalFormatting>
  <conditionalFormatting sqref="R37:R40 R43:R47">
    <cfRule type="colorScale" priority="10">
      <colorScale>
        <cfvo type="min"/>
        <cfvo type="percentile" val="50"/>
        <cfvo type="max"/>
        <color rgb="FFF8696B"/>
        <color rgb="FFFFEB84"/>
        <color rgb="FF63BE7B"/>
      </colorScale>
    </cfRule>
  </conditionalFormatting>
  <conditionalFormatting sqref="R37:R47">
    <cfRule type="colorScale" priority="9">
      <colorScale>
        <cfvo type="min"/>
        <cfvo type="percentile" val="50"/>
        <cfvo type="max"/>
        <color rgb="FFF8696B"/>
        <color rgb="FFFFEB84"/>
        <color rgb="FF63BE7B"/>
      </colorScale>
    </cfRule>
  </conditionalFormatting>
  <hyperlinks>
    <hyperlink ref="S8" r:id="rId1" location="_Toc479145359 " xr:uid="{00000000-0004-0000-1100-000000000000}"/>
    <hyperlink ref="S13" r:id="rId2" xr:uid="{00000000-0004-0000-1100-000001000000}"/>
    <hyperlink ref="S14" r:id="rId3" xr:uid="{00000000-0004-0000-1100-000002000000}"/>
    <hyperlink ref="S16" r:id="rId4" xr:uid="{00000000-0004-0000-1100-000003000000}"/>
    <hyperlink ref="S25" r:id="rId5" xr:uid="{00000000-0004-0000-1100-000004000000}"/>
    <hyperlink ref="S26" r:id="rId6" xr:uid="{00000000-0004-0000-1100-000005000000}"/>
    <hyperlink ref="S29" r:id="rId7" xr:uid="{00000000-0004-0000-1100-000006000000}"/>
    <hyperlink ref="S42" r:id="rId8" xr:uid="{00000000-0004-0000-1100-000007000000}"/>
    <hyperlink ref="S45" r:id="rId9" xr:uid="{00000000-0004-0000-1100-000008000000}"/>
  </hyperlinks>
  <pageMargins left="0.7" right="0.7" top="0.75" bottom="0.75" header="0" footer="0"/>
  <pageSetup orientation="portrait"/>
  <drawing r:id="rId10"/>
  <legacyDrawing r:id="rId1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L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5" width="44" customWidth="1"/>
    <col min="6" max="6" width="37.83203125" customWidth="1"/>
    <col min="7" max="7" width="14.6640625" customWidth="1"/>
    <col min="8" max="8" width="11.832031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38" width="8.6640625" customWidth="1"/>
  </cols>
  <sheetData>
    <row r="1" spans="1:38" ht="14.25" customHeight="1" x14ac:dyDescent="0.2">
      <c r="A1" s="28" t="s">
        <v>115</v>
      </c>
      <c r="B1" s="29" t="s">
        <v>116</v>
      </c>
      <c r="C1" s="28" t="s">
        <v>117</v>
      </c>
      <c r="D1" s="28" t="s">
        <v>118</v>
      </c>
      <c r="E1" s="28" t="s">
        <v>1132</v>
      </c>
      <c r="F1" s="28" t="s">
        <v>121</v>
      </c>
      <c r="G1" s="28" t="s">
        <v>122</v>
      </c>
      <c r="H1" s="30" t="s">
        <v>123</v>
      </c>
      <c r="I1" s="30" t="s">
        <v>124</v>
      </c>
      <c r="J1" s="30" t="s">
        <v>125</v>
      </c>
      <c r="K1" s="30" t="s">
        <v>126</v>
      </c>
      <c r="L1" s="30" t="s">
        <v>127</v>
      </c>
      <c r="M1" s="30" t="s">
        <v>124</v>
      </c>
      <c r="N1" s="30" t="s">
        <v>128</v>
      </c>
      <c r="O1" s="30" t="s">
        <v>130</v>
      </c>
      <c r="P1" s="30" t="s">
        <v>131</v>
      </c>
      <c r="Q1" s="28" t="s">
        <v>1139</v>
      </c>
      <c r="R1" s="28" t="s">
        <v>133</v>
      </c>
      <c r="S1" s="28" t="s">
        <v>134</v>
      </c>
      <c r="T1" s="31" t="s">
        <v>135</v>
      </c>
      <c r="U1" s="32"/>
      <c r="V1" s="33"/>
      <c r="W1" s="33"/>
      <c r="X1" s="33"/>
      <c r="Y1" s="33"/>
      <c r="Z1" s="33"/>
      <c r="AA1" s="33"/>
      <c r="AB1" s="33"/>
      <c r="AC1" s="33"/>
      <c r="AD1" s="33"/>
      <c r="AE1" s="33"/>
      <c r="AF1" s="33"/>
      <c r="AG1" s="33"/>
      <c r="AH1" s="33"/>
      <c r="AI1" s="33"/>
      <c r="AJ1" s="33"/>
      <c r="AK1" s="33"/>
      <c r="AL1" s="33"/>
    </row>
    <row r="2" spans="1:38" ht="16.5" customHeight="1" x14ac:dyDescent="0.2">
      <c r="A2" s="185" t="s">
        <v>1142</v>
      </c>
      <c r="B2" s="218" t="s">
        <v>53</v>
      </c>
      <c r="C2" s="183" t="s">
        <v>139</v>
      </c>
      <c r="D2" s="179" t="s">
        <v>140</v>
      </c>
      <c r="E2" s="179" t="s">
        <v>140</v>
      </c>
      <c r="F2" s="179" t="s">
        <v>140</v>
      </c>
      <c r="G2" s="182">
        <v>1</v>
      </c>
      <c r="H2" s="182">
        <v>1100</v>
      </c>
      <c r="I2" s="183" t="s">
        <v>142</v>
      </c>
      <c r="J2" s="178">
        <f>6/12</f>
        <v>0.5</v>
      </c>
      <c r="K2" s="178">
        <f>18/12</f>
        <v>1.5</v>
      </c>
      <c r="L2" s="178">
        <v>150</v>
      </c>
      <c r="M2" s="179" t="s">
        <v>1147</v>
      </c>
      <c r="N2" s="223">
        <f>L2*K2*J2*H2</f>
        <v>123750</v>
      </c>
      <c r="O2" s="186">
        <v>68692</v>
      </c>
      <c r="P2" s="183" t="s">
        <v>1152</v>
      </c>
      <c r="Q2" s="214">
        <f>N2/O2</f>
        <v>1.8015198276364059</v>
      </c>
      <c r="R2" s="177">
        <v>4</v>
      </c>
      <c r="S2" s="14" t="s">
        <v>149</v>
      </c>
      <c r="T2" s="14" t="s">
        <v>150</v>
      </c>
    </row>
    <row r="3" spans="1:38" ht="14.25" customHeight="1" x14ac:dyDescent="0.2">
      <c r="A3" s="181"/>
      <c r="B3" s="219"/>
      <c r="C3" s="181"/>
      <c r="D3" s="176"/>
      <c r="E3" s="176"/>
      <c r="F3" s="176"/>
      <c r="G3" s="181"/>
      <c r="H3" s="181"/>
      <c r="I3" s="181"/>
      <c r="J3" s="181"/>
      <c r="K3" s="181"/>
      <c r="L3" s="176"/>
      <c r="M3" s="176"/>
      <c r="N3" s="213"/>
      <c r="O3" s="181"/>
      <c r="P3" s="181"/>
      <c r="Q3" s="216"/>
      <c r="R3" s="176"/>
      <c r="S3" s="14" t="s">
        <v>401</v>
      </c>
      <c r="T3" s="14" t="s">
        <v>402</v>
      </c>
    </row>
    <row r="4" spans="1:38" ht="14.25" customHeight="1" x14ac:dyDescent="0.2">
      <c r="A4" s="181"/>
      <c r="B4" s="220"/>
      <c r="C4" s="176"/>
      <c r="D4" s="14" t="s">
        <v>154</v>
      </c>
      <c r="E4" s="14" t="s">
        <v>155</v>
      </c>
      <c r="F4" s="14" t="s">
        <v>156</v>
      </c>
      <c r="G4" s="176"/>
      <c r="H4" s="176"/>
      <c r="I4" s="176"/>
      <c r="J4" s="176"/>
      <c r="K4" s="176"/>
      <c r="L4" s="14">
        <v>5.25</v>
      </c>
      <c r="M4" s="14" t="s">
        <v>1158</v>
      </c>
      <c r="N4" s="107">
        <f>L4*K2*J2*H2</f>
        <v>4331.25</v>
      </c>
      <c r="O4" s="181"/>
      <c r="P4" s="181"/>
      <c r="Q4" s="108">
        <f t="shared" ref="Q4:Q13" si="0">N4/$O$2</f>
        <v>6.3053193967274213E-2</v>
      </c>
      <c r="R4" s="39">
        <v>5</v>
      </c>
      <c r="S4" s="14" t="s">
        <v>174</v>
      </c>
      <c r="T4" s="14" t="s">
        <v>175</v>
      </c>
    </row>
    <row r="5" spans="1:38" ht="14.25" customHeight="1" x14ac:dyDescent="0.2">
      <c r="A5" s="181"/>
      <c r="B5" s="218" t="s">
        <v>164</v>
      </c>
      <c r="C5" s="183" t="s">
        <v>165</v>
      </c>
      <c r="D5" s="14" t="s">
        <v>140</v>
      </c>
      <c r="E5" s="14" t="s">
        <v>140</v>
      </c>
      <c r="F5" s="41" t="s">
        <v>140</v>
      </c>
      <c r="G5" s="182">
        <v>1</v>
      </c>
      <c r="H5" s="182">
        <v>41000</v>
      </c>
      <c r="I5" s="183" t="s">
        <v>166</v>
      </c>
      <c r="J5" s="178">
        <f>6/12</f>
        <v>0.5</v>
      </c>
      <c r="K5" s="179" t="s">
        <v>27</v>
      </c>
      <c r="L5" s="14">
        <v>150</v>
      </c>
      <c r="M5" s="14" t="s">
        <v>1159</v>
      </c>
      <c r="N5" s="107">
        <f>L5*J5*H5</f>
        <v>3075000</v>
      </c>
      <c r="O5" s="181"/>
      <c r="P5" s="181"/>
      <c r="Q5" s="108">
        <f t="shared" si="0"/>
        <v>44.765038141268271</v>
      </c>
      <c r="R5" s="39">
        <v>5</v>
      </c>
      <c r="S5" s="14" t="s">
        <v>388</v>
      </c>
      <c r="T5" s="14"/>
    </row>
    <row r="6" spans="1:38" ht="14.25" customHeight="1" x14ac:dyDescent="0.2">
      <c r="A6" s="181"/>
      <c r="B6" s="220"/>
      <c r="C6" s="176"/>
      <c r="D6" s="14" t="s">
        <v>154</v>
      </c>
      <c r="E6" s="14" t="s">
        <v>155</v>
      </c>
      <c r="F6" s="41" t="s">
        <v>156</v>
      </c>
      <c r="G6" s="176"/>
      <c r="H6" s="176"/>
      <c r="I6" s="176"/>
      <c r="J6" s="176"/>
      <c r="K6" s="176"/>
      <c r="L6" s="14">
        <v>6</v>
      </c>
      <c r="M6" s="14" t="s">
        <v>1161</v>
      </c>
      <c r="N6" s="107">
        <f>L6*J5*H5</f>
        <v>123000</v>
      </c>
      <c r="O6" s="181"/>
      <c r="P6" s="181"/>
      <c r="Q6" s="108">
        <f t="shared" si="0"/>
        <v>1.7906015256507308</v>
      </c>
      <c r="R6" s="39">
        <v>5</v>
      </c>
      <c r="S6" s="14" t="s">
        <v>174</v>
      </c>
      <c r="T6" s="14" t="s">
        <v>175</v>
      </c>
    </row>
    <row r="7" spans="1:38" ht="14.25" customHeight="1" x14ac:dyDescent="0.2">
      <c r="A7" s="181"/>
      <c r="B7" s="218" t="s">
        <v>176</v>
      </c>
      <c r="C7" s="183" t="s">
        <v>473</v>
      </c>
      <c r="D7" s="179" t="s">
        <v>255</v>
      </c>
      <c r="E7" s="50" t="s">
        <v>140</v>
      </c>
      <c r="F7" s="14" t="s">
        <v>140</v>
      </c>
      <c r="G7" s="182">
        <v>1</v>
      </c>
      <c r="H7" s="182">
        <v>36500</v>
      </c>
      <c r="I7" s="183" t="s">
        <v>166</v>
      </c>
      <c r="J7" s="178">
        <v>0.5</v>
      </c>
      <c r="K7" s="179" t="s">
        <v>27</v>
      </c>
      <c r="L7" s="14">
        <v>150</v>
      </c>
      <c r="M7" s="14" t="s">
        <v>1163</v>
      </c>
      <c r="N7" s="107">
        <f>L7*J7*H7</f>
        <v>2737500</v>
      </c>
      <c r="O7" s="181"/>
      <c r="P7" s="181"/>
      <c r="Q7" s="108">
        <f t="shared" si="0"/>
        <v>39.851802247714438</v>
      </c>
      <c r="R7" s="39">
        <v>2</v>
      </c>
      <c r="S7" s="40" t="s">
        <v>485</v>
      </c>
      <c r="T7" s="14" t="s">
        <v>486</v>
      </c>
    </row>
    <row r="8" spans="1:38" ht="14.25" customHeight="1" x14ac:dyDescent="0.2">
      <c r="A8" s="181"/>
      <c r="B8" s="219"/>
      <c r="C8" s="181"/>
      <c r="D8" s="176"/>
      <c r="E8" s="50" t="s">
        <v>155</v>
      </c>
      <c r="F8" s="14" t="s">
        <v>156</v>
      </c>
      <c r="G8" s="176"/>
      <c r="H8" s="176"/>
      <c r="I8" s="176"/>
      <c r="J8" s="176"/>
      <c r="K8" s="176"/>
      <c r="L8" s="14">
        <v>6</v>
      </c>
      <c r="M8" s="14" t="s">
        <v>1166</v>
      </c>
      <c r="N8" s="107">
        <f>L8*J7*H7</f>
        <v>109500</v>
      </c>
      <c r="O8" s="181"/>
      <c r="P8" s="181"/>
      <c r="Q8" s="108">
        <f t="shared" si="0"/>
        <v>1.5940720899085774</v>
      </c>
      <c r="R8" s="39">
        <v>2</v>
      </c>
      <c r="S8" s="14" t="s">
        <v>1066</v>
      </c>
      <c r="T8" s="14" t="s">
        <v>1167</v>
      </c>
    </row>
    <row r="9" spans="1:38" ht="14.25" customHeight="1" x14ac:dyDescent="0.2">
      <c r="A9" s="181"/>
      <c r="B9" s="219"/>
      <c r="C9" s="181"/>
      <c r="D9" s="179" t="s">
        <v>480</v>
      </c>
      <c r="E9" s="50" t="s">
        <v>140</v>
      </c>
      <c r="F9" s="14" t="s">
        <v>140</v>
      </c>
      <c r="G9" s="178">
        <v>23</v>
      </c>
      <c r="H9" s="178">
        <v>3860</v>
      </c>
      <c r="I9" s="178" t="s">
        <v>142</v>
      </c>
      <c r="J9" s="178">
        <v>0.875</v>
      </c>
      <c r="K9" s="178">
        <v>1.75</v>
      </c>
      <c r="L9" s="14">
        <v>150</v>
      </c>
      <c r="M9" s="14" t="s">
        <v>1168</v>
      </c>
      <c r="N9" s="107">
        <f>H9*J9*K9*L9</f>
        <v>886593.75</v>
      </c>
      <c r="O9" s="181"/>
      <c r="P9" s="181"/>
      <c r="Q9" s="108">
        <f t="shared" si="0"/>
        <v>12.906797734816282</v>
      </c>
      <c r="R9" s="39">
        <v>2</v>
      </c>
      <c r="S9" s="14" t="s">
        <v>1070</v>
      </c>
      <c r="T9" s="14" t="s">
        <v>1170</v>
      </c>
    </row>
    <row r="10" spans="1:38" ht="14.25" customHeight="1" x14ac:dyDescent="0.2">
      <c r="A10" s="181"/>
      <c r="B10" s="219"/>
      <c r="C10" s="181"/>
      <c r="D10" s="176"/>
      <c r="E10" s="50" t="s">
        <v>155</v>
      </c>
      <c r="F10" s="14" t="s">
        <v>156</v>
      </c>
      <c r="G10" s="176"/>
      <c r="H10" s="176"/>
      <c r="I10" s="176"/>
      <c r="J10" s="176"/>
      <c r="K10" s="176"/>
      <c r="L10" s="14">
        <v>19</v>
      </c>
      <c r="M10" s="14" t="s">
        <v>1171</v>
      </c>
      <c r="N10" s="107">
        <f>H9*J9*K9*L10</f>
        <v>112301.875</v>
      </c>
      <c r="O10" s="181"/>
      <c r="P10" s="181"/>
      <c r="Q10" s="108">
        <f t="shared" si="0"/>
        <v>1.6348610464100624</v>
      </c>
      <c r="R10" s="39">
        <v>2</v>
      </c>
      <c r="S10" s="14" t="s">
        <v>1070</v>
      </c>
      <c r="T10" s="14" t="s">
        <v>1172</v>
      </c>
    </row>
    <row r="11" spans="1:38" ht="14.25" customHeight="1" x14ac:dyDescent="0.2">
      <c r="A11" s="181"/>
      <c r="B11" s="219"/>
      <c r="C11" s="181"/>
      <c r="D11" s="179" t="s">
        <v>489</v>
      </c>
      <c r="E11" s="50" t="s">
        <v>140</v>
      </c>
      <c r="F11" s="14" t="s">
        <v>140</v>
      </c>
      <c r="G11" s="178">
        <v>102</v>
      </c>
      <c r="H11" s="178">
        <v>12</v>
      </c>
      <c r="I11" s="178" t="s">
        <v>142</v>
      </c>
      <c r="J11" s="178">
        <v>1</v>
      </c>
      <c r="K11" s="178">
        <v>1</v>
      </c>
      <c r="L11" s="14">
        <v>150</v>
      </c>
      <c r="M11" s="14" t="s">
        <v>1174</v>
      </c>
      <c r="N11" s="107">
        <f>G11*H11*J11*K11*L11</f>
        <v>183600</v>
      </c>
      <c r="O11" s="181"/>
      <c r="P11" s="181"/>
      <c r="Q11" s="108">
        <f t="shared" si="0"/>
        <v>2.6728003260932858</v>
      </c>
      <c r="R11" s="39">
        <v>2</v>
      </c>
      <c r="S11" s="14" t="s">
        <v>181</v>
      </c>
      <c r="T11" s="14" t="s">
        <v>1075</v>
      </c>
    </row>
    <row r="12" spans="1:38" ht="14.25" customHeight="1" x14ac:dyDescent="0.2">
      <c r="A12" s="181"/>
      <c r="B12" s="220"/>
      <c r="C12" s="176"/>
      <c r="D12" s="176"/>
      <c r="E12" s="50" t="s">
        <v>155</v>
      </c>
      <c r="F12" s="14" t="s">
        <v>156</v>
      </c>
      <c r="G12" s="176"/>
      <c r="H12" s="176"/>
      <c r="I12" s="176"/>
      <c r="J12" s="176"/>
      <c r="K12" s="176"/>
      <c r="L12" s="14">
        <v>20.2</v>
      </c>
      <c r="M12" s="14" t="s">
        <v>1176</v>
      </c>
      <c r="N12" s="107">
        <f>G11*H11*J11*K11*L12</f>
        <v>24724.799999999999</v>
      </c>
      <c r="O12" s="181"/>
      <c r="P12" s="181"/>
      <c r="Q12" s="108">
        <f t="shared" si="0"/>
        <v>0.35993711058056249</v>
      </c>
      <c r="R12" s="39">
        <v>2</v>
      </c>
      <c r="S12" s="40" t="s">
        <v>240</v>
      </c>
      <c r="T12" s="14" t="s">
        <v>1078</v>
      </c>
    </row>
    <row r="13" spans="1:38" ht="16.5" customHeight="1" x14ac:dyDescent="0.2">
      <c r="A13" s="181"/>
      <c r="B13" s="218" t="s">
        <v>209</v>
      </c>
      <c r="C13" s="184" t="s">
        <v>363</v>
      </c>
      <c r="D13" s="179" t="s">
        <v>1177</v>
      </c>
      <c r="E13" s="179" t="s">
        <v>155</v>
      </c>
      <c r="F13" s="179" t="s">
        <v>7</v>
      </c>
      <c r="G13" s="182">
        <v>1</v>
      </c>
      <c r="H13" s="182">
        <v>44000</v>
      </c>
      <c r="I13" s="183" t="s">
        <v>166</v>
      </c>
      <c r="J13" s="175">
        <f>0.04/12</f>
        <v>3.3333333333333335E-3</v>
      </c>
      <c r="K13" s="179" t="s">
        <v>27</v>
      </c>
      <c r="L13" s="178">
        <v>1.6559999999999999</v>
      </c>
      <c r="M13" s="179" t="s">
        <v>1178</v>
      </c>
      <c r="N13" s="211">
        <f>L13*H13</f>
        <v>72864</v>
      </c>
      <c r="O13" s="181"/>
      <c r="P13" s="181"/>
      <c r="Q13" s="235">
        <f t="shared" si="0"/>
        <v>1.0607348745123157</v>
      </c>
      <c r="R13" s="177">
        <v>5</v>
      </c>
      <c r="S13" s="14" t="s">
        <v>243</v>
      </c>
      <c r="T13" s="14" t="s">
        <v>244</v>
      </c>
    </row>
    <row r="14" spans="1:38" ht="14.25" customHeight="1" x14ac:dyDescent="0.2">
      <c r="A14" s="181"/>
      <c r="B14" s="219"/>
      <c r="C14" s="181"/>
      <c r="D14" s="181"/>
      <c r="E14" s="181"/>
      <c r="F14" s="181"/>
      <c r="G14" s="181"/>
      <c r="H14" s="181"/>
      <c r="I14" s="181"/>
      <c r="J14" s="181"/>
      <c r="K14" s="181"/>
      <c r="L14" s="181"/>
      <c r="M14" s="181"/>
      <c r="N14" s="212"/>
      <c r="O14" s="181"/>
      <c r="P14" s="181"/>
      <c r="Q14" s="215"/>
      <c r="R14" s="181"/>
      <c r="S14" s="14"/>
      <c r="T14" s="14" t="s">
        <v>1180</v>
      </c>
    </row>
    <row r="15" spans="1:38" ht="14.25" customHeight="1" x14ac:dyDescent="0.2">
      <c r="A15" s="181"/>
      <c r="B15" s="219"/>
      <c r="C15" s="181"/>
      <c r="D15" s="176"/>
      <c r="E15" s="176"/>
      <c r="F15" s="176"/>
      <c r="G15" s="176"/>
      <c r="H15" s="176"/>
      <c r="I15" s="176"/>
      <c r="J15" s="176"/>
      <c r="K15" s="176"/>
      <c r="L15" s="176"/>
      <c r="M15" s="176"/>
      <c r="N15" s="213"/>
      <c r="O15" s="181"/>
      <c r="P15" s="181"/>
      <c r="Q15" s="216"/>
      <c r="R15" s="176"/>
      <c r="S15" s="14" t="s">
        <v>249</v>
      </c>
      <c r="T15" s="14" t="s">
        <v>250</v>
      </c>
    </row>
    <row r="16" spans="1:38" ht="14.25" customHeight="1" x14ac:dyDescent="0.2">
      <c r="A16" s="181"/>
      <c r="B16" s="219"/>
      <c r="C16" s="181"/>
      <c r="D16" s="179" t="s">
        <v>373</v>
      </c>
      <c r="E16" s="179" t="s">
        <v>155</v>
      </c>
      <c r="F16" s="179" t="s">
        <v>441</v>
      </c>
      <c r="G16" s="178" t="s">
        <v>27</v>
      </c>
      <c r="H16" s="178">
        <v>1369</v>
      </c>
      <c r="I16" s="179" t="s">
        <v>142</v>
      </c>
      <c r="J16" s="175" t="s">
        <v>27</v>
      </c>
      <c r="K16" s="179" t="s">
        <v>27</v>
      </c>
      <c r="L16" s="178">
        <v>40</v>
      </c>
      <c r="M16" s="179" t="s">
        <v>376</v>
      </c>
      <c r="N16" s="211">
        <f>L16*H16</f>
        <v>54760</v>
      </c>
      <c r="O16" s="181"/>
      <c r="P16" s="181"/>
      <c r="Q16" s="235">
        <f>N16/$O$2</f>
        <v>0.79718162231409773</v>
      </c>
      <c r="R16" s="177">
        <v>3</v>
      </c>
      <c r="S16" s="14" t="s">
        <v>333</v>
      </c>
      <c r="T16" s="14" t="s">
        <v>1181</v>
      </c>
    </row>
    <row r="17" spans="1:38" ht="14.25" customHeight="1" x14ac:dyDescent="0.2">
      <c r="A17" s="181"/>
      <c r="B17" s="219"/>
      <c r="C17" s="181"/>
      <c r="D17" s="176"/>
      <c r="E17" s="176"/>
      <c r="F17" s="176"/>
      <c r="G17" s="176"/>
      <c r="H17" s="176"/>
      <c r="I17" s="176"/>
      <c r="J17" s="176"/>
      <c r="K17" s="176"/>
      <c r="L17" s="176"/>
      <c r="M17" s="176"/>
      <c r="N17" s="213"/>
      <c r="O17" s="181"/>
      <c r="P17" s="181"/>
      <c r="Q17" s="216"/>
      <c r="R17" s="176"/>
      <c r="S17" s="40" t="s">
        <v>1183</v>
      </c>
      <c r="T17" s="14" t="s">
        <v>1184</v>
      </c>
    </row>
    <row r="18" spans="1:38" ht="14.25" customHeight="1" x14ac:dyDescent="0.2">
      <c r="A18" s="181"/>
      <c r="B18" s="219"/>
      <c r="C18" s="181"/>
      <c r="D18" s="179" t="s">
        <v>383</v>
      </c>
      <c r="E18" s="179" t="s">
        <v>155</v>
      </c>
      <c r="F18" s="179" t="s">
        <v>441</v>
      </c>
      <c r="G18" s="178" t="s">
        <v>27</v>
      </c>
      <c r="H18" s="178">
        <v>1576</v>
      </c>
      <c r="I18" s="179" t="s">
        <v>142</v>
      </c>
      <c r="J18" s="175" t="s">
        <v>27</v>
      </c>
      <c r="K18" s="179" t="s">
        <v>27</v>
      </c>
      <c r="L18" s="178">
        <v>26</v>
      </c>
      <c r="M18" s="179" t="s">
        <v>376</v>
      </c>
      <c r="N18" s="211">
        <f>L18*H18</f>
        <v>40976</v>
      </c>
      <c r="O18" s="181"/>
      <c r="P18" s="181"/>
      <c r="Q18" s="235">
        <f>N18/$O$2</f>
        <v>0.59651778955336865</v>
      </c>
      <c r="R18" s="177">
        <v>3</v>
      </c>
      <c r="S18" s="14" t="s">
        <v>333</v>
      </c>
      <c r="T18" s="117" t="s">
        <v>1189</v>
      </c>
    </row>
    <row r="19" spans="1:38" ht="14.25" customHeight="1" x14ac:dyDescent="0.2">
      <c r="A19" s="181"/>
      <c r="B19" s="219"/>
      <c r="C19" s="181"/>
      <c r="D19" s="176"/>
      <c r="E19" s="176"/>
      <c r="F19" s="176"/>
      <c r="G19" s="176"/>
      <c r="H19" s="176"/>
      <c r="I19" s="176"/>
      <c r="J19" s="176"/>
      <c r="K19" s="176"/>
      <c r="L19" s="176"/>
      <c r="M19" s="176"/>
      <c r="N19" s="213"/>
      <c r="O19" s="181"/>
      <c r="P19" s="181"/>
      <c r="Q19" s="216"/>
      <c r="R19" s="176"/>
      <c r="S19" s="40" t="s">
        <v>1183</v>
      </c>
      <c r="T19" s="14" t="s">
        <v>1184</v>
      </c>
    </row>
    <row r="20" spans="1:38" ht="14.25" customHeight="1" x14ac:dyDescent="0.2">
      <c r="A20" s="181"/>
      <c r="B20" s="219"/>
      <c r="C20" s="181"/>
      <c r="D20" s="179" t="s">
        <v>197</v>
      </c>
      <c r="E20" s="179" t="s">
        <v>155</v>
      </c>
      <c r="F20" s="179" t="s">
        <v>441</v>
      </c>
      <c r="G20" s="178">
        <v>60</v>
      </c>
      <c r="H20" s="178">
        <f>H13</f>
        <v>44000</v>
      </c>
      <c r="I20" s="179" t="s">
        <v>166</v>
      </c>
      <c r="J20" s="175">
        <v>36</v>
      </c>
      <c r="K20" s="179" t="s">
        <v>27</v>
      </c>
      <c r="L20" s="178">
        <v>49</v>
      </c>
      <c r="M20" s="179" t="s">
        <v>376</v>
      </c>
      <c r="N20" s="211">
        <f>L20*G20*J20</f>
        <v>105840</v>
      </c>
      <c r="O20" s="181"/>
      <c r="P20" s="181"/>
      <c r="Q20" s="235">
        <f>N20/O2</f>
        <v>1.5407907762184825</v>
      </c>
      <c r="R20" s="177">
        <v>3</v>
      </c>
      <c r="S20" s="14" t="s">
        <v>333</v>
      </c>
      <c r="T20" s="117" t="s">
        <v>1192</v>
      </c>
    </row>
    <row r="21" spans="1:38" ht="14.25" customHeight="1" x14ac:dyDescent="0.2">
      <c r="A21" s="181"/>
      <c r="B21" s="219"/>
      <c r="C21" s="181"/>
      <c r="D21" s="181"/>
      <c r="E21" s="181"/>
      <c r="F21" s="181"/>
      <c r="G21" s="181"/>
      <c r="H21" s="181"/>
      <c r="I21" s="181"/>
      <c r="J21" s="181"/>
      <c r="K21" s="181"/>
      <c r="L21" s="181"/>
      <c r="M21" s="181"/>
      <c r="N21" s="212"/>
      <c r="O21" s="181"/>
      <c r="P21" s="181"/>
      <c r="Q21" s="215"/>
      <c r="R21" s="181"/>
      <c r="S21" s="14" t="s">
        <v>191</v>
      </c>
      <c r="T21" s="117" t="s">
        <v>1193</v>
      </c>
    </row>
    <row r="22" spans="1:38" ht="14.25" customHeight="1" x14ac:dyDescent="0.2">
      <c r="A22" s="181"/>
      <c r="B22" s="220"/>
      <c r="C22" s="176"/>
      <c r="D22" s="176"/>
      <c r="E22" s="176"/>
      <c r="F22" s="176"/>
      <c r="G22" s="176"/>
      <c r="H22" s="176"/>
      <c r="I22" s="176"/>
      <c r="J22" s="176"/>
      <c r="K22" s="176"/>
      <c r="L22" s="176"/>
      <c r="M22" s="176"/>
      <c r="N22" s="213"/>
      <c r="O22" s="181"/>
      <c r="P22" s="181"/>
      <c r="Q22" s="216"/>
      <c r="R22" s="176"/>
      <c r="S22" s="40" t="s">
        <v>1115</v>
      </c>
      <c r="T22" s="117" t="s">
        <v>1116</v>
      </c>
    </row>
    <row r="23" spans="1:38" ht="16.5" customHeight="1" x14ac:dyDescent="0.2">
      <c r="A23" s="181"/>
      <c r="B23" s="218" t="s">
        <v>710</v>
      </c>
      <c r="C23" s="183" t="s">
        <v>711</v>
      </c>
      <c r="D23" s="179" t="s">
        <v>841</v>
      </c>
      <c r="E23" s="179" t="s">
        <v>712</v>
      </c>
      <c r="F23" s="179" t="s">
        <v>6</v>
      </c>
      <c r="G23" s="182">
        <v>1</v>
      </c>
      <c r="H23" s="182">
        <v>38000</v>
      </c>
      <c r="I23" s="183" t="s">
        <v>166</v>
      </c>
      <c r="J23" s="175">
        <f>1/12</f>
        <v>8.3333333333333329E-2</v>
      </c>
      <c r="K23" s="179" t="s">
        <v>27</v>
      </c>
      <c r="L23" s="178">
        <v>11</v>
      </c>
      <c r="M23" s="179" t="s">
        <v>1195</v>
      </c>
      <c r="N23" s="211">
        <f>H23*L23</f>
        <v>418000</v>
      </c>
      <c r="O23" s="181"/>
      <c r="P23" s="181"/>
      <c r="Q23" s="214">
        <f>N23/$O$2</f>
        <v>6.0851336400163047</v>
      </c>
      <c r="R23" s="177">
        <v>5</v>
      </c>
      <c r="S23" s="14" t="s">
        <v>716</v>
      </c>
      <c r="T23" s="14" t="s">
        <v>717</v>
      </c>
    </row>
    <row r="24" spans="1:38" ht="15" customHeight="1" x14ac:dyDescent="0.2">
      <c r="A24" s="181"/>
      <c r="B24" s="219"/>
      <c r="C24" s="181"/>
      <c r="D24" s="176"/>
      <c r="E24" s="176"/>
      <c r="F24" s="176"/>
      <c r="G24" s="181"/>
      <c r="H24" s="181"/>
      <c r="I24" s="181"/>
      <c r="J24" s="176"/>
      <c r="K24" s="176"/>
      <c r="L24" s="176"/>
      <c r="M24" s="176"/>
      <c r="N24" s="213"/>
      <c r="O24" s="181"/>
      <c r="P24" s="181"/>
      <c r="Q24" s="216"/>
      <c r="R24" s="176"/>
      <c r="S24" s="14" t="s">
        <v>718</v>
      </c>
      <c r="T24" s="61" t="s">
        <v>720</v>
      </c>
      <c r="U24" s="63"/>
      <c r="V24" s="63"/>
      <c r="W24" s="63"/>
      <c r="X24" s="63"/>
      <c r="Y24" s="63"/>
      <c r="Z24" s="63"/>
      <c r="AA24" s="63"/>
      <c r="AB24" s="63"/>
      <c r="AC24" s="63"/>
      <c r="AD24" s="63"/>
      <c r="AE24" s="63"/>
      <c r="AF24" s="63"/>
      <c r="AG24" s="63"/>
      <c r="AH24" s="63"/>
      <c r="AI24" s="63"/>
      <c r="AJ24" s="63"/>
      <c r="AK24" s="63"/>
      <c r="AL24" s="63"/>
    </row>
    <row r="25" spans="1:38" ht="14.25" customHeight="1" x14ac:dyDescent="0.2">
      <c r="A25" s="181"/>
      <c r="B25" s="219"/>
      <c r="C25" s="181"/>
      <c r="D25" s="14" t="s">
        <v>643</v>
      </c>
      <c r="E25" s="14" t="s">
        <v>279</v>
      </c>
      <c r="F25" s="14" t="s">
        <v>1196</v>
      </c>
      <c r="G25" s="181"/>
      <c r="H25" s="181"/>
      <c r="I25" s="181"/>
      <c r="J25" s="19" t="s">
        <v>27</v>
      </c>
      <c r="K25" s="101" t="s">
        <v>27</v>
      </c>
      <c r="L25" s="14">
        <f>15/100</f>
        <v>0.15</v>
      </c>
      <c r="M25" s="14" t="s">
        <v>1197</v>
      </c>
      <c r="N25" s="107">
        <f>L25*H23</f>
        <v>5700</v>
      </c>
      <c r="O25" s="181"/>
      <c r="P25" s="181"/>
      <c r="Q25" s="108">
        <f t="shared" ref="Q25:Q26" si="1">N25/$O$2</f>
        <v>8.2979095091131425E-2</v>
      </c>
      <c r="R25" s="39">
        <v>3</v>
      </c>
      <c r="S25" s="14" t="s">
        <v>283</v>
      </c>
      <c r="T25" s="14" t="s">
        <v>284</v>
      </c>
    </row>
    <row r="26" spans="1:38" ht="14.25" customHeight="1" x14ac:dyDescent="0.2">
      <c r="A26" s="181"/>
      <c r="B26" s="219"/>
      <c r="C26" s="181"/>
      <c r="D26" s="179" t="s">
        <v>726</v>
      </c>
      <c r="E26" s="179" t="s">
        <v>294</v>
      </c>
      <c r="F26" s="179" t="s">
        <v>12</v>
      </c>
      <c r="G26" s="181"/>
      <c r="H26" s="181"/>
      <c r="I26" s="181"/>
      <c r="J26" s="175">
        <f>0.5/12</f>
        <v>4.1666666666666664E-2</v>
      </c>
      <c r="K26" s="179" t="s">
        <v>27</v>
      </c>
      <c r="L26" s="178">
        <v>1.9</v>
      </c>
      <c r="M26" s="179" t="s">
        <v>1200</v>
      </c>
      <c r="N26" s="211">
        <f>L26*H23</f>
        <v>72200</v>
      </c>
      <c r="O26" s="181"/>
      <c r="P26" s="181"/>
      <c r="Q26" s="214">
        <f t="shared" si="1"/>
        <v>1.0510685378209981</v>
      </c>
      <c r="R26" s="177">
        <v>4</v>
      </c>
      <c r="S26" s="14" t="s">
        <v>731</v>
      </c>
      <c r="T26" s="14" t="s">
        <v>732</v>
      </c>
    </row>
    <row r="27" spans="1:38" ht="14.25" customHeight="1" x14ac:dyDescent="0.2">
      <c r="A27" s="181"/>
      <c r="B27" s="219"/>
      <c r="C27" s="181"/>
      <c r="D27" s="181"/>
      <c r="E27" s="181"/>
      <c r="F27" s="181"/>
      <c r="G27" s="181"/>
      <c r="H27" s="181"/>
      <c r="I27" s="181"/>
      <c r="J27" s="181"/>
      <c r="K27" s="181"/>
      <c r="L27" s="181"/>
      <c r="M27" s="181"/>
      <c r="N27" s="212"/>
      <c r="O27" s="181"/>
      <c r="P27" s="181"/>
      <c r="Q27" s="215"/>
      <c r="R27" s="181"/>
      <c r="S27" s="14" t="s">
        <v>734</v>
      </c>
      <c r="T27" s="14" t="s">
        <v>735</v>
      </c>
    </row>
    <row r="28" spans="1:38" ht="14.25" customHeight="1" x14ac:dyDescent="0.2">
      <c r="A28" s="181"/>
      <c r="B28" s="220"/>
      <c r="C28" s="176"/>
      <c r="D28" s="176"/>
      <c r="E28" s="176"/>
      <c r="F28" s="176"/>
      <c r="G28" s="176"/>
      <c r="H28" s="176"/>
      <c r="I28" s="176"/>
      <c r="J28" s="176"/>
      <c r="K28" s="176"/>
      <c r="L28" s="176"/>
      <c r="M28" s="176"/>
      <c r="N28" s="213"/>
      <c r="O28" s="181"/>
      <c r="P28" s="181"/>
      <c r="Q28" s="216"/>
      <c r="R28" s="176"/>
      <c r="S28" s="14" t="s">
        <v>181</v>
      </c>
      <c r="T28" s="14" t="s">
        <v>739</v>
      </c>
    </row>
    <row r="29" spans="1:38" ht="16.5" customHeight="1" x14ac:dyDescent="0.2">
      <c r="A29" s="181"/>
      <c r="B29" s="218" t="s">
        <v>741</v>
      </c>
      <c r="C29" s="183" t="s">
        <v>662</v>
      </c>
      <c r="D29" s="179" t="s">
        <v>742</v>
      </c>
      <c r="E29" s="179" t="s">
        <v>13</v>
      </c>
      <c r="F29" s="179" t="s">
        <v>88</v>
      </c>
      <c r="G29" s="182">
        <v>49</v>
      </c>
      <c r="H29" s="182">
        <v>38</v>
      </c>
      <c r="I29" s="183" t="s">
        <v>166</v>
      </c>
      <c r="J29" s="175">
        <f>0.07/12</f>
        <v>5.8333333333333336E-3</v>
      </c>
      <c r="K29" s="179" t="s">
        <v>27</v>
      </c>
      <c r="L29" s="178">
        <v>1</v>
      </c>
      <c r="M29" s="179" t="s">
        <v>1203</v>
      </c>
      <c r="N29" s="211">
        <f>L29*H29*G29</f>
        <v>1862</v>
      </c>
      <c r="O29" s="181"/>
      <c r="P29" s="181"/>
      <c r="Q29" s="214">
        <f>N29/$O$2</f>
        <v>2.7106504396436266E-2</v>
      </c>
      <c r="R29" s="177">
        <v>1</v>
      </c>
      <c r="S29" s="14" t="s">
        <v>1204</v>
      </c>
      <c r="T29" s="14" t="s">
        <v>1205</v>
      </c>
    </row>
    <row r="30" spans="1:38" ht="14.25" customHeight="1" x14ac:dyDescent="0.2">
      <c r="A30" s="181"/>
      <c r="B30" s="219"/>
      <c r="C30" s="181"/>
      <c r="D30" s="181"/>
      <c r="E30" s="181"/>
      <c r="F30" s="181"/>
      <c r="G30" s="181"/>
      <c r="H30" s="181"/>
      <c r="I30" s="181"/>
      <c r="J30" s="181"/>
      <c r="K30" s="181"/>
      <c r="L30" s="181"/>
      <c r="M30" s="181"/>
      <c r="N30" s="212"/>
      <c r="O30" s="181"/>
      <c r="P30" s="181"/>
      <c r="Q30" s="215"/>
      <c r="R30" s="181"/>
      <c r="S30" s="14" t="s">
        <v>930</v>
      </c>
      <c r="T30" s="14" t="s">
        <v>931</v>
      </c>
    </row>
    <row r="31" spans="1:38" ht="14.25" customHeight="1" x14ac:dyDescent="0.2">
      <c r="A31" s="181"/>
      <c r="B31" s="219"/>
      <c r="C31" s="181"/>
      <c r="D31" s="181"/>
      <c r="E31" s="181"/>
      <c r="F31" s="181"/>
      <c r="G31" s="181"/>
      <c r="H31" s="181"/>
      <c r="I31" s="181"/>
      <c r="J31" s="181"/>
      <c r="K31" s="181"/>
      <c r="L31" s="181"/>
      <c r="M31" s="181"/>
      <c r="N31" s="212"/>
      <c r="O31" s="181"/>
      <c r="P31" s="181"/>
      <c r="Q31" s="215"/>
      <c r="R31" s="181"/>
      <c r="S31" s="14" t="s">
        <v>669</v>
      </c>
      <c r="T31" s="14" t="s">
        <v>670</v>
      </c>
    </row>
    <row r="32" spans="1:38" ht="14.25" customHeight="1" x14ac:dyDescent="0.2">
      <c r="A32" s="181"/>
      <c r="B32" s="219"/>
      <c r="C32" s="181"/>
      <c r="D32" s="176"/>
      <c r="E32" s="176"/>
      <c r="F32" s="176"/>
      <c r="G32" s="181"/>
      <c r="H32" s="181"/>
      <c r="I32" s="181"/>
      <c r="J32" s="176"/>
      <c r="K32" s="176"/>
      <c r="L32" s="176"/>
      <c r="M32" s="176"/>
      <c r="N32" s="213"/>
      <c r="O32" s="181"/>
      <c r="P32" s="181"/>
      <c r="Q32" s="216"/>
      <c r="R32" s="176"/>
      <c r="S32" s="14" t="s">
        <v>933</v>
      </c>
      <c r="T32" s="14" t="s">
        <v>934</v>
      </c>
    </row>
    <row r="33" spans="1:26" ht="16.5" customHeight="1" x14ac:dyDescent="0.2">
      <c r="A33" s="181"/>
      <c r="B33" s="219"/>
      <c r="C33" s="181"/>
      <c r="D33" s="179" t="s">
        <v>433</v>
      </c>
      <c r="E33" s="179" t="s">
        <v>1042</v>
      </c>
      <c r="F33" s="179" t="s">
        <v>435</v>
      </c>
      <c r="G33" s="181"/>
      <c r="H33" s="181"/>
      <c r="I33" s="181"/>
      <c r="J33" s="175">
        <f>1/4/12</f>
        <v>2.0833333333333332E-2</v>
      </c>
      <c r="K33" s="179" t="s">
        <v>27</v>
      </c>
      <c r="L33" s="178">
        <v>158</v>
      </c>
      <c r="M33" s="179" t="s">
        <v>1207</v>
      </c>
      <c r="N33" s="224">
        <f>L33*J33*H29*G29*2</f>
        <v>12258.166666666666</v>
      </c>
      <c r="O33" s="181"/>
      <c r="P33" s="181"/>
      <c r="Q33" s="214">
        <f>N33/$O$2</f>
        <v>0.1784511539432054</v>
      </c>
      <c r="R33" s="177">
        <v>3</v>
      </c>
      <c r="S33" s="14" t="s">
        <v>671</v>
      </c>
      <c r="T33" s="14" t="s">
        <v>672</v>
      </c>
    </row>
    <row r="34" spans="1:26" ht="14.25" customHeight="1" x14ac:dyDescent="0.2">
      <c r="A34" s="181"/>
      <c r="B34" s="219"/>
      <c r="C34" s="181"/>
      <c r="D34" s="181"/>
      <c r="E34" s="181"/>
      <c r="F34" s="181"/>
      <c r="G34" s="181"/>
      <c r="H34" s="181"/>
      <c r="I34" s="181"/>
      <c r="J34" s="181"/>
      <c r="K34" s="181"/>
      <c r="L34" s="181"/>
      <c r="M34" s="181"/>
      <c r="N34" s="212"/>
      <c r="O34" s="181"/>
      <c r="P34" s="181"/>
      <c r="Q34" s="215"/>
      <c r="R34" s="181"/>
      <c r="S34" s="14" t="s">
        <v>439</v>
      </c>
      <c r="T34" s="14" t="s">
        <v>440</v>
      </c>
    </row>
    <row r="35" spans="1:26" ht="14.25" customHeight="1" x14ac:dyDescent="0.2">
      <c r="A35" s="181"/>
      <c r="B35" s="219"/>
      <c r="C35" s="181"/>
      <c r="D35" s="181"/>
      <c r="E35" s="181"/>
      <c r="F35" s="181"/>
      <c r="G35" s="181"/>
      <c r="H35" s="181"/>
      <c r="I35" s="181"/>
      <c r="J35" s="181"/>
      <c r="K35" s="181"/>
      <c r="L35" s="181"/>
      <c r="M35" s="181"/>
      <c r="N35" s="212"/>
      <c r="O35" s="181"/>
      <c r="P35" s="181"/>
      <c r="Q35" s="215"/>
      <c r="R35" s="181"/>
      <c r="S35" s="14" t="s">
        <v>443</v>
      </c>
      <c r="T35" s="14" t="s">
        <v>444</v>
      </c>
    </row>
    <row r="36" spans="1:26" ht="14.25" customHeight="1" x14ac:dyDescent="0.2">
      <c r="A36" s="181"/>
      <c r="B36" s="219"/>
      <c r="C36" s="181"/>
      <c r="D36" s="181"/>
      <c r="E36" s="181"/>
      <c r="F36" s="181"/>
      <c r="G36" s="181"/>
      <c r="H36" s="181"/>
      <c r="I36" s="181"/>
      <c r="J36" s="181"/>
      <c r="K36" s="181"/>
      <c r="L36" s="181"/>
      <c r="M36" s="181"/>
      <c r="N36" s="212"/>
      <c r="O36" s="181"/>
      <c r="P36" s="181"/>
      <c r="Q36" s="215"/>
      <c r="R36" s="181"/>
      <c r="S36" s="14" t="s">
        <v>451</v>
      </c>
      <c r="T36" s="132" t="s">
        <v>943</v>
      </c>
    </row>
    <row r="37" spans="1:26" ht="14.25" customHeight="1" x14ac:dyDescent="0.2">
      <c r="A37" s="181"/>
      <c r="B37" s="219"/>
      <c r="C37" s="181"/>
      <c r="D37" s="181"/>
      <c r="E37" s="176"/>
      <c r="F37" s="176"/>
      <c r="G37" s="181"/>
      <c r="H37" s="181"/>
      <c r="I37" s="181"/>
      <c r="J37" s="176"/>
      <c r="K37" s="176"/>
      <c r="L37" s="176"/>
      <c r="M37" s="176"/>
      <c r="N37" s="213"/>
      <c r="O37" s="181"/>
      <c r="P37" s="181"/>
      <c r="Q37" s="216"/>
      <c r="R37" s="176"/>
      <c r="S37" s="14" t="s">
        <v>944</v>
      </c>
      <c r="T37" s="14" t="s">
        <v>946</v>
      </c>
      <c r="U37" s="133"/>
      <c r="V37" s="133"/>
      <c r="W37" s="133"/>
      <c r="X37" s="133"/>
      <c r="Y37" s="133"/>
      <c r="Z37" s="133"/>
    </row>
    <row r="38" spans="1:26" ht="14.25" customHeight="1" x14ac:dyDescent="0.2">
      <c r="A38" s="181"/>
      <c r="B38" s="220"/>
      <c r="C38" s="176"/>
      <c r="D38" s="176"/>
      <c r="E38" s="50" t="s">
        <v>287</v>
      </c>
      <c r="F38" s="14" t="s">
        <v>19</v>
      </c>
      <c r="G38" s="176"/>
      <c r="H38" s="176"/>
      <c r="I38" s="176"/>
      <c r="J38" s="14">
        <f>0.03/12</f>
        <v>2.5000000000000001E-3</v>
      </c>
      <c r="K38" s="101" t="s">
        <v>27</v>
      </c>
      <c r="L38" s="14">
        <v>0.17</v>
      </c>
      <c r="M38" s="14" t="s">
        <v>1212</v>
      </c>
      <c r="N38" s="142">
        <f>L38*H29*G29*2</f>
        <v>633.08000000000004</v>
      </c>
      <c r="O38" s="181"/>
      <c r="P38" s="181"/>
      <c r="Q38" s="108">
        <f t="shared" ref="Q38:Q41" si="2">N38/$O$2</f>
        <v>9.2162114947883303E-3</v>
      </c>
      <c r="R38" s="39">
        <v>3</v>
      </c>
      <c r="S38" s="14" t="s">
        <v>951</v>
      </c>
      <c r="T38" s="14" t="s">
        <v>952</v>
      </c>
    </row>
    <row r="39" spans="1:26" ht="14.25" customHeight="1" x14ac:dyDescent="0.2">
      <c r="A39" s="181"/>
      <c r="B39" s="218" t="s">
        <v>1213</v>
      </c>
      <c r="C39" s="183" t="s">
        <v>961</v>
      </c>
      <c r="D39" s="179" t="s">
        <v>1214</v>
      </c>
      <c r="E39" s="41" t="s">
        <v>1042</v>
      </c>
      <c r="F39" s="14" t="s">
        <v>435</v>
      </c>
      <c r="G39" s="14">
        <v>2</v>
      </c>
      <c r="H39" s="182">
        <v>500</v>
      </c>
      <c r="I39" s="183" t="s">
        <v>166</v>
      </c>
      <c r="J39" s="19">
        <f>1/4/12</f>
        <v>2.0833333333333332E-2</v>
      </c>
      <c r="K39" s="14"/>
      <c r="L39" s="14">
        <v>158</v>
      </c>
      <c r="M39" s="14" t="s">
        <v>1215</v>
      </c>
      <c r="N39" s="143">
        <f>L39*J39*H39*G39</f>
        <v>3291.6666666666665</v>
      </c>
      <c r="O39" s="181"/>
      <c r="P39" s="181"/>
      <c r="Q39" s="108">
        <f t="shared" si="2"/>
        <v>4.791921427046332E-2</v>
      </c>
      <c r="R39" s="39">
        <v>5</v>
      </c>
      <c r="S39" s="14" t="s">
        <v>1217</v>
      </c>
      <c r="T39" s="14" t="s">
        <v>1218</v>
      </c>
    </row>
    <row r="40" spans="1:26" ht="14.25" customHeight="1" x14ac:dyDescent="0.2">
      <c r="A40" s="181"/>
      <c r="B40" s="219"/>
      <c r="C40" s="181"/>
      <c r="D40" s="176"/>
      <c r="E40" s="41" t="s">
        <v>287</v>
      </c>
      <c r="F40" s="14" t="s">
        <v>19</v>
      </c>
      <c r="G40" s="14">
        <v>2</v>
      </c>
      <c r="H40" s="176"/>
      <c r="I40" s="176"/>
      <c r="J40" s="19">
        <f>0.03/12</f>
        <v>2.5000000000000001E-3</v>
      </c>
      <c r="K40" s="14"/>
      <c r="L40" s="14">
        <v>0.17</v>
      </c>
      <c r="M40" s="14" t="s">
        <v>1220</v>
      </c>
      <c r="N40" s="144">
        <f>L40*H39*G40</f>
        <v>170</v>
      </c>
      <c r="O40" s="181"/>
      <c r="P40" s="181"/>
      <c r="Q40" s="108">
        <f t="shared" si="2"/>
        <v>2.4748151167530426E-3</v>
      </c>
      <c r="R40" s="39">
        <v>5</v>
      </c>
      <c r="S40" s="14" t="s">
        <v>1221</v>
      </c>
      <c r="T40" s="14" t="s">
        <v>1222</v>
      </c>
    </row>
    <row r="41" spans="1:26" ht="15" customHeight="1" x14ac:dyDescent="0.2">
      <c r="A41" s="181"/>
      <c r="B41" s="219"/>
      <c r="C41" s="181"/>
      <c r="D41" s="179" t="s">
        <v>1224</v>
      </c>
      <c r="E41" s="179" t="s">
        <v>13</v>
      </c>
      <c r="F41" s="179" t="s">
        <v>13</v>
      </c>
      <c r="G41" s="178">
        <v>10</v>
      </c>
      <c r="H41" s="178">
        <v>10</v>
      </c>
      <c r="I41" s="179" t="s">
        <v>142</v>
      </c>
      <c r="J41" s="175">
        <f>4/12</f>
        <v>0.33333333333333331</v>
      </c>
      <c r="K41" s="175">
        <f>1.75/12</f>
        <v>0.14583333333333334</v>
      </c>
      <c r="L41" s="178">
        <v>169</v>
      </c>
      <c r="M41" s="179" t="s">
        <v>1226</v>
      </c>
      <c r="N41" s="234">
        <f>L41*K41*J41*G41*H41</f>
        <v>821.52777777777783</v>
      </c>
      <c r="O41" s="181"/>
      <c r="P41" s="181"/>
      <c r="Q41" s="214">
        <f t="shared" si="2"/>
        <v>1.1959584489864582E-2</v>
      </c>
      <c r="R41" s="177">
        <v>3</v>
      </c>
      <c r="S41" s="14" t="s">
        <v>970</v>
      </c>
      <c r="T41" s="61" t="s">
        <v>971</v>
      </c>
      <c r="U41" s="63"/>
    </row>
    <row r="42" spans="1:26" ht="15" customHeight="1" x14ac:dyDescent="0.2">
      <c r="A42" s="181"/>
      <c r="B42" s="219"/>
      <c r="C42" s="181"/>
      <c r="D42" s="181"/>
      <c r="E42" s="181"/>
      <c r="F42" s="181"/>
      <c r="G42" s="181"/>
      <c r="H42" s="181"/>
      <c r="I42" s="181"/>
      <c r="J42" s="181"/>
      <c r="K42" s="181"/>
      <c r="L42" s="181"/>
      <c r="M42" s="181"/>
      <c r="N42" s="212"/>
      <c r="O42" s="181"/>
      <c r="P42" s="181"/>
      <c r="Q42" s="215"/>
      <c r="R42" s="181"/>
      <c r="S42" s="14" t="s">
        <v>1228</v>
      </c>
      <c r="T42" s="61" t="s">
        <v>1229</v>
      </c>
      <c r="U42" s="63"/>
    </row>
    <row r="43" spans="1:26" ht="14.25" customHeight="1" x14ac:dyDescent="0.2">
      <c r="A43" s="181"/>
      <c r="B43" s="220"/>
      <c r="C43" s="176"/>
      <c r="D43" s="176"/>
      <c r="E43" s="176"/>
      <c r="F43" s="176"/>
      <c r="G43" s="176"/>
      <c r="H43" s="176"/>
      <c r="I43" s="176"/>
      <c r="J43" s="176"/>
      <c r="K43" s="176"/>
      <c r="L43" s="176"/>
      <c r="M43" s="176"/>
      <c r="N43" s="213"/>
      <c r="O43" s="181"/>
      <c r="P43" s="181"/>
      <c r="Q43" s="216"/>
      <c r="R43" s="176"/>
      <c r="S43" s="40" t="s">
        <v>992</v>
      </c>
      <c r="T43" s="14" t="s">
        <v>993</v>
      </c>
    </row>
    <row r="44" spans="1:26" ht="15" customHeight="1" x14ac:dyDescent="0.2">
      <c r="A44" s="181"/>
      <c r="B44" s="130" t="s">
        <v>1231</v>
      </c>
      <c r="C44" s="69" t="s">
        <v>566</v>
      </c>
      <c r="D44" s="50" t="s">
        <v>1232</v>
      </c>
      <c r="E44" s="34" t="s">
        <v>27</v>
      </c>
      <c r="F44" s="50" t="s">
        <v>27</v>
      </c>
      <c r="G44" s="70">
        <v>11</v>
      </c>
      <c r="H44" s="53">
        <v>21</v>
      </c>
      <c r="I44" s="50" t="s">
        <v>166</v>
      </c>
      <c r="J44" s="50" t="s">
        <v>27</v>
      </c>
      <c r="K44" s="50" t="s">
        <v>27</v>
      </c>
      <c r="L44" s="50" t="s">
        <v>27</v>
      </c>
      <c r="M44" s="50" t="s">
        <v>27</v>
      </c>
      <c r="N44" s="113">
        <f t="shared" ref="N44:N45" si="3">G44*H44</f>
        <v>231</v>
      </c>
      <c r="O44" s="181"/>
      <c r="P44" s="181"/>
      <c r="Q44" s="114">
        <f t="shared" ref="Q44:Q46" si="4">N44/$O$2</f>
        <v>3.3628370115879581E-3</v>
      </c>
      <c r="R44" s="58">
        <v>3</v>
      </c>
      <c r="S44" s="14" t="s">
        <v>307</v>
      </c>
      <c r="T44" s="14" t="s">
        <v>308</v>
      </c>
    </row>
    <row r="45" spans="1:26" ht="14.25" customHeight="1" x14ac:dyDescent="0.2">
      <c r="A45" s="181"/>
      <c r="B45" s="145" t="s">
        <v>299</v>
      </c>
      <c r="C45" s="134" t="s">
        <v>300</v>
      </c>
      <c r="D45" s="14" t="s">
        <v>301</v>
      </c>
      <c r="E45" s="14" t="s">
        <v>27</v>
      </c>
      <c r="F45" s="14" t="s">
        <v>27</v>
      </c>
      <c r="G45" s="134">
        <v>5</v>
      </c>
      <c r="H45" s="41">
        <v>21</v>
      </c>
      <c r="I45" s="41" t="s">
        <v>166</v>
      </c>
      <c r="J45" s="14" t="s">
        <v>27</v>
      </c>
      <c r="K45" s="14" t="s">
        <v>27</v>
      </c>
      <c r="L45" s="14" t="s">
        <v>27</v>
      </c>
      <c r="M45" s="14" t="s">
        <v>27</v>
      </c>
      <c r="N45" s="144">
        <f t="shared" si="3"/>
        <v>105</v>
      </c>
      <c r="O45" s="181"/>
      <c r="P45" s="181"/>
      <c r="Q45" s="108">
        <f t="shared" si="4"/>
        <v>1.5285622779945263E-3</v>
      </c>
      <c r="R45" s="39">
        <v>3</v>
      </c>
      <c r="S45" s="14" t="s">
        <v>307</v>
      </c>
      <c r="T45" s="14" t="s">
        <v>308</v>
      </c>
    </row>
    <row r="46" spans="1:26" ht="16.5" customHeight="1" x14ac:dyDescent="0.2">
      <c r="A46" s="181"/>
      <c r="B46" s="218" t="s">
        <v>1233</v>
      </c>
      <c r="C46" s="183" t="s">
        <v>1234</v>
      </c>
      <c r="D46" s="179" t="s">
        <v>1235</v>
      </c>
      <c r="E46" s="179" t="s">
        <v>287</v>
      </c>
      <c r="F46" s="179" t="s">
        <v>10</v>
      </c>
      <c r="G46" s="178">
        <v>2</v>
      </c>
      <c r="H46" s="182">
        <v>4400</v>
      </c>
      <c r="I46" s="183" t="s">
        <v>166</v>
      </c>
      <c r="J46" s="178">
        <v>0.125</v>
      </c>
      <c r="K46" s="179" t="s">
        <v>27</v>
      </c>
      <c r="L46" s="178">
        <v>2.5</v>
      </c>
      <c r="M46" s="179" t="s">
        <v>1237</v>
      </c>
      <c r="N46" s="211">
        <f>H46*(J46)*L46*G46</f>
        <v>2750</v>
      </c>
      <c r="O46" s="181"/>
      <c r="P46" s="181"/>
      <c r="Q46" s="233">
        <f t="shared" si="4"/>
        <v>4.003377394747569E-2</v>
      </c>
      <c r="R46" s="177">
        <v>4</v>
      </c>
      <c r="S46" s="14" t="s">
        <v>1239</v>
      </c>
      <c r="T46" s="14" t="s">
        <v>1240</v>
      </c>
    </row>
    <row r="47" spans="1:26" ht="14.25" customHeight="1" x14ac:dyDescent="0.2">
      <c r="A47" s="181"/>
      <c r="B47" s="219"/>
      <c r="C47" s="181"/>
      <c r="D47" s="181"/>
      <c r="E47" s="181"/>
      <c r="F47" s="181"/>
      <c r="G47" s="181"/>
      <c r="H47" s="181"/>
      <c r="I47" s="181"/>
      <c r="J47" s="181"/>
      <c r="K47" s="181"/>
      <c r="L47" s="181"/>
      <c r="M47" s="181"/>
      <c r="N47" s="212"/>
      <c r="O47" s="181"/>
      <c r="P47" s="181"/>
      <c r="Q47" s="215"/>
      <c r="R47" s="181"/>
      <c r="S47" s="14" t="s">
        <v>530</v>
      </c>
      <c r="T47" s="14" t="s">
        <v>1243</v>
      </c>
    </row>
    <row r="48" spans="1:26" ht="14.25" customHeight="1" x14ac:dyDescent="0.2">
      <c r="A48" s="181"/>
      <c r="B48" s="219"/>
      <c r="C48" s="181"/>
      <c r="D48" s="181"/>
      <c r="E48" s="181"/>
      <c r="F48" s="181"/>
      <c r="G48" s="181"/>
      <c r="H48" s="181"/>
      <c r="I48" s="181"/>
      <c r="J48" s="181"/>
      <c r="K48" s="181"/>
      <c r="L48" s="181"/>
      <c r="M48" s="181"/>
      <c r="N48" s="212"/>
      <c r="O48" s="181"/>
      <c r="P48" s="181"/>
      <c r="Q48" s="215"/>
      <c r="R48" s="181"/>
      <c r="S48" s="14" t="s">
        <v>347</v>
      </c>
      <c r="T48" s="14" t="s">
        <v>348</v>
      </c>
    </row>
    <row r="49" spans="1:20" ht="14.25" customHeight="1" x14ac:dyDescent="0.2">
      <c r="A49" s="181"/>
      <c r="B49" s="219"/>
      <c r="C49" s="181"/>
      <c r="D49" s="176"/>
      <c r="E49" s="176"/>
      <c r="F49" s="176"/>
      <c r="G49" s="176"/>
      <c r="H49" s="176"/>
      <c r="I49" s="176"/>
      <c r="J49" s="176"/>
      <c r="K49" s="176"/>
      <c r="L49" s="176"/>
      <c r="M49" s="176"/>
      <c r="N49" s="213"/>
      <c r="O49" s="181"/>
      <c r="P49" s="181"/>
      <c r="Q49" s="216"/>
      <c r="R49" s="176"/>
      <c r="S49" s="14" t="s">
        <v>349</v>
      </c>
      <c r="T49" s="14" t="s">
        <v>350</v>
      </c>
    </row>
    <row r="50" spans="1:20" ht="14.25" customHeight="1" x14ac:dyDescent="0.2">
      <c r="A50" s="181"/>
      <c r="B50" s="219"/>
      <c r="C50" s="181"/>
      <c r="D50" s="179" t="s">
        <v>1245</v>
      </c>
      <c r="E50" s="179" t="s">
        <v>294</v>
      </c>
      <c r="F50" s="179" t="s">
        <v>12</v>
      </c>
      <c r="G50" s="182">
        <v>1</v>
      </c>
      <c r="H50" s="182">
        <v>4400</v>
      </c>
      <c r="I50" s="183" t="s">
        <v>166</v>
      </c>
      <c r="J50" s="175">
        <f>(1/2)/12</f>
        <v>4.1666666666666664E-2</v>
      </c>
      <c r="K50" s="179" t="s">
        <v>27</v>
      </c>
      <c r="L50" s="178">
        <v>2</v>
      </c>
      <c r="M50" s="179" t="s">
        <v>1247</v>
      </c>
      <c r="N50" s="211">
        <f>L50*H50</f>
        <v>8800</v>
      </c>
      <c r="O50" s="181"/>
      <c r="P50" s="181"/>
      <c r="Q50" s="214">
        <f>N50/$O$2</f>
        <v>0.1281080766319222</v>
      </c>
      <c r="R50" s="177">
        <v>1</v>
      </c>
      <c r="S50" s="14" t="s">
        <v>503</v>
      </c>
      <c r="T50" s="14" t="s">
        <v>504</v>
      </c>
    </row>
    <row r="51" spans="1:20" ht="14.25" customHeight="1" x14ac:dyDescent="0.2">
      <c r="A51" s="181"/>
      <c r="B51" s="219"/>
      <c r="C51" s="181"/>
      <c r="D51" s="181"/>
      <c r="E51" s="181"/>
      <c r="F51" s="181"/>
      <c r="G51" s="181"/>
      <c r="H51" s="181"/>
      <c r="I51" s="181"/>
      <c r="J51" s="181"/>
      <c r="K51" s="181"/>
      <c r="L51" s="181"/>
      <c r="M51" s="181"/>
      <c r="N51" s="212"/>
      <c r="O51" s="181"/>
      <c r="P51" s="181"/>
      <c r="Q51" s="215"/>
      <c r="R51" s="181"/>
      <c r="S51" s="14" t="s">
        <v>508</v>
      </c>
      <c r="T51" s="14" t="s">
        <v>509</v>
      </c>
    </row>
    <row r="52" spans="1:20" ht="14.25" customHeight="1" x14ac:dyDescent="0.2">
      <c r="A52" s="181"/>
      <c r="B52" s="219"/>
      <c r="C52" s="181"/>
      <c r="D52" s="176"/>
      <c r="E52" s="176"/>
      <c r="F52" s="176"/>
      <c r="G52" s="176"/>
      <c r="H52" s="176"/>
      <c r="I52" s="176"/>
      <c r="J52" s="176"/>
      <c r="K52" s="176"/>
      <c r="L52" s="176"/>
      <c r="M52" s="176"/>
      <c r="N52" s="213"/>
      <c r="O52" s="181"/>
      <c r="P52" s="181"/>
      <c r="Q52" s="216"/>
      <c r="R52" s="176"/>
      <c r="S52" s="14" t="s">
        <v>510</v>
      </c>
      <c r="T52" s="14" t="s">
        <v>1250</v>
      </c>
    </row>
    <row r="53" spans="1:20" ht="14.25" customHeight="1" x14ac:dyDescent="0.2">
      <c r="A53" s="181"/>
      <c r="B53" s="219"/>
      <c r="C53" s="181"/>
      <c r="D53" s="179" t="s">
        <v>515</v>
      </c>
      <c r="E53" s="179" t="s">
        <v>516</v>
      </c>
      <c r="F53" s="179" t="s">
        <v>517</v>
      </c>
      <c r="G53" s="182">
        <v>1</v>
      </c>
      <c r="H53" s="182">
        <v>4400</v>
      </c>
      <c r="I53" s="183" t="s">
        <v>166</v>
      </c>
      <c r="J53" s="178" t="s">
        <v>27</v>
      </c>
      <c r="K53" s="179" t="s">
        <v>27</v>
      </c>
      <c r="L53" s="178">
        <v>6.3</v>
      </c>
      <c r="M53" s="179" t="s">
        <v>1252</v>
      </c>
      <c r="N53" s="211">
        <f>L53*H53</f>
        <v>27720</v>
      </c>
      <c r="O53" s="181"/>
      <c r="P53" s="181"/>
      <c r="Q53" s="233">
        <f>N53/$O$2</f>
        <v>0.40354044139055495</v>
      </c>
      <c r="R53" s="177">
        <v>1</v>
      </c>
      <c r="S53" s="14" t="s">
        <v>521</v>
      </c>
      <c r="T53" s="14" t="s">
        <v>1253</v>
      </c>
    </row>
    <row r="54" spans="1:20" ht="14.25" customHeight="1" x14ac:dyDescent="0.2">
      <c r="A54" s="181"/>
      <c r="B54" s="219"/>
      <c r="C54" s="181"/>
      <c r="D54" s="181"/>
      <c r="E54" s="181"/>
      <c r="F54" s="181"/>
      <c r="G54" s="181"/>
      <c r="H54" s="181"/>
      <c r="I54" s="181"/>
      <c r="J54" s="181"/>
      <c r="K54" s="181"/>
      <c r="L54" s="181"/>
      <c r="M54" s="181"/>
      <c r="N54" s="212"/>
      <c r="O54" s="181"/>
      <c r="P54" s="181"/>
      <c r="Q54" s="215"/>
      <c r="R54" s="181"/>
      <c r="S54" s="14" t="s">
        <v>1255</v>
      </c>
      <c r="T54" s="14" t="s">
        <v>1256</v>
      </c>
    </row>
    <row r="55" spans="1:20" ht="14.25" customHeight="1" x14ac:dyDescent="0.2">
      <c r="A55" s="181"/>
      <c r="B55" s="219"/>
      <c r="C55" s="181"/>
      <c r="D55" s="181"/>
      <c r="E55" s="181"/>
      <c r="F55" s="181"/>
      <c r="G55" s="181"/>
      <c r="H55" s="181"/>
      <c r="I55" s="181"/>
      <c r="J55" s="181"/>
      <c r="K55" s="181"/>
      <c r="L55" s="181"/>
      <c r="M55" s="181"/>
      <c r="N55" s="212"/>
      <c r="O55" s="181"/>
      <c r="P55" s="181"/>
      <c r="Q55" s="215"/>
      <c r="R55" s="181"/>
      <c r="S55" s="14" t="s">
        <v>524</v>
      </c>
      <c r="T55" s="14" t="s">
        <v>1257</v>
      </c>
    </row>
    <row r="56" spans="1:20" ht="14.25" customHeight="1" x14ac:dyDescent="0.2">
      <c r="A56" s="181"/>
      <c r="B56" s="219"/>
      <c r="C56" s="181"/>
      <c r="D56" s="176"/>
      <c r="E56" s="176"/>
      <c r="F56" s="176"/>
      <c r="G56" s="176"/>
      <c r="H56" s="176"/>
      <c r="I56" s="176"/>
      <c r="J56" s="176"/>
      <c r="K56" s="176"/>
      <c r="L56" s="176"/>
      <c r="M56" s="176"/>
      <c r="N56" s="213"/>
      <c r="O56" s="181"/>
      <c r="P56" s="181"/>
      <c r="Q56" s="216"/>
      <c r="R56" s="176"/>
      <c r="S56" s="40" t="s">
        <v>335</v>
      </c>
      <c r="T56" s="14" t="s">
        <v>1243</v>
      </c>
    </row>
    <row r="57" spans="1:20" ht="14.25" customHeight="1" x14ac:dyDescent="0.2">
      <c r="A57" s="181"/>
      <c r="B57" s="219"/>
      <c r="C57" s="181"/>
      <c r="D57" s="179" t="s">
        <v>526</v>
      </c>
      <c r="E57" s="179" t="s">
        <v>527</v>
      </c>
      <c r="F57" s="179" t="s">
        <v>23</v>
      </c>
      <c r="G57" s="182">
        <v>1</v>
      </c>
      <c r="H57" s="182">
        <v>4400</v>
      </c>
      <c r="I57" s="183" t="s">
        <v>166</v>
      </c>
      <c r="J57" s="178" t="s">
        <v>27</v>
      </c>
      <c r="K57" s="179" t="s">
        <v>27</v>
      </c>
      <c r="L57" s="178">
        <v>1</v>
      </c>
      <c r="M57" s="179" t="s">
        <v>1259</v>
      </c>
      <c r="N57" s="211">
        <f>L57*H57</f>
        <v>4400</v>
      </c>
      <c r="O57" s="181"/>
      <c r="P57" s="181"/>
      <c r="Q57" s="214">
        <f>N57/$O$2</f>
        <v>6.4054038315961098E-2</v>
      </c>
      <c r="R57" s="177">
        <v>1</v>
      </c>
      <c r="S57" s="14" t="s">
        <v>947</v>
      </c>
      <c r="T57" s="14" t="s">
        <v>948</v>
      </c>
    </row>
    <row r="58" spans="1:20" ht="14.25" customHeight="1" x14ac:dyDescent="0.2">
      <c r="A58" s="181"/>
      <c r="B58" s="220"/>
      <c r="C58" s="176"/>
      <c r="D58" s="176"/>
      <c r="E58" s="176"/>
      <c r="F58" s="176"/>
      <c r="G58" s="176"/>
      <c r="H58" s="176"/>
      <c r="I58" s="176"/>
      <c r="J58" s="176"/>
      <c r="K58" s="176"/>
      <c r="L58" s="176"/>
      <c r="M58" s="176"/>
      <c r="N58" s="213"/>
      <c r="O58" s="181"/>
      <c r="P58" s="181"/>
      <c r="Q58" s="216"/>
      <c r="R58" s="176"/>
      <c r="S58" s="14" t="s">
        <v>536</v>
      </c>
      <c r="T58" s="14" t="s">
        <v>537</v>
      </c>
    </row>
    <row r="59" spans="1:20" ht="14.25" customHeight="1" x14ac:dyDescent="0.2">
      <c r="A59" s="181"/>
      <c r="B59" s="183" t="s">
        <v>1024</v>
      </c>
      <c r="C59" s="183" t="s">
        <v>715</v>
      </c>
      <c r="D59" s="225" t="s">
        <v>1025</v>
      </c>
      <c r="E59" s="179" t="s">
        <v>13</v>
      </c>
      <c r="F59" s="179" t="s">
        <v>13</v>
      </c>
      <c r="G59" s="226">
        <v>1</v>
      </c>
      <c r="H59" s="182">
        <v>42000</v>
      </c>
      <c r="I59" s="183" t="s">
        <v>166</v>
      </c>
      <c r="J59" s="222">
        <f>0.05/12</f>
        <v>4.1666666666666666E-3</v>
      </c>
      <c r="K59" s="179" t="s">
        <v>27</v>
      </c>
      <c r="L59" s="178">
        <v>0.56899999999999995</v>
      </c>
      <c r="M59" s="179" t="s">
        <v>1260</v>
      </c>
      <c r="N59" s="211">
        <f>H59*L59</f>
        <v>23897.999999999996</v>
      </c>
      <c r="O59" s="181"/>
      <c r="P59" s="181"/>
      <c r="Q59" s="214">
        <f>N59/$O$2</f>
        <v>0.34790077447155415</v>
      </c>
      <c r="R59" s="177">
        <v>4</v>
      </c>
      <c r="S59" s="14" t="s">
        <v>325</v>
      </c>
      <c r="T59" s="14" t="s">
        <v>326</v>
      </c>
    </row>
    <row r="60" spans="1:20" ht="14.25" customHeight="1" x14ac:dyDescent="0.2">
      <c r="A60" s="181"/>
      <c r="B60" s="181"/>
      <c r="C60" s="181"/>
      <c r="D60" s="215"/>
      <c r="E60" s="181"/>
      <c r="F60" s="181"/>
      <c r="G60" s="227"/>
      <c r="H60" s="181"/>
      <c r="I60" s="181"/>
      <c r="J60" s="215"/>
      <c r="K60" s="181"/>
      <c r="L60" s="181"/>
      <c r="M60" s="181"/>
      <c r="N60" s="212"/>
      <c r="O60" s="181"/>
      <c r="P60" s="181"/>
      <c r="Q60" s="215"/>
      <c r="R60" s="181"/>
      <c r="S60" s="14" t="s">
        <v>327</v>
      </c>
      <c r="T60" s="14" t="s">
        <v>328</v>
      </c>
    </row>
    <row r="61" spans="1:20" ht="14.25" customHeight="1" x14ac:dyDescent="0.2">
      <c r="A61" s="181"/>
      <c r="B61" s="181"/>
      <c r="C61" s="181"/>
      <c r="D61" s="216"/>
      <c r="E61" s="176"/>
      <c r="F61" s="176"/>
      <c r="G61" s="228"/>
      <c r="H61" s="181"/>
      <c r="I61" s="181"/>
      <c r="J61" s="216"/>
      <c r="K61" s="176"/>
      <c r="L61" s="176"/>
      <c r="M61" s="176"/>
      <c r="N61" s="213"/>
      <c r="O61" s="181"/>
      <c r="P61" s="181"/>
      <c r="Q61" s="216"/>
      <c r="R61" s="176"/>
      <c r="S61" s="14" t="s">
        <v>1028</v>
      </c>
      <c r="T61" s="14" t="s">
        <v>330</v>
      </c>
    </row>
    <row r="62" spans="1:20" ht="14.25" customHeight="1" x14ac:dyDescent="0.2">
      <c r="A62" s="181"/>
      <c r="B62" s="181"/>
      <c r="C62" s="181"/>
      <c r="D62" s="225" t="s">
        <v>1262</v>
      </c>
      <c r="E62" s="179" t="s">
        <v>279</v>
      </c>
      <c r="F62" s="179" t="s">
        <v>15</v>
      </c>
      <c r="G62" s="226">
        <v>1</v>
      </c>
      <c r="H62" s="181"/>
      <c r="I62" s="181"/>
      <c r="J62" s="214" t="s">
        <v>27</v>
      </c>
      <c r="K62" s="179" t="s">
        <v>27</v>
      </c>
      <c r="L62" s="178">
        <v>0.215</v>
      </c>
      <c r="M62" s="179" t="s">
        <v>1263</v>
      </c>
      <c r="N62" s="211">
        <f>L62*H59</f>
        <v>9030</v>
      </c>
      <c r="O62" s="181"/>
      <c r="P62" s="181"/>
      <c r="Q62" s="214">
        <f>N62/$O$2</f>
        <v>0.13145635590752927</v>
      </c>
      <c r="R62" s="177">
        <v>5</v>
      </c>
      <c r="S62" s="14" t="s">
        <v>333</v>
      </c>
      <c r="T62" s="14" t="s">
        <v>334</v>
      </c>
    </row>
    <row r="63" spans="1:20" ht="14.25" customHeight="1" x14ac:dyDescent="0.2">
      <c r="A63" s="181"/>
      <c r="B63" s="181"/>
      <c r="C63" s="181"/>
      <c r="D63" s="216"/>
      <c r="E63" s="176"/>
      <c r="F63" s="176"/>
      <c r="G63" s="228"/>
      <c r="H63" s="181"/>
      <c r="I63" s="181"/>
      <c r="J63" s="216"/>
      <c r="K63" s="176"/>
      <c r="L63" s="176"/>
      <c r="M63" s="176"/>
      <c r="N63" s="213"/>
      <c r="O63" s="181"/>
      <c r="P63" s="181"/>
      <c r="Q63" s="216"/>
      <c r="R63" s="176"/>
      <c r="S63" s="14" t="s">
        <v>530</v>
      </c>
      <c r="T63" s="14" t="s">
        <v>336</v>
      </c>
    </row>
    <row r="64" spans="1:20" ht="15" customHeight="1" x14ac:dyDescent="0.2">
      <c r="A64" s="181"/>
      <c r="B64" s="181"/>
      <c r="C64" s="181"/>
      <c r="D64" s="225" t="s">
        <v>239</v>
      </c>
      <c r="E64" s="179" t="s">
        <v>92</v>
      </c>
      <c r="F64" s="179" t="s">
        <v>5</v>
      </c>
      <c r="G64" s="226">
        <v>1</v>
      </c>
      <c r="H64" s="181"/>
      <c r="I64" s="181"/>
      <c r="J64" s="214">
        <f>5/8/12</f>
        <v>5.2083333333333336E-2</v>
      </c>
      <c r="K64" s="179" t="s">
        <v>27</v>
      </c>
      <c r="L64" s="178">
        <v>1.56</v>
      </c>
      <c r="M64" s="179" t="s">
        <v>1267</v>
      </c>
      <c r="N64" s="211">
        <f>L64*H59</f>
        <v>65520</v>
      </c>
      <c r="O64" s="181"/>
      <c r="P64" s="181"/>
      <c r="Q64" s="214">
        <f>N64/$O$2</f>
        <v>0.95382286146858442</v>
      </c>
      <c r="R64" s="177">
        <v>5</v>
      </c>
      <c r="S64" s="14" t="s">
        <v>736</v>
      </c>
      <c r="T64" s="14" t="s">
        <v>339</v>
      </c>
    </row>
    <row r="65" spans="1:20" ht="14.25" customHeight="1" x14ac:dyDescent="0.2">
      <c r="A65" s="181"/>
      <c r="B65" s="181"/>
      <c r="C65" s="181"/>
      <c r="D65" s="215"/>
      <c r="E65" s="181"/>
      <c r="F65" s="181"/>
      <c r="G65" s="227"/>
      <c r="H65" s="181"/>
      <c r="I65" s="181"/>
      <c r="J65" s="215"/>
      <c r="K65" s="181"/>
      <c r="L65" s="181"/>
      <c r="M65" s="181"/>
      <c r="N65" s="212"/>
      <c r="O65" s="181"/>
      <c r="P65" s="181"/>
      <c r="Q65" s="215"/>
      <c r="R65" s="181"/>
      <c r="S65" s="14" t="s">
        <v>738</v>
      </c>
      <c r="T65" s="14" t="s">
        <v>341</v>
      </c>
    </row>
    <row r="66" spans="1:20" ht="14.25" customHeight="1" x14ac:dyDescent="0.2">
      <c r="A66" s="181"/>
      <c r="B66" s="181"/>
      <c r="C66" s="181"/>
      <c r="D66" s="216"/>
      <c r="E66" s="176"/>
      <c r="F66" s="176"/>
      <c r="G66" s="228"/>
      <c r="H66" s="181"/>
      <c r="I66" s="181"/>
      <c r="J66" s="216"/>
      <c r="K66" s="176"/>
      <c r="L66" s="176"/>
      <c r="M66" s="176"/>
      <c r="N66" s="213"/>
      <c r="O66" s="181"/>
      <c r="P66" s="181"/>
      <c r="Q66" s="216"/>
      <c r="R66" s="176"/>
      <c r="S66" s="14" t="s">
        <v>333</v>
      </c>
      <c r="T66" s="14" t="s">
        <v>1034</v>
      </c>
    </row>
    <row r="67" spans="1:20" ht="17.25" customHeight="1" x14ac:dyDescent="0.2">
      <c r="A67" s="181"/>
      <c r="B67" s="181"/>
      <c r="C67" s="181"/>
      <c r="D67" s="225" t="s">
        <v>286</v>
      </c>
      <c r="E67" s="179" t="s">
        <v>287</v>
      </c>
      <c r="F67" s="179" t="s">
        <v>10</v>
      </c>
      <c r="G67" s="226">
        <v>2</v>
      </c>
      <c r="H67" s="181"/>
      <c r="I67" s="181"/>
      <c r="J67" s="214">
        <v>0.125</v>
      </c>
      <c r="K67" s="179" t="s">
        <v>27</v>
      </c>
      <c r="L67" s="178">
        <v>2.5</v>
      </c>
      <c r="M67" s="179" t="s">
        <v>1271</v>
      </c>
      <c r="N67" s="211">
        <f>L67*H59*J67*G67</f>
        <v>26250</v>
      </c>
      <c r="O67" s="181"/>
      <c r="P67" s="181"/>
      <c r="Q67" s="214">
        <f>N67/$O$2</f>
        <v>0.38214056949863157</v>
      </c>
      <c r="R67" s="191">
        <v>3</v>
      </c>
      <c r="S67" s="14" t="s">
        <v>343</v>
      </c>
      <c r="T67" s="14" t="s">
        <v>344</v>
      </c>
    </row>
    <row r="68" spans="1:20" ht="14.25" customHeight="1" x14ac:dyDescent="0.2">
      <c r="A68" s="181"/>
      <c r="B68" s="181"/>
      <c r="C68" s="181"/>
      <c r="D68" s="215"/>
      <c r="E68" s="181"/>
      <c r="F68" s="181"/>
      <c r="G68" s="227"/>
      <c r="H68" s="181"/>
      <c r="I68" s="181"/>
      <c r="J68" s="215"/>
      <c r="K68" s="181"/>
      <c r="L68" s="181"/>
      <c r="M68" s="181"/>
      <c r="N68" s="212"/>
      <c r="O68" s="181"/>
      <c r="P68" s="181"/>
      <c r="Q68" s="215"/>
      <c r="R68" s="181"/>
      <c r="S68" s="97" t="s">
        <v>345</v>
      </c>
      <c r="T68" s="44" t="s">
        <v>346</v>
      </c>
    </row>
    <row r="69" spans="1:20" ht="14.25" customHeight="1" x14ac:dyDescent="0.2">
      <c r="A69" s="181"/>
      <c r="B69" s="181"/>
      <c r="C69" s="181"/>
      <c r="D69" s="215"/>
      <c r="E69" s="181"/>
      <c r="F69" s="181"/>
      <c r="G69" s="227"/>
      <c r="H69" s="181"/>
      <c r="I69" s="181"/>
      <c r="J69" s="215"/>
      <c r="K69" s="181"/>
      <c r="L69" s="181"/>
      <c r="M69" s="181"/>
      <c r="N69" s="212"/>
      <c r="O69" s="181"/>
      <c r="P69" s="181"/>
      <c r="Q69" s="215"/>
      <c r="R69" s="181"/>
      <c r="S69" s="14" t="s">
        <v>347</v>
      </c>
      <c r="T69" s="14" t="s">
        <v>348</v>
      </c>
    </row>
    <row r="70" spans="1:20" ht="14.25" customHeight="1" x14ac:dyDescent="0.2">
      <c r="A70" s="176"/>
      <c r="B70" s="176"/>
      <c r="C70" s="176"/>
      <c r="D70" s="216"/>
      <c r="E70" s="176"/>
      <c r="F70" s="176"/>
      <c r="G70" s="228"/>
      <c r="H70" s="176"/>
      <c r="I70" s="176"/>
      <c r="J70" s="216"/>
      <c r="K70" s="176"/>
      <c r="L70" s="176"/>
      <c r="M70" s="176"/>
      <c r="N70" s="213"/>
      <c r="O70" s="176"/>
      <c r="P70" s="176"/>
      <c r="Q70" s="216"/>
      <c r="R70" s="176"/>
      <c r="S70" s="14" t="s">
        <v>349</v>
      </c>
      <c r="T70" s="14" t="s">
        <v>350</v>
      </c>
    </row>
    <row r="71" spans="1:20" ht="14.25" customHeight="1" x14ac:dyDescent="0.2"/>
    <row r="72" spans="1:20" ht="14.25" customHeight="1" x14ac:dyDescent="0.2"/>
    <row r="73" spans="1:20" ht="14.25" customHeight="1" x14ac:dyDescent="0.2">
      <c r="F73" s="28" t="s">
        <v>121</v>
      </c>
      <c r="G73" s="28" t="s">
        <v>128</v>
      </c>
      <c r="H73" s="28" t="s">
        <v>1274</v>
      </c>
    </row>
    <row r="74" spans="1:20" ht="14.25" customHeight="1" x14ac:dyDescent="0.2">
      <c r="F74" s="50" t="s">
        <v>140</v>
      </c>
      <c r="G74" s="72">
        <f t="shared" ref="G74:G88" si="5">SUMIF($F$2:$F$70,$F74,$N$2:$N$70)</f>
        <v>7006443.75</v>
      </c>
      <c r="H74" s="73">
        <f t="shared" ref="H74:H88" si="6">SUMIF($F$2:$F$70,$F74,$Q$2:$Q$70)</f>
        <v>101.99795827752867</v>
      </c>
    </row>
    <row r="75" spans="1:20" ht="14.25" customHeight="1" x14ac:dyDescent="0.2">
      <c r="F75" s="14" t="s">
        <v>156</v>
      </c>
      <c r="G75" s="72">
        <f t="shared" si="5"/>
        <v>373857.92499999999</v>
      </c>
      <c r="H75" s="73">
        <f t="shared" si="6"/>
        <v>5.4425249665172073</v>
      </c>
    </row>
    <row r="76" spans="1:20" ht="14.25" customHeight="1" x14ac:dyDescent="0.2">
      <c r="F76" s="50" t="s">
        <v>7</v>
      </c>
      <c r="G76" s="72">
        <f t="shared" si="5"/>
        <v>72864</v>
      </c>
      <c r="H76" s="73">
        <f t="shared" si="6"/>
        <v>1.0607348745123157</v>
      </c>
    </row>
    <row r="77" spans="1:20" ht="14.25" customHeight="1" x14ac:dyDescent="0.2">
      <c r="F77" s="50" t="s">
        <v>441</v>
      </c>
      <c r="G77" s="72">
        <f t="shared" si="5"/>
        <v>201576</v>
      </c>
      <c r="H77" s="73">
        <f t="shared" si="6"/>
        <v>2.9344901880859489</v>
      </c>
    </row>
    <row r="78" spans="1:20" ht="14.25" customHeight="1" x14ac:dyDescent="0.2">
      <c r="F78" s="50" t="s">
        <v>6</v>
      </c>
      <c r="G78" s="72">
        <f t="shared" si="5"/>
        <v>418000</v>
      </c>
      <c r="H78" s="73">
        <f t="shared" si="6"/>
        <v>6.0851336400163047</v>
      </c>
    </row>
    <row r="79" spans="1:20" ht="14.25" customHeight="1" x14ac:dyDescent="0.2">
      <c r="F79" s="14" t="s">
        <v>1196</v>
      </c>
      <c r="G79" s="72">
        <f t="shared" si="5"/>
        <v>5700</v>
      </c>
      <c r="H79" s="73">
        <f t="shared" si="6"/>
        <v>8.2979095091131425E-2</v>
      </c>
    </row>
    <row r="80" spans="1:20" ht="14.25" customHeight="1" x14ac:dyDescent="0.2">
      <c r="F80" s="50" t="s">
        <v>12</v>
      </c>
      <c r="G80" s="72">
        <f t="shared" si="5"/>
        <v>81000</v>
      </c>
      <c r="H80" s="73">
        <f t="shared" si="6"/>
        <v>1.1791766144529203</v>
      </c>
    </row>
    <row r="81" spans="6:8" ht="14.25" customHeight="1" x14ac:dyDescent="0.2">
      <c r="F81" s="50" t="s">
        <v>88</v>
      </c>
      <c r="G81" s="72">
        <f t="shared" si="5"/>
        <v>26581.527777777774</v>
      </c>
      <c r="H81" s="73">
        <f t="shared" si="6"/>
        <v>0.38696686335785502</v>
      </c>
    </row>
    <row r="82" spans="6:8" ht="14.25" customHeight="1" x14ac:dyDescent="0.2">
      <c r="F82" s="50" t="s">
        <v>435</v>
      </c>
      <c r="G82" s="72">
        <f t="shared" si="5"/>
        <v>15549.833333333332</v>
      </c>
      <c r="H82" s="73">
        <f t="shared" si="6"/>
        <v>0.22637036821366874</v>
      </c>
    </row>
    <row r="83" spans="6:8" ht="14.25" customHeight="1" x14ac:dyDescent="0.2">
      <c r="F83" s="14" t="s">
        <v>19</v>
      </c>
      <c r="G83" s="72">
        <f t="shared" si="5"/>
        <v>803.08</v>
      </c>
      <c r="H83" s="73">
        <f t="shared" si="6"/>
        <v>1.1691026611541373E-2</v>
      </c>
    </row>
    <row r="84" spans="6:8" ht="14.25" customHeight="1" x14ac:dyDescent="0.2">
      <c r="F84" s="50" t="s">
        <v>10</v>
      </c>
      <c r="G84" s="72">
        <f t="shared" si="5"/>
        <v>29000</v>
      </c>
      <c r="H84" s="73">
        <f t="shared" si="6"/>
        <v>0.42217434344610727</v>
      </c>
    </row>
    <row r="85" spans="6:8" ht="14.25" customHeight="1" x14ac:dyDescent="0.2">
      <c r="F85" s="50" t="s">
        <v>517</v>
      </c>
      <c r="G85" s="72">
        <f t="shared" si="5"/>
        <v>27720</v>
      </c>
      <c r="H85" s="73">
        <f t="shared" si="6"/>
        <v>0.40354044139055495</v>
      </c>
    </row>
    <row r="86" spans="6:8" ht="14.25" customHeight="1" x14ac:dyDescent="0.2">
      <c r="F86" s="50" t="s">
        <v>23</v>
      </c>
      <c r="G86" s="72">
        <f t="shared" si="5"/>
        <v>4400</v>
      </c>
      <c r="H86" s="73">
        <f t="shared" si="6"/>
        <v>6.4054038315961098E-2</v>
      </c>
    </row>
    <row r="87" spans="6:8" ht="14.25" customHeight="1" x14ac:dyDescent="0.2">
      <c r="F87" s="50" t="s">
        <v>15</v>
      </c>
      <c r="G87" s="72">
        <f t="shared" si="5"/>
        <v>9030</v>
      </c>
      <c r="H87" s="73">
        <f t="shared" si="6"/>
        <v>0.13145635590752927</v>
      </c>
    </row>
    <row r="88" spans="6:8" ht="14.25" customHeight="1" x14ac:dyDescent="0.2">
      <c r="F88" s="50" t="s">
        <v>5</v>
      </c>
      <c r="G88" s="72">
        <f t="shared" si="5"/>
        <v>65520</v>
      </c>
      <c r="H88" s="73">
        <f t="shared" si="6"/>
        <v>0.95382286146858442</v>
      </c>
    </row>
    <row r="89" spans="6:8" ht="14.25" customHeight="1" x14ac:dyDescent="0.2"/>
    <row r="90" spans="6:8" ht="14.25" customHeight="1" x14ac:dyDescent="0.2"/>
    <row r="91" spans="6:8" ht="14.25" customHeight="1" x14ac:dyDescent="0.2">
      <c r="F91" s="93" t="s">
        <v>315</v>
      </c>
      <c r="G91" s="28" t="s">
        <v>128</v>
      </c>
      <c r="H91" s="28" t="s">
        <v>1282</v>
      </c>
    </row>
    <row r="92" spans="6:8" ht="14.25" customHeight="1" x14ac:dyDescent="0.2">
      <c r="F92" s="34" t="s">
        <v>140</v>
      </c>
      <c r="G92" s="72">
        <f t="shared" ref="G92:G102" si="7">SUMIF($E$2:$E$70,F92,$N$2:$N$70)</f>
        <v>7006443.75</v>
      </c>
      <c r="H92" s="73">
        <f t="shared" ref="H92:H102" si="8">SUMIF($E$2:$E$70,$F92,$Q$2:$Q$70)</f>
        <v>101.99795827752867</v>
      </c>
    </row>
    <row r="93" spans="6:8" ht="14.25" customHeight="1" x14ac:dyDescent="0.2">
      <c r="F93" s="14" t="s">
        <v>155</v>
      </c>
      <c r="G93" s="72">
        <f t="shared" si="7"/>
        <v>648297.92500000005</v>
      </c>
      <c r="H93" s="73">
        <f t="shared" si="8"/>
        <v>9.4377500291154721</v>
      </c>
    </row>
    <row r="94" spans="6:8" ht="14.25" customHeight="1" x14ac:dyDescent="0.2">
      <c r="F94" s="50" t="s">
        <v>712</v>
      </c>
      <c r="G94" s="72">
        <f t="shared" si="7"/>
        <v>418000</v>
      </c>
      <c r="H94" s="73">
        <f t="shared" si="8"/>
        <v>6.0851336400163047</v>
      </c>
    </row>
    <row r="95" spans="6:8" ht="14.25" customHeight="1" x14ac:dyDescent="0.2">
      <c r="F95" s="14" t="s">
        <v>279</v>
      </c>
      <c r="G95" s="72">
        <f t="shared" si="7"/>
        <v>14730</v>
      </c>
      <c r="H95" s="73">
        <f t="shared" si="8"/>
        <v>0.21443545099866068</v>
      </c>
    </row>
    <row r="96" spans="6:8" ht="14.25" customHeight="1" x14ac:dyDescent="0.2">
      <c r="F96" s="50" t="s">
        <v>294</v>
      </c>
      <c r="G96" s="72">
        <f t="shared" si="7"/>
        <v>81000</v>
      </c>
      <c r="H96" s="73">
        <f t="shared" si="8"/>
        <v>1.1791766144529203</v>
      </c>
    </row>
    <row r="97" spans="6:12" ht="14.25" customHeight="1" x14ac:dyDescent="0.2">
      <c r="F97" s="50" t="s">
        <v>13</v>
      </c>
      <c r="G97" s="72">
        <f t="shared" si="7"/>
        <v>26581.527777777774</v>
      </c>
      <c r="H97" s="73">
        <f t="shared" si="8"/>
        <v>0.38696686335785502</v>
      </c>
    </row>
    <row r="98" spans="6:12" ht="14.25" customHeight="1" x14ac:dyDescent="0.2">
      <c r="F98" s="34" t="s">
        <v>1042</v>
      </c>
      <c r="G98" s="72">
        <f t="shared" si="7"/>
        <v>15549.833333333332</v>
      </c>
      <c r="H98" s="73">
        <f t="shared" si="8"/>
        <v>0.22637036821366874</v>
      </c>
    </row>
    <row r="99" spans="6:12" ht="14.25" customHeight="1" x14ac:dyDescent="0.2">
      <c r="F99" s="50" t="s">
        <v>287</v>
      </c>
      <c r="G99" s="72">
        <f t="shared" si="7"/>
        <v>29803.08</v>
      </c>
      <c r="H99" s="73">
        <f t="shared" si="8"/>
        <v>0.43386537005764864</v>
      </c>
    </row>
    <row r="100" spans="6:12" ht="14.25" customHeight="1" x14ac:dyDescent="0.2">
      <c r="F100" s="34" t="s">
        <v>516</v>
      </c>
      <c r="G100" s="72">
        <f t="shared" si="7"/>
        <v>27720</v>
      </c>
      <c r="H100" s="73">
        <f t="shared" si="8"/>
        <v>0.40354044139055495</v>
      </c>
    </row>
    <row r="101" spans="6:12" ht="14.25" customHeight="1" x14ac:dyDescent="0.2">
      <c r="F101" s="34" t="s">
        <v>527</v>
      </c>
      <c r="G101" s="72">
        <f t="shared" si="7"/>
        <v>4400</v>
      </c>
      <c r="H101" s="73">
        <f t="shared" si="8"/>
        <v>6.4054038315961098E-2</v>
      </c>
    </row>
    <row r="102" spans="6:12" ht="14.25" customHeight="1" x14ac:dyDescent="0.2">
      <c r="F102" s="50" t="s">
        <v>92</v>
      </c>
      <c r="G102" s="72">
        <f t="shared" si="7"/>
        <v>65520</v>
      </c>
      <c r="H102" s="73">
        <f t="shared" si="8"/>
        <v>0.95382286146858442</v>
      </c>
    </row>
    <row r="103" spans="6:12" ht="14.25" customHeight="1" x14ac:dyDescent="0.2"/>
    <row r="104" spans="6:12" ht="14.25" customHeight="1" x14ac:dyDescent="0.2"/>
    <row r="105" spans="6:12" ht="14.25" customHeight="1" x14ac:dyDescent="0.2">
      <c r="L105" s="44">
        <v>7083316.666666667</v>
      </c>
    </row>
    <row r="106" spans="6:12" ht="14.25" customHeight="1" x14ac:dyDescent="0.2"/>
    <row r="107" spans="6:12" ht="14.25" customHeight="1" x14ac:dyDescent="0.2">
      <c r="L107" s="23">
        <f>(G74-L105)/G74</f>
        <v>-1.0971745354648281E-2</v>
      </c>
    </row>
    <row r="108" spans="6:12" ht="14.25" customHeight="1" x14ac:dyDescent="0.2"/>
    <row r="109" spans="6:12" ht="14.25" customHeight="1" x14ac:dyDescent="0.2"/>
    <row r="110" spans="6:12" ht="14.25" customHeight="1" x14ac:dyDescent="0.2"/>
    <row r="111" spans="6:12" ht="14.25" customHeight="1" x14ac:dyDescent="0.2"/>
    <row r="112" spans="6: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69">
    <mergeCell ref="I11:I12"/>
    <mergeCell ref="J11:J12"/>
    <mergeCell ref="H13:H15"/>
    <mergeCell ref="I13:I15"/>
    <mergeCell ref="J13:J15"/>
    <mergeCell ref="K13:K15"/>
    <mergeCell ref="L13:L15"/>
    <mergeCell ref="M16:M17"/>
    <mergeCell ref="N16:N17"/>
    <mergeCell ref="Q16:Q17"/>
    <mergeCell ref="R16:R17"/>
    <mergeCell ref="M13:M15"/>
    <mergeCell ref="N13:N15"/>
    <mergeCell ref="Q13:Q15"/>
    <mergeCell ref="R13:R15"/>
    <mergeCell ref="H16:H17"/>
    <mergeCell ref="I16:I17"/>
    <mergeCell ref="J16:J17"/>
    <mergeCell ref="N18:N19"/>
    <mergeCell ref="Q18:Q19"/>
    <mergeCell ref="R18:R19"/>
    <mergeCell ref="K16:K17"/>
    <mergeCell ref="L16:L17"/>
    <mergeCell ref="F18:F19"/>
    <mergeCell ref="G18:G19"/>
    <mergeCell ref="H18:H19"/>
    <mergeCell ref="I18:I19"/>
    <mergeCell ref="J18:J19"/>
    <mergeCell ref="F16:F17"/>
    <mergeCell ref="G16:G17"/>
    <mergeCell ref="K18:K19"/>
    <mergeCell ref="L18:L19"/>
    <mergeCell ref="M18:M19"/>
    <mergeCell ref="M20:M22"/>
    <mergeCell ref="N20:N22"/>
    <mergeCell ref="Q20:Q22"/>
    <mergeCell ref="R20:R22"/>
    <mergeCell ref="F20:F22"/>
    <mergeCell ref="G20:G22"/>
    <mergeCell ref="H20:H22"/>
    <mergeCell ref="I20:I22"/>
    <mergeCell ref="J20:J22"/>
    <mergeCell ref="K20:K22"/>
    <mergeCell ref="L20:L22"/>
    <mergeCell ref="J59:J61"/>
    <mergeCell ref="K59:K61"/>
    <mergeCell ref="J62:J63"/>
    <mergeCell ref="K62:K63"/>
    <mergeCell ref="J64:J66"/>
    <mergeCell ref="K64:K66"/>
    <mergeCell ref="H23:H28"/>
    <mergeCell ref="I23:I28"/>
    <mergeCell ref="J23:J24"/>
    <mergeCell ref="K23:K24"/>
    <mergeCell ref="K57:K58"/>
    <mergeCell ref="H41:H43"/>
    <mergeCell ref="I41:I43"/>
    <mergeCell ref="Q59:Q61"/>
    <mergeCell ref="R59:R61"/>
    <mergeCell ref="Q62:Q63"/>
    <mergeCell ref="R62:R63"/>
    <mergeCell ref="Q64:Q66"/>
    <mergeCell ref="R64:R66"/>
    <mergeCell ref="L62:L63"/>
    <mergeCell ref="M62:M63"/>
    <mergeCell ref="N62:N63"/>
    <mergeCell ref="L64:L66"/>
    <mergeCell ref="M64:M66"/>
    <mergeCell ref="N64:N66"/>
    <mergeCell ref="L59:L61"/>
    <mergeCell ref="M59:M61"/>
    <mergeCell ref="N59:N61"/>
    <mergeCell ref="F64:F66"/>
    <mergeCell ref="F67:F70"/>
    <mergeCell ref="G67:G70"/>
    <mergeCell ref="J67:J70"/>
    <mergeCell ref="K67:K70"/>
    <mergeCell ref="L67:L70"/>
    <mergeCell ref="M67:M70"/>
    <mergeCell ref="N67:N70"/>
    <mergeCell ref="Q67:Q70"/>
    <mergeCell ref="R67:R70"/>
    <mergeCell ref="F59:F61"/>
    <mergeCell ref="G59:G61"/>
    <mergeCell ref="H59:H70"/>
    <mergeCell ref="I59:I70"/>
    <mergeCell ref="F62:F63"/>
    <mergeCell ref="G62:G63"/>
    <mergeCell ref="G64:G66"/>
    <mergeCell ref="F29:F32"/>
    <mergeCell ref="G29:G38"/>
    <mergeCell ref="H29:H38"/>
    <mergeCell ref="I29:I38"/>
    <mergeCell ref="J29:J32"/>
    <mergeCell ref="J33:J37"/>
    <mergeCell ref="O2:O70"/>
    <mergeCell ref="P2:P70"/>
    <mergeCell ref="Q2:Q3"/>
    <mergeCell ref="R2:R3"/>
    <mergeCell ref="H2:H4"/>
    <mergeCell ref="I2:I4"/>
    <mergeCell ref="J2:J4"/>
    <mergeCell ref="K2:K4"/>
    <mergeCell ref="L2:L3"/>
    <mergeCell ref="M2:M3"/>
    <mergeCell ref="B59:B70"/>
    <mergeCell ref="C59:C70"/>
    <mergeCell ref="D59:D61"/>
    <mergeCell ref="E59:E61"/>
    <mergeCell ref="D62:D63"/>
    <mergeCell ref="E62:E63"/>
    <mergeCell ref="D64:D66"/>
    <mergeCell ref="E64:E66"/>
    <mergeCell ref="D67:D70"/>
    <mergeCell ref="E67:E70"/>
    <mergeCell ref="A2:A70"/>
    <mergeCell ref="C2:C4"/>
    <mergeCell ref="E2:E3"/>
    <mergeCell ref="F2:F3"/>
    <mergeCell ref="G2:G4"/>
    <mergeCell ref="G5:G6"/>
    <mergeCell ref="G7:G8"/>
    <mergeCell ref="D33:D38"/>
    <mergeCell ref="E33:E37"/>
    <mergeCell ref="D2:D3"/>
    <mergeCell ref="D7:D8"/>
    <mergeCell ref="D20:D22"/>
    <mergeCell ref="E20:E22"/>
    <mergeCell ref="B39:B43"/>
    <mergeCell ref="C39:C43"/>
    <mergeCell ref="D39:D40"/>
    <mergeCell ref="D41:D43"/>
    <mergeCell ref="E41:E43"/>
    <mergeCell ref="D53:D56"/>
    <mergeCell ref="D57:D58"/>
    <mergeCell ref="B46:B58"/>
    <mergeCell ref="C46:C58"/>
    <mergeCell ref="D46:D49"/>
    <mergeCell ref="E46:E49"/>
    <mergeCell ref="N2:N3"/>
    <mergeCell ref="B5:B6"/>
    <mergeCell ref="C5:C6"/>
    <mergeCell ref="H5:H6"/>
    <mergeCell ref="I5:I6"/>
    <mergeCell ref="J5:J6"/>
    <mergeCell ref="K5:K6"/>
    <mergeCell ref="H7:H8"/>
    <mergeCell ref="K7:K8"/>
    <mergeCell ref="B2:B4"/>
    <mergeCell ref="B7:B12"/>
    <mergeCell ref="C7:C12"/>
    <mergeCell ref="D9:D10"/>
    <mergeCell ref="D11:D12"/>
    <mergeCell ref="G9:G10"/>
    <mergeCell ref="G11:G12"/>
    <mergeCell ref="I7:I8"/>
    <mergeCell ref="J7:J8"/>
    <mergeCell ref="H9:H10"/>
    <mergeCell ref="I9:I10"/>
    <mergeCell ref="J9:J10"/>
    <mergeCell ref="K9:K10"/>
    <mergeCell ref="H11:H12"/>
    <mergeCell ref="K11:K12"/>
    <mergeCell ref="R23:R24"/>
    <mergeCell ref="Q26:Q28"/>
    <mergeCell ref="R26:R28"/>
    <mergeCell ref="Q29:Q32"/>
    <mergeCell ref="R29:R32"/>
    <mergeCell ref="Q33:Q37"/>
    <mergeCell ref="R33:R37"/>
    <mergeCell ref="K29:K32"/>
    <mergeCell ref="L29:L32"/>
    <mergeCell ref="M29:M32"/>
    <mergeCell ref="N29:N32"/>
    <mergeCell ref="L33:L37"/>
    <mergeCell ref="M33:M37"/>
    <mergeCell ref="N33:N37"/>
    <mergeCell ref="L23:L24"/>
    <mergeCell ref="M23:M24"/>
    <mergeCell ref="N23:N24"/>
    <mergeCell ref="N26:N28"/>
    <mergeCell ref="L26:L28"/>
    <mergeCell ref="M26:M28"/>
    <mergeCell ref="Q23:Q24"/>
    <mergeCell ref="K26:K28"/>
    <mergeCell ref="F33:F37"/>
    <mergeCell ref="D26:D28"/>
    <mergeCell ref="E26:E28"/>
    <mergeCell ref="B29:B38"/>
    <mergeCell ref="C29:C38"/>
    <mergeCell ref="D29:D32"/>
    <mergeCell ref="E29:E32"/>
    <mergeCell ref="J41:J43"/>
    <mergeCell ref="K41:K43"/>
    <mergeCell ref="K33:K37"/>
    <mergeCell ref="H39:H40"/>
    <mergeCell ref="I39:I40"/>
    <mergeCell ref="F41:F43"/>
    <mergeCell ref="G41:G43"/>
    <mergeCell ref="J26:J28"/>
    <mergeCell ref="B13:B22"/>
    <mergeCell ref="C13:C22"/>
    <mergeCell ref="B23:B28"/>
    <mergeCell ref="C23:C28"/>
    <mergeCell ref="D23:D24"/>
    <mergeCell ref="E23:E24"/>
    <mergeCell ref="F23:F24"/>
    <mergeCell ref="G23:G28"/>
    <mergeCell ref="F26:F28"/>
    <mergeCell ref="D16:D17"/>
    <mergeCell ref="E16:E17"/>
    <mergeCell ref="D18:D19"/>
    <mergeCell ref="E18:E19"/>
    <mergeCell ref="D13:D15"/>
    <mergeCell ref="E13:E15"/>
    <mergeCell ref="F13:F15"/>
    <mergeCell ref="G13:G15"/>
    <mergeCell ref="D50:D52"/>
    <mergeCell ref="E50:E52"/>
    <mergeCell ref="E53:E56"/>
    <mergeCell ref="E57:E58"/>
    <mergeCell ref="J46:J49"/>
    <mergeCell ref="K46:K49"/>
    <mergeCell ref="L46:L49"/>
    <mergeCell ref="M46:M49"/>
    <mergeCell ref="Q41:Q43"/>
    <mergeCell ref="Q46:Q49"/>
    <mergeCell ref="L41:L43"/>
    <mergeCell ref="M41:M43"/>
    <mergeCell ref="N41:N43"/>
    <mergeCell ref="K53:K56"/>
    <mergeCell ref="N53:N56"/>
    <mergeCell ref="L57:L58"/>
    <mergeCell ref="Q57:Q58"/>
    <mergeCell ref="R41:R43"/>
    <mergeCell ref="F46:F49"/>
    <mergeCell ref="G46:G49"/>
    <mergeCell ref="N46:N49"/>
    <mergeCell ref="R46:R49"/>
    <mergeCell ref="F53:F56"/>
    <mergeCell ref="G53:G56"/>
    <mergeCell ref="H53:H56"/>
    <mergeCell ref="I53:I56"/>
    <mergeCell ref="J53:J56"/>
    <mergeCell ref="H46:H49"/>
    <mergeCell ref="I46:I49"/>
    <mergeCell ref="F50:F52"/>
    <mergeCell ref="G50:G52"/>
    <mergeCell ref="H50:H52"/>
    <mergeCell ref="I50:I52"/>
    <mergeCell ref="J50:J52"/>
    <mergeCell ref="L53:L56"/>
    <mergeCell ref="M53:M56"/>
    <mergeCell ref="K50:K52"/>
    <mergeCell ref="L50:L52"/>
    <mergeCell ref="M50:M52"/>
    <mergeCell ref="N50:N52"/>
    <mergeCell ref="R50:R52"/>
    <mergeCell ref="R53:R56"/>
    <mergeCell ref="M57:M58"/>
    <mergeCell ref="N57:N58"/>
    <mergeCell ref="Q50:Q52"/>
    <mergeCell ref="Q53:Q56"/>
    <mergeCell ref="F57:F58"/>
    <mergeCell ref="G57:G58"/>
    <mergeCell ref="H57:H58"/>
    <mergeCell ref="I57:I58"/>
    <mergeCell ref="J57:J58"/>
    <mergeCell ref="R57:R58"/>
  </mergeCells>
  <conditionalFormatting sqref="R2:R70">
    <cfRule type="colorScale" priority="1">
      <colorScale>
        <cfvo type="min"/>
        <cfvo type="percentile" val="50"/>
        <cfvo type="max"/>
        <color rgb="FFF8696B"/>
        <color rgb="FFFFEB84"/>
        <color rgb="FF63BE7B"/>
      </colorScale>
    </cfRule>
  </conditionalFormatting>
  <hyperlinks>
    <hyperlink ref="S7" r:id="rId1" location="_Toc479145359 " xr:uid="{00000000-0004-0000-1200-000000000000}"/>
    <hyperlink ref="S12" r:id="rId2" xr:uid="{00000000-0004-0000-1200-000001000000}"/>
    <hyperlink ref="S17" r:id="rId3" xr:uid="{00000000-0004-0000-1200-000002000000}"/>
    <hyperlink ref="S19" r:id="rId4" xr:uid="{00000000-0004-0000-1200-000003000000}"/>
    <hyperlink ref="S22" r:id="rId5" xr:uid="{00000000-0004-0000-1200-000004000000}"/>
    <hyperlink ref="S43" r:id="rId6" xr:uid="{00000000-0004-0000-1200-000005000000}"/>
    <hyperlink ref="S56" r:id="rId7" xr:uid="{00000000-0004-0000-1200-000006000000}"/>
  </hyperlinks>
  <pageMargins left="0.7" right="0.7" top="0.75" bottom="0.75" header="0" footer="0"/>
  <pageSetup orientation="portrait"/>
  <drawing r:id="rId8"/>
  <legacyDrawing r:id="rId9"/>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115</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1143</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145</v>
      </c>
      <c r="B2" s="218" t="s">
        <v>53</v>
      </c>
      <c r="C2" s="183" t="s">
        <v>139</v>
      </c>
      <c r="D2" s="179" t="s">
        <v>140</v>
      </c>
      <c r="E2" s="179" t="s">
        <v>140</v>
      </c>
      <c r="F2" s="179" t="s">
        <v>140</v>
      </c>
      <c r="G2" s="182">
        <v>1</v>
      </c>
      <c r="H2" s="182">
        <v>265</v>
      </c>
      <c r="I2" s="183" t="s">
        <v>142</v>
      </c>
      <c r="J2" s="178">
        <v>0.5</v>
      </c>
      <c r="K2" s="178">
        <v>1.5</v>
      </c>
      <c r="L2" s="178">
        <v>150</v>
      </c>
      <c r="M2" s="179" t="s">
        <v>1150</v>
      </c>
      <c r="N2" s="188">
        <f>L2*K2*J2*H2</f>
        <v>29812.5</v>
      </c>
      <c r="O2" s="236">
        <v>4266</v>
      </c>
      <c r="P2" s="183" t="s">
        <v>1155</v>
      </c>
      <c r="Q2" s="214">
        <f>N2/O2</f>
        <v>6.9883966244725739</v>
      </c>
      <c r="R2" s="191">
        <v>4</v>
      </c>
      <c r="S2" s="14" t="s">
        <v>149</v>
      </c>
      <c r="T2" s="85" t="s">
        <v>150</v>
      </c>
      <c r="U2" s="85"/>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219"/>
      <c r="C3" s="181"/>
      <c r="D3" s="176"/>
      <c r="E3" s="176"/>
      <c r="F3" s="176"/>
      <c r="G3" s="181"/>
      <c r="H3" s="181"/>
      <c r="I3" s="181"/>
      <c r="J3" s="181"/>
      <c r="K3" s="181"/>
      <c r="L3" s="176"/>
      <c r="M3" s="176"/>
      <c r="N3" s="176"/>
      <c r="O3" s="181"/>
      <c r="P3" s="181"/>
      <c r="Q3" s="216"/>
      <c r="R3" s="176"/>
      <c r="S3" s="14" t="s">
        <v>401</v>
      </c>
      <c r="T3" s="85" t="s">
        <v>714</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220"/>
      <c r="C4" s="176"/>
      <c r="D4" s="14" t="s">
        <v>154</v>
      </c>
      <c r="E4" s="14" t="s">
        <v>155</v>
      </c>
      <c r="F4" s="14" t="s">
        <v>156</v>
      </c>
      <c r="G4" s="176"/>
      <c r="H4" s="176"/>
      <c r="I4" s="176"/>
      <c r="J4" s="176"/>
      <c r="K4" s="176"/>
      <c r="L4" s="14">
        <v>5.25</v>
      </c>
      <c r="M4" s="14" t="s">
        <v>1160</v>
      </c>
      <c r="N4" s="38">
        <f>L4*K2*J2*H2</f>
        <v>1043.4375</v>
      </c>
      <c r="O4" s="181"/>
      <c r="P4" s="181"/>
      <c r="Q4" s="108">
        <f t="shared" ref="Q4:Q7" si="0">N4/$O$2</f>
        <v>0.24459388185654007</v>
      </c>
      <c r="R4" s="48">
        <v>4</v>
      </c>
      <c r="S4" s="40" t="s">
        <v>240</v>
      </c>
      <c r="T4" s="14" t="s">
        <v>405</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218" t="s">
        <v>164</v>
      </c>
      <c r="C5" s="183" t="s">
        <v>165</v>
      </c>
      <c r="D5" s="14" t="s">
        <v>140</v>
      </c>
      <c r="E5" s="41" t="s">
        <v>140</v>
      </c>
      <c r="F5" s="41" t="s">
        <v>140</v>
      </c>
      <c r="G5" s="182">
        <v>1</v>
      </c>
      <c r="H5" s="182">
        <v>4400</v>
      </c>
      <c r="I5" s="183" t="s">
        <v>166</v>
      </c>
      <c r="J5" s="175">
        <v>0.5</v>
      </c>
      <c r="K5" s="179" t="s">
        <v>27</v>
      </c>
      <c r="L5" s="14">
        <v>150</v>
      </c>
      <c r="M5" s="14" t="s">
        <v>1165</v>
      </c>
      <c r="N5" s="38">
        <f>L5*J5*H5</f>
        <v>330000</v>
      </c>
      <c r="O5" s="181"/>
      <c r="P5" s="181"/>
      <c r="Q5" s="108">
        <f t="shared" si="0"/>
        <v>77.355836849507739</v>
      </c>
      <c r="R5" s="49">
        <v>5</v>
      </c>
      <c r="S5" s="14" t="s">
        <v>388</v>
      </c>
      <c r="T5" s="85"/>
      <c r="U5" s="85"/>
      <c r="V5" s="85"/>
      <c r="W5" s="85"/>
      <c r="X5" s="85"/>
      <c r="Y5" s="85"/>
      <c r="Z5" s="85"/>
      <c r="AA5" s="85"/>
      <c r="AB5" s="85"/>
      <c r="AC5" s="85"/>
      <c r="AD5" s="85"/>
      <c r="AE5" s="85"/>
      <c r="AF5" s="85"/>
      <c r="AG5" s="85"/>
      <c r="AH5" s="85"/>
      <c r="AI5" s="85"/>
      <c r="AJ5" s="85"/>
      <c r="AK5" s="85"/>
      <c r="AL5" s="85"/>
      <c r="AM5" s="85"/>
      <c r="AN5" s="85"/>
    </row>
    <row r="6" spans="1:40" ht="14.25" customHeight="1" x14ac:dyDescent="0.2">
      <c r="A6" s="181"/>
      <c r="B6" s="220"/>
      <c r="C6" s="176"/>
      <c r="D6" s="14" t="s">
        <v>154</v>
      </c>
      <c r="E6" s="41" t="s">
        <v>155</v>
      </c>
      <c r="F6" s="41" t="s">
        <v>156</v>
      </c>
      <c r="G6" s="176"/>
      <c r="H6" s="176"/>
      <c r="I6" s="176"/>
      <c r="J6" s="176"/>
      <c r="K6" s="176"/>
      <c r="L6" s="14">
        <v>6</v>
      </c>
      <c r="M6" s="14" t="s">
        <v>1169</v>
      </c>
      <c r="N6" s="38">
        <f>L6*J5*H5</f>
        <v>13200</v>
      </c>
      <c r="O6" s="181"/>
      <c r="P6" s="181"/>
      <c r="Q6" s="108">
        <f t="shared" si="0"/>
        <v>3.0942334739803092</v>
      </c>
      <c r="R6" s="49">
        <v>5</v>
      </c>
      <c r="S6" s="14" t="s">
        <v>174</v>
      </c>
      <c r="T6" s="85" t="s">
        <v>175</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218" t="s">
        <v>209</v>
      </c>
      <c r="C7" s="184" t="s">
        <v>786</v>
      </c>
      <c r="D7" s="179" t="s">
        <v>743</v>
      </c>
      <c r="E7" s="179" t="s">
        <v>92</v>
      </c>
      <c r="F7" s="179" t="s">
        <v>3</v>
      </c>
      <c r="G7" s="182">
        <v>1</v>
      </c>
      <c r="H7" s="182">
        <v>4500</v>
      </c>
      <c r="I7" s="183" t="s">
        <v>166</v>
      </c>
      <c r="J7" s="175">
        <v>3.6458333333333336E-2</v>
      </c>
      <c r="K7" s="179" t="s">
        <v>27</v>
      </c>
      <c r="L7" s="178">
        <v>1.44</v>
      </c>
      <c r="M7" s="179" t="s">
        <v>1175</v>
      </c>
      <c r="N7" s="195">
        <f>L7*H7</f>
        <v>6480</v>
      </c>
      <c r="O7" s="181"/>
      <c r="P7" s="181"/>
      <c r="Q7" s="214">
        <f t="shared" si="0"/>
        <v>1.518987341772152</v>
      </c>
      <c r="R7" s="190">
        <v>3</v>
      </c>
      <c r="S7" s="40" t="s">
        <v>365</v>
      </c>
      <c r="T7" s="85" t="s">
        <v>366</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219"/>
      <c r="C8" s="181"/>
      <c r="D8" s="181"/>
      <c r="E8" s="181"/>
      <c r="F8" s="181"/>
      <c r="G8" s="181"/>
      <c r="H8" s="181"/>
      <c r="I8" s="181"/>
      <c r="J8" s="181"/>
      <c r="K8" s="181"/>
      <c r="L8" s="181"/>
      <c r="M8" s="181"/>
      <c r="N8" s="181"/>
      <c r="O8" s="181"/>
      <c r="P8" s="181"/>
      <c r="Q8" s="215"/>
      <c r="R8" s="181"/>
      <c r="S8" s="14" t="s">
        <v>368</v>
      </c>
      <c r="T8" s="85" t="s">
        <v>369</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219"/>
      <c r="C9" s="181"/>
      <c r="D9" s="181"/>
      <c r="E9" s="181"/>
      <c r="F9" s="181"/>
      <c r="G9" s="181"/>
      <c r="H9" s="181"/>
      <c r="I9" s="181"/>
      <c r="J9" s="181"/>
      <c r="K9" s="181"/>
      <c r="L9" s="181"/>
      <c r="M9" s="181"/>
      <c r="N9" s="181"/>
      <c r="O9" s="181"/>
      <c r="P9" s="181"/>
      <c r="Q9" s="215"/>
      <c r="R9" s="181"/>
      <c r="S9" s="40" t="s">
        <v>370</v>
      </c>
      <c r="T9" s="85" t="s">
        <v>372</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219"/>
      <c r="C10" s="176"/>
      <c r="D10" s="176"/>
      <c r="E10" s="176"/>
      <c r="F10" s="176"/>
      <c r="G10" s="176"/>
      <c r="H10" s="181"/>
      <c r="I10" s="181"/>
      <c r="J10" s="176"/>
      <c r="K10" s="176"/>
      <c r="L10" s="176"/>
      <c r="M10" s="176"/>
      <c r="N10" s="176"/>
      <c r="O10" s="181"/>
      <c r="P10" s="181"/>
      <c r="Q10" s="216"/>
      <c r="R10" s="176"/>
      <c r="S10" s="40" t="s">
        <v>685</v>
      </c>
      <c r="T10" s="85" t="s">
        <v>686</v>
      </c>
      <c r="U10" s="85"/>
      <c r="V10" s="85"/>
      <c r="W10" s="85"/>
      <c r="X10" s="85"/>
      <c r="Y10" s="85"/>
      <c r="Z10" s="85"/>
      <c r="AA10" s="85"/>
      <c r="AB10" s="85"/>
      <c r="AC10" s="85"/>
      <c r="AD10" s="85"/>
      <c r="AE10" s="85"/>
      <c r="AF10" s="85"/>
      <c r="AG10" s="85"/>
      <c r="AH10" s="85"/>
      <c r="AI10" s="85"/>
      <c r="AJ10" s="85"/>
      <c r="AK10" s="85"/>
      <c r="AL10" s="85"/>
      <c r="AM10" s="85"/>
      <c r="AN10" s="85"/>
    </row>
    <row r="11" spans="1:40" ht="14.25" customHeight="1" x14ac:dyDescent="0.2">
      <c r="A11" s="181"/>
      <c r="B11" s="219"/>
      <c r="C11" s="184" t="s">
        <v>798</v>
      </c>
      <c r="D11" s="179" t="s">
        <v>753</v>
      </c>
      <c r="E11" s="179" t="s">
        <v>92</v>
      </c>
      <c r="F11" s="179" t="s">
        <v>4</v>
      </c>
      <c r="G11" s="178">
        <v>52</v>
      </c>
      <c r="H11" s="181"/>
      <c r="I11" s="181"/>
      <c r="J11" s="175" t="s">
        <v>1182</v>
      </c>
      <c r="K11" s="179">
        <v>67</v>
      </c>
      <c r="L11" s="178">
        <v>3.75</v>
      </c>
      <c r="M11" s="179" t="s">
        <v>376</v>
      </c>
      <c r="N11" s="180">
        <f>L11*K11*G11</f>
        <v>13065</v>
      </c>
      <c r="O11" s="181"/>
      <c r="P11" s="181"/>
      <c r="Q11" s="214">
        <f>N11/$O$2</f>
        <v>3.0625879043600563</v>
      </c>
      <c r="R11" s="190">
        <v>3</v>
      </c>
      <c r="S11" s="14" t="s">
        <v>579</v>
      </c>
      <c r="T11" s="14" t="s">
        <v>1185</v>
      </c>
      <c r="U11" s="85"/>
      <c r="V11" s="85"/>
      <c r="W11" s="85"/>
      <c r="X11" s="85"/>
      <c r="Y11" s="85"/>
      <c r="Z11" s="85"/>
      <c r="AA11" s="85"/>
      <c r="AB11" s="85"/>
      <c r="AC11" s="85"/>
      <c r="AD11" s="85"/>
      <c r="AE11" s="85"/>
      <c r="AF11" s="85"/>
      <c r="AG11" s="85"/>
      <c r="AH11" s="85"/>
      <c r="AI11" s="85"/>
      <c r="AJ11" s="85"/>
      <c r="AK11" s="85"/>
      <c r="AL11" s="85"/>
      <c r="AM11" s="85"/>
      <c r="AN11" s="85"/>
    </row>
    <row r="12" spans="1:40" ht="14.25" customHeight="1" x14ac:dyDescent="0.2">
      <c r="A12" s="181"/>
      <c r="B12" s="219"/>
      <c r="C12" s="181"/>
      <c r="D12" s="181"/>
      <c r="E12" s="181"/>
      <c r="F12" s="181"/>
      <c r="G12" s="181"/>
      <c r="H12" s="181"/>
      <c r="I12" s="181"/>
      <c r="J12" s="181"/>
      <c r="K12" s="181"/>
      <c r="L12" s="181"/>
      <c r="M12" s="181"/>
      <c r="N12" s="181"/>
      <c r="O12" s="181"/>
      <c r="P12" s="181"/>
      <c r="Q12" s="215"/>
      <c r="R12" s="181"/>
      <c r="S12" s="40" t="s">
        <v>1187</v>
      </c>
      <c r="T12" s="14" t="s">
        <v>1188</v>
      </c>
      <c r="U12" s="85"/>
      <c r="V12" s="85"/>
      <c r="W12" s="85"/>
      <c r="X12" s="85"/>
      <c r="Y12" s="85"/>
      <c r="Z12" s="85"/>
      <c r="AA12" s="85"/>
      <c r="AB12" s="85"/>
      <c r="AC12" s="85"/>
      <c r="AD12" s="85"/>
      <c r="AE12" s="85"/>
      <c r="AF12" s="85"/>
      <c r="AG12" s="85"/>
      <c r="AH12" s="85"/>
      <c r="AI12" s="85"/>
      <c r="AJ12" s="85"/>
      <c r="AK12" s="85"/>
      <c r="AL12" s="85"/>
      <c r="AM12" s="85"/>
      <c r="AN12" s="85"/>
    </row>
    <row r="13" spans="1:40" ht="14.25" customHeight="1" x14ac:dyDescent="0.2">
      <c r="A13" s="181"/>
      <c r="B13" s="220"/>
      <c r="C13" s="176"/>
      <c r="D13" s="176"/>
      <c r="E13" s="176"/>
      <c r="F13" s="176"/>
      <c r="G13" s="176"/>
      <c r="H13" s="176"/>
      <c r="I13" s="176"/>
      <c r="J13" s="176"/>
      <c r="K13" s="176"/>
      <c r="L13" s="176"/>
      <c r="M13" s="176"/>
      <c r="N13" s="176"/>
      <c r="O13" s="181"/>
      <c r="P13" s="181"/>
      <c r="Q13" s="216"/>
      <c r="R13" s="176"/>
      <c r="S13" s="40" t="s">
        <v>195</v>
      </c>
      <c r="T13" s="14" t="s">
        <v>1190</v>
      </c>
      <c r="U13" s="85"/>
      <c r="V13" s="85"/>
      <c r="W13" s="85"/>
      <c r="X13" s="85"/>
      <c r="Y13" s="85"/>
      <c r="Z13" s="85"/>
      <c r="AA13" s="85"/>
      <c r="AB13" s="85"/>
      <c r="AC13" s="85"/>
      <c r="AD13" s="85"/>
      <c r="AE13" s="85"/>
      <c r="AF13" s="85"/>
      <c r="AG13" s="85"/>
      <c r="AH13" s="85"/>
      <c r="AI13" s="85"/>
      <c r="AJ13" s="85"/>
      <c r="AK13" s="85"/>
      <c r="AL13" s="85"/>
      <c r="AM13" s="85"/>
      <c r="AN13" s="85"/>
    </row>
    <row r="14" spans="1:40" ht="15" customHeight="1" x14ac:dyDescent="0.2">
      <c r="A14" s="181"/>
      <c r="B14" s="218" t="s">
        <v>209</v>
      </c>
      <c r="C14" s="184" t="s">
        <v>363</v>
      </c>
      <c r="D14" s="179" t="s">
        <v>239</v>
      </c>
      <c r="E14" s="179" t="s">
        <v>155</v>
      </c>
      <c r="F14" s="179" t="s">
        <v>7</v>
      </c>
      <c r="G14" s="182">
        <v>1</v>
      </c>
      <c r="H14" s="182">
        <v>4600</v>
      </c>
      <c r="I14" s="183" t="s">
        <v>166</v>
      </c>
      <c r="J14" s="175">
        <v>3.3333333333333335E-3</v>
      </c>
      <c r="K14" s="179" t="s">
        <v>27</v>
      </c>
      <c r="L14" s="178">
        <v>1.6559999999999999</v>
      </c>
      <c r="M14" s="179" t="s">
        <v>1194</v>
      </c>
      <c r="N14" s="195">
        <f>L14*H14</f>
        <v>7617.5999999999995</v>
      </c>
      <c r="O14" s="181"/>
      <c r="P14" s="181"/>
      <c r="Q14" s="214">
        <f>N14/O2</f>
        <v>1.7856540084388184</v>
      </c>
      <c r="R14" s="190">
        <v>3</v>
      </c>
      <c r="S14" s="14" t="s">
        <v>243</v>
      </c>
      <c r="T14" s="14" t="s">
        <v>244</v>
      </c>
      <c r="U14" s="85"/>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219"/>
      <c r="C15" s="181"/>
      <c r="D15" s="181"/>
      <c r="E15" s="181"/>
      <c r="F15" s="181"/>
      <c r="G15" s="181"/>
      <c r="H15" s="181"/>
      <c r="I15" s="181"/>
      <c r="J15" s="181"/>
      <c r="K15" s="181"/>
      <c r="L15" s="181"/>
      <c r="M15" s="181"/>
      <c r="N15" s="181"/>
      <c r="O15" s="181"/>
      <c r="P15" s="181"/>
      <c r="Q15" s="215"/>
      <c r="R15" s="181"/>
      <c r="S15" s="40" t="s">
        <v>246</v>
      </c>
      <c r="T15" s="14" t="s">
        <v>247</v>
      </c>
      <c r="U15" s="85"/>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219"/>
      <c r="C16" s="181"/>
      <c r="D16" s="176"/>
      <c r="E16" s="176"/>
      <c r="F16" s="176"/>
      <c r="G16" s="176"/>
      <c r="H16" s="181"/>
      <c r="I16" s="181"/>
      <c r="J16" s="176"/>
      <c r="K16" s="176"/>
      <c r="L16" s="176"/>
      <c r="M16" s="176"/>
      <c r="N16" s="176"/>
      <c r="O16" s="181"/>
      <c r="P16" s="181"/>
      <c r="Q16" s="216"/>
      <c r="R16" s="176"/>
      <c r="S16" s="14" t="s">
        <v>249</v>
      </c>
      <c r="T16" s="14" t="s">
        <v>250</v>
      </c>
      <c r="U16" s="85"/>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219"/>
      <c r="C17" s="181"/>
      <c r="D17" s="179" t="s">
        <v>373</v>
      </c>
      <c r="E17" s="179" t="s">
        <v>155</v>
      </c>
      <c r="F17" s="179" t="s">
        <v>8</v>
      </c>
      <c r="G17" s="178">
        <v>8</v>
      </c>
      <c r="H17" s="181"/>
      <c r="I17" s="181"/>
      <c r="J17" s="175" t="s">
        <v>1198</v>
      </c>
      <c r="K17" s="178">
        <v>34</v>
      </c>
      <c r="L17" s="178">
        <v>40</v>
      </c>
      <c r="M17" s="179" t="s">
        <v>376</v>
      </c>
      <c r="N17" s="180">
        <f>L17*K17*G17</f>
        <v>10880</v>
      </c>
      <c r="O17" s="181"/>
      <c r="P17" s="181"/>
      <c r="Q17" s="214">
        <f>N17/O2</f>
        <v>2.5503984997655884</v>
      </c>
      <c r="R17" s="190">
        <v>2</v>
      </c>
      <c r="S17" s="14" t="s">
        <v>213</v>
      </c>
      <c r="T17" s="14" t="s">
        <v>1199</v>
      </c>
      <c r="U17" s="85"/>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219"/>
      <c r="C18" s="181"/>
      <c r="D18" s="181"/>
      <c r="E18" s="181"/>
      <c r="F18" s="181"/>
      <c r="G18" s="181"/>
      <c r="H18" s="181"/>
      <c r="I18" s="181"/>
      <c r="J18" s="181"/>
      <c r="K18" s="181"/>
      <c r="L18" s="181"/>
      <c r="M18" s="181"/>
      <c r="N18" s="181"/>
      <c r="O18" s="181"/>
      <c r="P18" s="181"/>
      <c r="Q18" s="215"/>
      <c r="R18" s="181"/>
      <c r="S18" s="14" t="s">
        <v>1088</v>
      </c>
      <c r="T18" s="14" t="s">
        <v>1201</v>
      </c>
      <c r="U18" s="85"/>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219"/>
      <c r="C19" s="181"/>
      <c r="D19" s="176"/>
      <c r="E19" s="176"/>
      <c r="F19" s="176"/>
      <c r="G19" s="176"/>
      <c r="H19" s="181"/>
      <c r="I19" s="181"/>
      <c r="J19" s="176"/>
      <c r="K19" s="176"/>
      <c r="L19" s="176"/>
      <c r="M19" s="176"/>
      <c r="N19" s="176"/>
      <c r="O19" s="181"/>
      <c r="P19" s="181"/>
      <c r="Q19" s="216"/>
      <c r="R19" s="176"/>
      <c r="S19" s="14" t="s">
        <v>181</v>
      </c>
      <c r="T19" s="14" t="s">
        <v>1202</v>
      </c>
      <c r="U19" s="85"/>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219"/>
      <c r="C20" s="181"/>
      <c r="D20" s="179" t="s">
        <v>373</v>
      </c>
      <c r="E20" s="179" t="s">
        <v>155</v>
      </c>
      <c r="F20" s="179" t="s">
        <v>8</v>
      </c>
      <c r="G20" s="178">
        <v>9</v>
      </c>
      <c r="H20" s="181"/>
      <c r="I20" s="181"/>
      <c r="J20" s="175" t="s">
        <v>1206</v>
      </c>
      <c r="K20" s="178">
        <v>22.666666666666668</v>
      </c>
      <c r="L20" s="178">
        <v>26</v>
      </c>
      <c r="M20" s="179" t="s">
        <v>385</v>
      </c>
      <c r="N20" s="180">
        <f>L20*G20*K20</f>
        <v>5304</v>
      </c>
      <c r="O20" s="181"/>
      <c r="P20" s="181"/>
      <c r="Q20" s="214">
        <f>N20/O2</f>
        <v>1.2433192686357244</v>
      </c>
      <c r="R20" s="190">
        <v>2</v>
      </c>
      <c r="S20" s="14" t="s">
        <v>1088</v>
      </c>
      <c r="T20" s="14" t="s">
        <v>1201</v>
      </c>
      <c r="U20" s="85"/>
      <c r="V20" s="85"/>
      <c r="W20" s="85"/>
      <c r="X20" s="85"/>
      <c r="Y20" s="85"/>
      <c r="Z20" s="85"/>
      <c r="AA20" s="85"/>
      <c r="AB20" s="85"/>
      <c r="AC20" s="85"/>
      <c r="AD20" s="85"/>
      <c r="AE20" s="85"/>
      <c r="AF20" s="85"/>
      <c r="AG20" s="85"/>
      <c r="AH20" s="85"/>
      <c r="AI20" s="85"/>
      <c r="AJ20" s="85"/>
      <c r="AK20" s="85"/>
      <c r="AL20" s="85"/>
      <c r="AM20" s="85"/>
      <c r="AN20" s="85"/>
    </row>
    <row r="21" spans="1:40" ht="14.25" customHeight="1" x14ac:dyDescent="0.2">
      <c r="A21" s="181"/>
      <c r="B21" s="219"/>
      <c r="C21" s="181"/>
      <c r="D21" s="176"/>
      <c r="E21" s="176"/>
      <c r="F21" s="176"/>
      <c r="G21" s="176"/>
      <c r="H21" s="181"/>
      <c r="I21" s="181"/>
      <c r="J21" s="176"/>
      <c r="K21" s="176"/>
      <c r="L21" s="176"/>
      <c r="M21" s="176"/>
      <c r="N21" s="176"/>
      <c r="O21" s="181"/>
      <c r="P21" s="181"/>
      <c r="Q21" s="216"/>
      <c r="R21" s="176"/>
      <c r="S21" s="14" t="s">
        <v>181</v>
      </c>
      <c r="T21" s="14" t="s">
        <v>1208</v>
      </c>
      <c r="U21" s="85"/>
      <c r="V21" s="85"/>
      <c r="W21" s="85"/>
      <c r="X21" s="85"/>
      <c r="Y21" s="85"/>
      <c r="Z21" s="85"/>
      <c r="AA21" s="85"/>
      <c r="AB21" s="85"/>
      <c r="AC21" s="85"/>
      <c r="AD21" s="85"/>
      <c r="AE21" s="85"/>
      <c r="AF21" s="85"/>
      <c r="AG21" s="85"/>
      <c r="AH21" s="85"/>
      <c r="AI21" s="85"/>
      <c r="AJ21" s="85"/>
      <c r="AK21" s="85"/>
      <c r="AL21" s="85"/>
      <c r="AM21" s="85"/>
      <c r="AN21" s="85"/>
    </row>
    <row r="22" spans="1:40" ht="14.25" customHeight="1" x14ac:dyDescent="0.2">
      <c r="A22" s="181"/>
      <c r="B22" s="219"/>
      <c r="C22" s="181"/>
      <c r="D22" s="179" t="s">
        <v>197</v>
      </c>
      <c r="E22" s="179" t="s">
        <v>155</v>
      </c>
      <c r="F22" s="179" t="s">
        <v>8</v>
      </c>
      <c r="G22" s="178">
        <v>12</v>
      </c>
      <c r="H22" s="181"/>
      <c r="I22" s="181"/>
      <c r="J22" s="175" t="s">
        <v>1209</v>
      </c>
      <c r="K22" s="178">
        <v>22</v>
      </c>
      <c r="L22" s="178">
        <v>24</v>
      </c>
      <c r="M22" s="179" t="s">
        <v>385</v>
      </c>
      <c r="N22" s="180">
        <f>L22*K22*G22</f>
        <v>6336</v>
      </c>
      <c r="O22" s="181"/>
      <c r="P22" s="181"/>
      <c r="Q22" s="214">
        <f>N22/$O$2</f>
        <v>1.4852320675105486</v>
      </c>
      <c r="R22" s="190">
        <v>2</v>
      </c>
      <c r="S22" s="14" t="s">
        <v>1060</v>
      </c>
      <c r="T22" s="14" t="s">
        <v>1210</v>
      </c>
      <c r="U22" s="85"/>
      <c r="V22" s="85"/>
      <c r="W22" s="85"/>
      <c r="X22" s="85"/>
      <c r="Y22" s="85"/>
      <c r="Z22" s="85"/>
      <c r="AA22" s="85"/>
      <c r="AB22" s="85"/>
      <c r="AC22" s="85"/>
      <c r="AD22" s="85"/>
      <c r="AE22" s="85"/>
      <c r="AF22" s="85"/>
      <c r="AG22" s="85"/>
      <c r="AH22" s="85"/>
      <c r="AI22" s="85"/>
      <c r="AJ22" s="85"/>
      <c r="AK22" s="85"/>
      <c r="AL22" s="85"/>
      <c r="AM22" s="85"/>
      <c r="AN22" s="85"/>
    </row>
    <row r="23" spans="1:40" ht="14.25" customHeight="1" x14ac:dyDescent="0.2">
      <c r="A23" s="181"/>
      <c r="B23" s="220"/>
      <c r="C23" s="176"/>
      <c r="D23" s="176"/>
      <c r="E23" s="176"/>
      <c r="F23" s="176"/>
      <c r="G23" s="176"/>
      <c r="H23" s="176"/>
      <c r="I23" s="176"/>
      <c r="J23" s="176"/>
      <c r="K23" s="176"/>
      <c r="L23" s="176"/>
      <c r="M23" s="176"/>
      <c r="N23" s="176"/>
      <c r="O23" s="181"/>
      <c r="P23" s="181"/>
      <c r="Q23" s="216"/>
      <c r="R23" s="176"/>
      <c r="S23" s="14" t="s">
        <v>191</v>
      </c>
      <c r="T23" s="14" t="s">
        <v>1211</v>
      </c>
      <c r="U23" s="85"/>
      <c r="V23" s="85"/>
      <c r="W23" s="85"/>
      <c r="X23" s="85"/>
      <c r="Y23" s="85"/>
      <c r="Z23" s="85"/>
      <c r="AA23" s="85"/>
      <c r="AB23" s="85"/>
      <c r="AC23" s="85"/>
      <c r="AD23" s="85"/>
      <c r="AE23" s="85"/>
      <c r="AF23" s="85"/>
      <c r="AG23" s="85"/>
      <c r="AH23" s="85"/>
      <c r="AI23" s="85"/>
      <c r="AJ23" s="85"/>
      <c r="AK23" s="85"/>
      <c r="AL23" s="85"/>
      <c r="AM23" s="85"/>
      <c r="AN23" s="85"/>
    </row>
    <row r="24" spans="1:40" ht="15" customHeight="1" x14ac:dyDescent="0.2">
      <c r="A24" s="181"/>
      <c r="B24" s="218" t="s">
        <v>251</v>
      </c>
      <c r="C24" s="184" t="s">
        <v>841</v>
      </c>
      <c r="D24" s="179" t="s">
        <v>6</v>
      </c>
      <c r="E24" s="179" t="s">
        <v>712</v>
      </c>
      <c r="F24" s="179" t="s">
        <v>712</v>
      </c>
      <c r="G24" s="182">
        <v>1</v>
      </c>
      <c r="H24" s="182">
        <v>3200</v>
      </c>
      <c r="I24" s="183" t="s">
        <v>166</v>
      </c>
      <c r="J24" s="175">
        <v>8.3333333333333329E-2</v>
      </c>
      <c r="K24" s="179" t="s">
        <v>27</v>
      </c>
      <c r="L24" s="178">
        <v>11</v>
      </c>
      <c r="M24" s="179" t="s">
        <v>1216</v>
      </c>
      <c r="N24" s="180">
        <f>L24*H24</f>
        <v>35200</v>
      </c>
      <c r="O24" s="181"/>
      <c r="P24" s="181"/>
      <c r="Q24" s="217">
        <f>N24/$O$2</f>
        <v>8.2512892639474913</v>
      </c>
      <c r="R24" s="190">
        <v>5</v>
      </c>
      <c r="S24" s="14" t="s">
        <v>716</v>
      </c>
      <c r="T24" s="85" t="s">
        <v>717</v>
      </c>
      <c r="U24" s="61"/>
      <c r="V24" s="61"/>
      <c r="W24" s="61"/>
      <c r="X24" s="61"/>
      <c r="Y24" s="61"/>
      <c r="Z24" s="61"/>
      <c r="AA24" s="61"/>
      <c r="AB24" s="61"/>
      <c r="AC24" s="61"/>
      <c r="AD24" s="61"/>
      <c r="AE24" s="61"/>
      <c r="AF24" s="61"/>
      <c r="AG24" s="61"/>
      <c r="AH24" s="61"/>
      <c r="AI24" s="61"/>
      <c r="AJ24" s="61"/>
      <c r="AK24" s="61"/>
      <c r="AL24" s="61"/>
      <c r="AM24" s="85"/>
      <c r="AN24" s="85"/>
    </row>
    <row r="25" spans="1:40" ht="15" customHeight="1" x14ac:dyDescent="0.2">
      <c r="A25" s="181"/>
      <c r="B25" s="219"/>
      <c r="C25" s="181"/>
      <c r="D25" s="176"/>
      <c r="E25" s="176"/>
      <c r="F25" s="176"/>
      <c r="G25" s="181"/>
      <c r="H25" s="181"/>
      <c r="I25" s="181"/>
      <c r="J25" s="176"/>
      <c r="K25" s="176"/>
      <c r="L25" s="176"/>
      <c r="M25" s="176"/>
      <c r="N25" s="176"/>
      <c r="O25" s="181"/>
      <c r="P25" s="181"/>
      <c r="Q25" s="216"/>
      <c r="R25" s="176"/>
      <c r="S25" s="14" t="s">
        <v>718</v>
      </c>
      <c r="T25" s="208" t="s">
        <v>720</v>
      </c>
      <c r="U25" s="172"/>
      <c r="V25" s="172"/>
      <c r="W25" s="172"/>
      <c r="X25" s="172"/>
      <c r="Y25" s="172"/>
      <c r="Z25" s="172"/>
      <c r="AA25" s="172"/>
      <c r="AB25" s="172"/>
      <c r="AC25" s="173"/>
      <c r="AD25" s="61"/>
      <c r="AE25" s="61"/>
      <c r="AF25" s="61"/>
      <c r="AG25" s="61"/>
      <c r="AH25" s="61"/>
      <c r="AI25" s="61"/>
      <c r="AJ25" s="61"/>
      <c r="AK25" s="61"/>
      <c r="AL25" s="61"/>
      <c r="AM25" s="85"/>
      <c r="AN25" s="85"/>
    </row>
    <row r="26" spans="1:40" ht="15" customHeight="1" x14ac:dyDescent="0.2">
      <c r="A26" s="181"/>
      <c r="B26" s="219"/>
      <c r="C26" s="181"/>
      <c r="D26" s="50" t="s">
        <v>872</v>
      </c>
      <c r="E26" s="50" t="s">
        <v>279</v>
      </c>
      <c r="F26" s="50" t="s">
        <v>14</v>
      </c>
      <c r="G26" s="181"/>
      <c r="H26" s="181"/>
      <c r="I26" s="181"/>
      <c r="J26" s="51" t="s">
        <v>27</v>
      </c>
      <c r="K26" s="50" t="s">
        <v>27</v>
      </c>
      <c r="L26" s="53">
        <v>0.15</v>
      </c>
      <c r="M26" s="14" t="s">
        <v>1225</v>
      </c>
      <c r="N26" s="54">
        <f>L26*H24</f>
        <v>480</v>
      </c>
      <c r="O26" s="181"/>
      <c r="P26" s="181"/>
      <c r="Q26" s="121">
        <f t="shared" ref="Q26:Q27" si="1">N26/$O$2</f>
        <v>0.11251758087201125</v>
      </c>
      <c r="R26" s="71">
        <v>3</v>
      </c>
      <c r="S26" s="14" t="s">
        <v>283</v>
      </c>
      <c r="T26" s="85" t="s">
        <v>284</v>
      </c>
      <c r="U26" s="61"/>
      <c r="V26" s="61"/>
      <c r="W26" s="61"/>
      <c r="X26" s="61"/>
      <c r="Y26" s="61"/>
      <c r="Z26" s="61"/>
      <c r="AA26" s="61"/>
      <c r="AB26" s="61"/>
      <c r="AC26" s="61"/>
      <c r="AD26" s="61"/>
      <c r="AE26" s="61"/>
      <c r="AF26" s="61"/>
      <c r="AG26" s="61"/>
      <c r="AH26" s="61"/>
      <c r="AI26" s="61"/>
      <c r="AJ26" s="61"/>
      <c r="AK26" s="61"/>
      <c r="AL26" s="61"/>
      <c r="AM26" s="85"/>
      <c r="AN26" s="85"/>
    </row>
    <row r="27" spans="1:40" ht="15" customHeight="1" x14ac:dyDescent="0.2">
      <c r="A27" s="181"/>
      <c r="B27" s="219"/>
      <c r="C27" s="181"/>
      <c r="D27" s="179" t="s">
        <v>293</v>
      </c>
      <c r="E27" s="179" t="s">
        <v>294</v>
      </c>
      <c r="F27" s="179" t="s">
        <v>12</v>
      </c>
      <c r="G27" s="181"/>
      <c r="H27" s="181"/>
      <c r="I27" s="181"/>
      <c r="J27" s="175">
        <v>4.1666666666666664E-2</v>
      </c>
      <c r="K27" s="179" t="s">
        <v>27</v>
      </c>
      <c r="L27" s="178">
        <v>1.9</v>
      </c>
      <c r="M27" s="179" t="s">
        <v>1230</v>
      </c>
      <c r="N27" s="180">
        <f>L27*H24</f>
        <v>6080</v>
      </c>
      <c r="O27" s="181"/>
      <c r="P27" s="181"/>
      <c r="Q27" s="217">
        <f t="shared" si="1"/>
        <v>1.4252226910454759</v>
      </c>
      <c r="R27" s="191">
        <v>4</v>
      </c>
      <c r="S27" s="14" t="s">
        <v>731</v>
      </c>
      <c r="T27" s="85" t="s">
        <v>732</v>
      </c>
      <c r="U27" s="85"/>
      <c r="V27" s="85"/>
      <c r="W27" s="85"/>
      <c r="X27" s="85"/>
      <c r="Y27" s="85"/>
      <c r="Z27" s="85"/>
      <c r="AA27" s="85"/>
      <c r="AB27" s="85"/>
      <c r="AC27" s="85"/>
      <c r="AD27" s="61"/>
      <c r="AE27" s="61"/>
      <c r="AF27" s="61"/>
      <c r="AG27" s="61"/>
      <c r="AH27" s="61"/>
      <c r="AI27" s="61"/>
      <c r="AJ27" s="61"/>
      <c r="AK27" s="61"/>
      <c r="AL27" s="61"/>
      <c r="AM27" s="85"/>
      <c r="AN27" s="85"/>
    </row>
    <row r="28" spans="1:40" ht="15" customHeight="1" x14ac:dyDescent="0.2">
      <c r="A28" s="181"/>
      <c r="B28" s="219"/>
      <c r="C28" s="181"/>
      <c r="D28" s="181"/>
      <c r="E28" s="181"/>
      <c r="F28" s="181"/>
      <c r="G28" s="181"/>
      <c r="H28" s="181"/>
      <c r="I28" s="181"/>
      <c r="J28" s="181"/>
      <c r="K28" s="181"/>
      <c r="L28" s="181"/>
      <c r="M28" s="181"/>
      <c r="N28" s="181"/>
      <c r="O28" s="181"/>
      <c r="P28" s="181"/>
      <c r="Q28" s="215"/>
      <c r="R28" s="181"/>
      <c r="S28" s="14" t="s">
        <v>734</v>
      </c>
      <c r="T28" s="85" t="s">
        <v>735</v>
      </c>
      <c r="U28" s="85"/>
      <c r="V28" s="85"/>
      <c r="W28" s="85"/>
      <c r="X28" s="85"/>
      <c r="Y28" s="85"/>
      <c r="Z28" s="85"/>
      <c r="AA28" s="85"/>
      <c r="AB28" s="85"/>
      <c r="AC28" s="85"/>
      <c r="AD28" s="61"/>
      <c r="AE28" s="61"/>
      <c r="AF28" s="61"/>
      <c r="AG28" s="61"/>
      <c r="AH28" s="61"/>
      <c r="AI28" s="61"/>
      <c r="AJ28" s="61"/>
      <c r="AK28" s="61"/>
      <c r="AL28" s="61"/>
      <c r="AM28" s="85"/>
      <c r="AN28" s="85"/>
    </row>
    <row r="29" spans="1:40" ht="15" customHeight="1" x14ac:dyDescent="0.2">
      <c r="A29" s="181"/>
      <c r="B29" s="220"/>
      <c r="C29" s="176"/>
      <c r="D29" s="176"/>
      <c r="E29" s="176"/>
      <c r="F29" s="176"/>
      <c r="G29" s="176"/>
      <c r="H29" s="176"/>
      <c r="I29" s="176"/>
      <c r="J29" s="176"/>
      <c r="K29" s="176"/>
      <c r="L29" s="176"/>
      <c r="M29" s="176"/>
      <c r="N29" s="176"/>
      <c r="O29" s="181"/>
      <c r="P29" s="181"/>
      <c r="Q29" s="216"/>
      <c r="R29" s="176"/>
      <c r="S29" s="14" t="s">
        <v>181</v>
      </c>
      <c r="T29" s="85" t="s">
        <v>739</v>
      </c>
      <c r="U29" s="61"/>
      <c r="V29" s="61"/>
      <c r="W29" s="61"/>
      <c r="X29" s="61"/>
      <c r="Y29" s="61"/>
      <c r="Z29" s="61"/>
      <c r="AA29" s="61"/>
      <c r="AB29" s="61"/>
      <c r="AC29" s="61"/>
      <c r="AD29" s="61"/>
      <c r="AE29" s="61"/>
      <c r="AF29" s="61"/>
      <c r="AG29" s="61"/>
      <c r="AH29" s="61"/>
      <c r="AI29" s="61"/>
      <c r="AJ29" s="61"/>
      <c r="AK29" s="61"/>
      <c r="AL29" s="61"/>
      <c r="AM29" s="85"/>
      <c r="AN29" s="85"/>
    </row>
    <row r="30" spans="1:40" ht="15" customHeight="1" x14ac:dyDescent="0.2">
      <c r="A30" s="181"/>
      <c r="B30" s="130" t="s">
        <v>463</v>
      </c>
      <c r="C30" s="68" t="s">
        <v>899</v>
      </c>
      <c r="D30" s="50" t="s">
        <v>1238</v>
      </c>
      <c r="E30" s="50" t="s">
        <v>27</v>
      </c>
      <c r="F30" s="50" t="s">
        <v>27</v>
      </c>
      <c r="G30" s="70">
        <v>4</v>
      </c>
      <c r="H30" s="53">
        <v>40</v>
      </c>
      <c r="I30" s="50" t="s">
        <v>166</v>
      </c>
      <c r="J30" s="51" t="s">
        <v>27</v>
      </c>
      <c r="K30" s="50" t="s">
        <v>27</v>
      </c>
      <c r="L30" s="59" t="s">
        <v>27</v>
      </c>
      <c r="M30" s="50" t="s">
        <v>304</v>
      </c>
      <c r="N30" s="54">
        <f t="shared" ref="N30:N32" si="2">H30*G30</f>
        <v>160</v>
      </c>
      <c r="O30" s="181"/>
      <c r="P30" s="181"/>
      <c r="Q30" s="114">
        <f>N30/O2</f>
        <v>3.750586029067042E-2</v>
      </c>
      <c r="R30" s="71">
        <v>2</v>
      </c>
      <c r="S30" s="40" t="s">
        <v>1241</v>
      </c>
      <c r="T30" s="85" t="s">
        <v>1242</v>
      </c>
      <c r="U30" s="85"/>
      <c r="V30" s="85"/>
      <c r="W30" s="85"/>
      <c r="X30" s="85"/>
      <c r="Y30" s="85"/>
      <c r="Z30" s="85"/>
      <c r="AA30" s="85"/>
      <c r="AB30" s="85"/>
      <c r="AC30" s="85"/>
      <c r="AD30" s="85"/>
      <c r="AE30" s="85"/>
      <c r="AF30" s="85"/>
      <c r="AG30" s="85"/>
      <c r="AH30" s="85"/>
      <c r="AI30" s="85"/>
      <c r="AJ30" s="85"/>
      <c r="AK30" s="85"/>
      <c r="AL30" s="85"/>
      <c r="AM30" s="85"/>
      <c r="AN30" s="85"/>
    </row>
    <row r="31" spans="1:40" ht="15" customHeight="1" x14ac:dyDescent="0.2">
      <c r="A31" s="181"/>
      <c r="B31" s="130" t="s">
        <v>463</v>
      </c>
      <c r="C31" s="68" t="s">
        <v>1244</v>
      </c>
      <c r="D31" s="50" t="s">
        <v>1140</v>
      </c>
      <c r="E31" s="50" t="s">
        <v>27</v>
      </c>
      <c r="F31" s="50" t="s">
        <v>27</v>
      </c>
      <c r="G31" s="70">
        <v>4</v>
      </c>
      <c r="H31" s="53">
        <v>21</v>
      </c>
      <c r="I31" s="50" t="s">
        <v>166</v>
      </c>
      <c r="J31" s="51" t="s">
        <v>27</v>
      </c>
      <c r="K31" s="50" t="s">
        <v>27</v>
      </c>
      <c r="L31" s="59" t="s">
        <v>27</v>
      </c>
      <c r="M31" s="50" t="s">
        <v>304</v>
      </c>
      <c r="N31" s="54">
        <f t="shared" si="2"/>
        <v>84</v>
      </c>
      <c r="O31" s="181"/>
      <c r="P31" s="181"/>
      <c r="Q31" s="114">
        <f>N31/O2</f>
        <v>1.969057665260197E-2</v>
      </c>
      <c r="R31" s="71">
        <v>2</v>
      </c>
      <c r="S31" s="40" t="s">
        <v>903</v>
      </c>
      <c r="T31" s="85" t="s">
        <v>905</v>
      </c>
      <c r="U31" s="85"/>
      <c r="V31" s="85"/>
      <c r="W31" s="85"/>
      <c r="X31" s="85"/>
      <c r="Y31" s="85"/>
      <c r="Z31" s="85"/>
      <c r="AA31" s="85"/>
      <c r="AB31" s="85"/>
      <c r="AC31" s="85"/>
      <c r="AD31" s="85"/>
      <c r="AE31" s="85"/>
      <c r="AF31" s="85"/>
      <c r="AG31" s="85"/>
      <c r="AH31" s="85"/>
      <c r="AI31" s="85"/>
      <c r="AJ31" s="85"/>
      <c r="AK31" s="85"/>
      <c r="AL31" s="85"/>
      <c r="AM31" s="85"/>
      <c r="AN31" s="85"/>
    </row>
    <row r="32" spans="1:40" ht="15" customHeight="1" x14ac:dyDescent="0.2">
      <c r="A32" s="181"/>
      <c r="B32" s="130" t="s">
        <v>463</v>
      </c>
      <c r="C32" s="68" t="s">
        <v>1248</v>
      </c>
      <c r="D32" s="50" t="s">
        <v>1249</v>
      </c>
      <c r="E32" s="50" t="s">
        <v>27</v>
      </c>
      <c r="F32" s="50" t="s">
        <v>27</v>
      </c>
      <c r="G32" s="70">
        <v>8</v>
      </c>
      <c r="H32" s="53">
        <v>40</v>
      </c>
      <c r="I32" s="50" t="s">
        <v>166</v>
      </c>
      <c r="J32" s="51" t="s">
        <v>27</v>
      </c>
      <c r="K32" s="50" t="s">
        <v>27</v>
      </c>
      <c r="L32" s="59" t="s">
        <v>27</v>
      </c>
      <c r="M32" s="50" t="s">
        <v>304</v>
      </c>
      <c r="N32" s="54">
        <f t="shared" si="2"/>
        <v>320</v>
      </c>
      <c r="O32" s="181"/>
      <c r="P32" s="181"/>
      <c r="Q32" s="114">
        <f>N32/O2</f>
        <v>7.5011720581340841E-2</v>
      </c>
      <c r="R32" s="71">
        <v>2</v>
      </c>
      <c r="S32" s="40" t="s">
        <v>1241</v>
      </c>
      <c r="T32" s="85" t="s">
        <v>1242</v>
      </c>
      <c r="U32" s="85"/>
      <c r="V32" s="85"/>
      <c r="W32" s="85"/>
      <c r="X32" s="85"/>
      <c r="Y32" s="85"/>
      <c r="Z32" s="85"/>
      <c r="AA32" s="85"/>
      <c r="AB32" s="85"/>
      <c r="AC32" s="85"/>
      <c r="AD32" s="85"/>
      <c r="AE32" s="85"/>
      <c r="AF32" s="85"/>
      <c r="AG32" s="85"/>
      <c r="AH32" s="85"/>
      <c r="AI32" s="85"/>
      <c r="AJ32" s="85"/>
      <c r="AK32" s="85"/>
      <c r="AL32" s="85"/>
      <c r="AM32" s="85"/>
      <c r="AN32" s="85"/>
    </row>
    <row r="33" spans="1:40" ht="14.25" customHeight="1" x14ac:dyDescent="0.2">
      <c r="A33" s="181"/>
      <c r="B33" s="218" t="s">
        <v>417</v>
      </c>
      <c r="C33" s="183" t="s">
        <v>662</v>
      </c>
      <c r="D33" s="179" t="s">
        <v>663</v>
      </c>
      <c r="E33" s="179" t="s">
        <v>13</v>
      </c>
      <c r="F33" s="179" t="s">
        <v>13</v>
      </c>
      <c r="G33" s="182">
        <v>12</v>
      </c>
      <c r="H33" s="178">
        <v>12</v>
      </c>
      <c r="I33" s="179" t="s">
        <v>166</v>
      </c>
      <c r="J33" s="175" t="s">
        <v>27</v>
      </c>
      <c r="K33" s="179" t="s">
        <v>27</v>
      </c>
      <c r="L33" s="178">
        <v>1</v>
      </c>
      <c r="M33" s="179" t="s">
        <v>1254</v>
      </c>
      <c r="N33" s="180">
        <f>L33*G33*H33</f>
        <v>144</v>
      </c>
      <c r="O33" s="181"/>
      <c r="P33" s="181"/>
      <c r="Q33" s="214">
        <f>N33/$O$2</f>
        <v>3.3755274261603373E-2</v>
      </c>
      <c r="R33" s="190">
        <v>2</v>
      </c>
      <c r="S33" s="14" t="s">
        <v>623</v>
      </c>
      <c r="T33" s="85" t="s">
        <v>1015</v>
      </c>
      <c r="U33" s="85"/>
      <c r="V33" s="85"/>
      <c r="W33" s="85"/>
      <c r="X33" s="85"/>
      <c r="Y33" s="85"/>
      <c r="Z33" s="85"/>
      <c r="AA33" s="85"/>
      <c r="AB33" s="85"/>
      <c r="AC33" s="85"/>
      <c r="AD33" s="85"/>
      <c r="AE33" s="85"/>
      <c r="AF33" s="85"/>
      <c r="AG33" s="85"/>
      <c r="AH33" s="85"/>
      <c r="AI33" s="85"/>
      <c r="AJ33" s="85"/>
      <c r="AK33" s="85"/>
      <c r="AL33" s="85"/>
      <c r="AM33" s="85"/>
      <c r="AN33" s="85"/>
    </row>
    <row r="34" spans="1:40" ht="14.25" customHeight="1" x14ac:dyDescent="0.2">
      <c r="A34" s="181"/>
      <c r="B34" s="219"/>
      <c r="C34" s="181"/>
      <c r="D34" s="181"/>
      <c r="E34" s="181"/>
      <c r="F34" s="181"/>
      <c r="G34" s="181"/>
      <c r="H34" s="181"/>
      <c r="I34" s="181"/>
      <c r="J34" s="181"/>
      <c r="K34" s="181"/>
      <c r="L34" s="181"/>
      <c r="M34" s="181"/>
      <c r="N34" s="181"/>
      <c r="O34" s="181"/>
      <c r="P34" s="181"/>
      <c r="Q34" s="215"/>
      <c r="R34" s="181"/>
      <c r="S34" s="40" t="s">
        <v>667</v>
      </c>
      <c r="T34" s="85" t="s">
        <v>668</v>
      </c>
      <c r="U34" s="85"/>
      <c r="V34" s="85"/>
      <c r="W34" s="85"/>
      <c r="X34" s="85"/>
      <c r="Y34" s="85"/>
      <c r="Z34" s="85"/>
      <c r="AA34" s="85"/>
      <c r="AB34" s="85"/>
      <c r="AC34" s="85"/>
      <c r="AD34" s="85"/>
      <c r="AE34" s="85"/>
      <c r="AF34" s="85"/>
      <c r="AG34" s="85"/>
      <c r="AH34" s="85"/>
      <c r="AI34" s="85"/>
      <c r="AJ34" s="85"/>
      <c r="AK34" s="85"/>
      <c r="AL34" s="85"/>
      <c r="AM34" s="85"/>
      <c r="AN34" s="85"/>
    </row>
    <row r="35" spans="1:40" ht="14.25" customHeight="1" x14ac:dyDescent="0.2">
      <c r="A35" s="181"/>
      <c r="B35" s="219"/>
      <c r="C35" s="181"/>
      <c r="D35" s="181"/>
      <c r="E35" s="181"/>
      <c r="F35" s="181"/>
      <c r="G35" s="181"/>
      <c r="H35" s="181"/>
      <c r="I35" s="181"/>
      <c r="J35" s="181"/>
      <c r="K35" s="181"/>
      <c r="L35" s="181"/>
      <c r="M35" s="181"/>
      <c r="N35" s="181"/>
      <c r="O35" s="181"/>
      <c r="P35" s="181"/>
      <c r="Q35" s="215"/>
      <c r="R35" s="181"/>
      <c r="S35" s="14" t="s">
        <v>669</v>
      </c>
      <c r="T35" s="85" t="s">
        <v>670</v>
      </c>
      <c r="U35" s="85"/>
      <c r="V35" s="85"/>
      <c r="W35" s="85"/>
      <c r="X35" s="85"/>
      <c r="Y35" s="85"/>
      <c r="Z35" s="85"/>
      <c r="AA35" s="85"/>
      <c r="AB35" s="85"/>
      <c r="AC35" s="85"/>
      <c r="AD35" s="85"/>
      <c r="AE35" s="85"/>
      <c r="AF35" s="85"/>
      <c r="AG35" s="85"/>
      <c r="AH35" s="85"/>
      <c r="AI35" s="85"/>
      <c r="AJ35" s="85"/>
      <c r="AK35" s="85"/>
      <c r="AL35" s="85"/>
      <c r="AM35" s="85"/>
      <c r="AN35" s="85"/>
    </row>
    <row r="36" spans="1:40" ht="14.25" customHeight="1" x14ac:dyDescent="0.2">
      <c r="A36" s="181"/>
      <c r="B36" s="219"/>
      <c r="C36" s="181"/>
      <c r="D36" s="176"/>
      <c r="E36" s="176"/>
      <c r="F36" s="176"/>
      <c r="G36" s="181"/>
      <c r="H36" s="176"/>
      <c r="I36" s="176"/>
      <c r="J36" s="176"/>
      <c r="K36" s="176"/>
      <c r="L36" s="176"/>
      <c r="M36" s="176"/>
      <c r="N36" s="176"/>
      <c r="O36" s="181"/>
      <c r="P36" s="181"/>
      <c r="Q36" s="216"/>
      <c r="R36" s="176"/>
      <c r="S36" s="14" t="s">
        <v>671</v>
      </c>
      <c r="T36" s="85" t="s">
        <v>672</v>
      </c>
      <c r="U36" s="85"/>
      <c r="V36" s="85"/>
      <c r="W36" s="85"/>
      <c r="X36" s="85"/>
      <c r="Y36" s="85"/>
      <c r="Z36" s="85"/>
      <c r="AA36" s="85"/>
      <c r="AB36" s="85"/>
      <c r="AC36" s="85"/>
      <c r="AD36" s="85"/>
      <c r="AE36" s="85"/>
      <c r="AF36" s="85"/>
      <c r="AG36" s="85"/>
      <c r="AH36" s="85"/>
      <c r="AI36" s="85"/>
      <c r="AJ36" s="85"/>
      <c r="AK36" s="85"/>
      <c r="AL36" s="85"/>
      <c r="AM36" s="85"/>
      <c r="AN36" s="85"/>
    </row>
    <row r="37" spans="1:40" ht="14.25" customHeight="1" x14ac:dyDescent="0.2">
      <c r="A37" s="181"/>
      <c r="B37" s="219"/>
      <c r="C37" s="181"/>
      <c r="D37" s="179" t="s">
        <v>433</v>
      </c>
      <c r="E37" s="179" t="s">
        <v>434</v>
      </c>
      <c r="F37" s="179" t="s">
        <v>435</v>
      </c>
      <c r="G37" s="181"/>
      <c r="H37" s="178">
        <v>12</v>
      </c>
      <c r="I37" s="179" t="s">
        <v>166</v>
      </c>
      <c r="J37" s="175">
        <v>2.0833333333333332E-2</v>
      </c>
      <c r="K37" s="193" t="s">
        <v>27</v>
      </c>
      <c r="L37" s="194">
        <v>158</v>
      </c>
      <c r="M37" s="193" t="s">
        <v>1261</v>
      </c>
      <c r="N37" s="180">
        <f>L37*J37*H37*G33*2</f>
        <v>948</v>
      </c>
      <c r="O37" s="181"/>
      <c r="P37" s="181"/>
      <c r="Q37" s="214">
        <f>N37/$O$2</f>
        <v>0.22222222222222221</v>
      </c>
      <c r="R37" s="190">
        <v>2</v>
      </c>
      <c r="S37" s="14" t="s">
        <v>623</v>
      </c>
      <c r="T37" s="85" t="s">
        <v>922</v>
      </c>
      <c r="U37" s="85"/>
      <c r="V37" s="85"/>
      <c r="W37" s="85"/>
      <c r="X37" s="85"/>
      <c r="Y37" s="85"/>
      <c r="Z37" s="85"/>
      <c r="AA37" s="85"/>
      <c r="AB37" s="85"/>
      <c r="AC37" s="85"/>
      <c r="AD37" s="85"/>
      <c r="AE37" s="85"/>
      <c r="AF37" s="85"/>
      <c r="AG37" s="85"/>
      <c r="AH37" s="85"/>
      <c r="AI37" s="85"/>
      <c r="AJ37" s="85"/>
      <c r="AK37" s="85"/>
      <c r="AL37" s="85"/>
      <c r="AM37" s="85"/>
      <c r="AN37" s="85"/>
    </row>
    <row r="38" spans="1:40" ht="14.25" customHeight="1" x14ac:dyDescent="0.2">
      <c r="A38" s="181"/>
      <c r="B38" s="219"/>
      <c r="C38" s="181"/>
      <c r="D38" s="181"/>
      <c r="E38" s="181"/>
      <c r="F38" s="181"/>
      <c r="G38" s="181"/>
      <c r="H38" s="181"/>
      <c r="I38" s="181"/>
      <c r="J38" s="181"/>
      <c r="K38" s="181"/>
      <c r="L38" s="181"/>
      <c r="M38" s="181"/>
      <c r="N38" s="181"/>
      <c r="O38" s="181"/>
      <c r="P38" s="181"/>
      <c r="Q38" s="215"/>
      <c r="R38" s="181"/>
      <c r="S38" s="14" t="s">
        <v>443</v>
      </c>
      <c r="T38" s="85" t="s">
        <v>444</v>
      </c>
      <c r="U38" s="85"/>
      <c r="V38" s="85"/>
      <c r="W38" s="85"/>
      <c r="X38" s="85"/>
      <c r="Y38" s="85"/>
      <c r="Z38" s="85"/>
      <c r="AA38" s="85"/>
      <c r="AB38" s="85"/>
      <c r="AC38" s="85"/>
      <c r="AD38" s="85"/>
      <c r="AE38" s="85"/>
      <c r="AF38" s="85"/>
      <c r="AG38" s="85"/>
      <c r="AH38" s="85"/>
      <c r="AI38" s="85"/>
      <c r="AJ38" s="85"/>
      <c r="AK38" s="85"/>
      <c r="AL38" s="85"/>
      <c r="AM38" s="85"/>
      <c r="AN38" s="85"/>
    </row>
    <row r="39" spans="1:40" ht="14.25" customHeight="1" x14ac:dyDescent="0.2">
      <c r="A39" s="181"/>
      <c r="B39" s="219"/>
      <c r="C39" s="181"/>
      <c r="D39" s="181"/>
      <c r="E39" s="181"/>
      <c r="F39" s="181"/>
      <c r="G39" s="181"/>
      <c r="H39" s="181"/>
      <c r="I39" s="181"/>
      <c r="J39" s="181"/>
      <c r="K39" s="181"/>
      <c r="L39" s="181"/>
      <c r="M39" s="181"/>
      <c r="N39" s="181"/>
      <c r="O39" s="181"/>
      <c r="P39" s="181"/>
      <c r="Q39" s="215"/>
      <c r="R39" s="181"/>
      <c r="S39" s="14" t="s">
        <v>451</v>
      </c>
      <c r="T39" s="85" t="s">
        <v>452</v>
      </c>
      <c r="U39" s="85"/>
      <c r="V39" s="85"/>
      <c r="W39" s="85"/>
      <c r="X39" s="85"/>
      <c r="Y39" s="85"/>
      <c r="Z39" s="85"/>
      <c r="AA39" s="85"/>
      <c r="AB39" s="85"/>
      <c r="AC39" s="85"/>
      <c r="AD39" s="85"/>
      <c r="AE39" s="85"/>
      <c r="AF39" s="85"/>
      <c r="AG39" s="85"/>
      <c r="AH39" s="85"/>
      <c r="AI39" s="85"/>
      <c r="AJ39" s="85"/>
      <c r="AK39" s="85"/>
      <c r="AL39" s="85"/>
      <c r="AM39" s="85"/>
      <c r="AN39" s="85"/>
    </row>
    <row r="40" spans="1:40" ht="14.25" customHeight="1" x14ac:dyDescent="0.2">
      <c r="A40" s="181"/>
      <c r="B40" s="219"/>
      <c r="C40" s="181"/>
      <c r="D40" s="176"/>
      <c r="E40" s="176"/>
      <c r="F40" s="176"/>
      <c r="G40" s="181"/>
      <c r="H40" s="181"/>
      <c r="I40" s="181"/>
      <c r="J40" s="176"/>
      <c r="K40" s="176"/>
      <c r="L40" s="176"/>
      <c r="M40" s="176"/>
      <c r="N40" s="176"/>
      <c r="O40" s="181"/>
      <c r="P40" s="181"/>
      <c r="Q40" s="216"/>
      <c r="R40" s="176"/>
      <c r="S40" s="40" t="s">
        <v>447</v>
      </c>
      <c r="T40" s="85" t="s">
        <v>449</v>
      </c>
      <c r="U40" s="85"/>
      <c r="V40" s="85"/>
      <c r="W40" s="85"/>
      <c r="X40" s="85"/>
      <c r="Y40" s="85"/>
      <c r="Z40" s="85"/>
      <c r="AA40" s="85"/>
      <c r="AB40" s="85"/>
      <c r="AC40" s="85"/>
      <c r="AD40" s="85"/>
      <c r="AE40" s="85"/>
      <c r="AF40" s="85"/>
      <c r="AG40" s="85"/>
      <c r="AH40" s="85"/>
      <c r="AI40" s="85"/>
      <c r="AJ40" s="85"/>
      <c r="AK40" s="85"/>
      <c r="AL40" s="85"/>
      <c r="AM40" s="85"/>
      <c r="AN40" s="85"/>
    </row>
    <row r="41" spans="1:40" ht="17.25" customHeight="1" x14ac:dyDescent="0.2">
      <c r="A41" s="181"/>
      <c r="B41" s="219"/>
      <c r="C41" s="181"/>
      <c r="D41" s="179" t="s">
        <v>677</v>
      </c>
      <c r="E41" s="179" t="s">
        <v>287</v>
      </c>
      <c r="F41" s="179" t="s">
        <v>19</v>
      </c>
      <c r="G41" s="181"/>
      <c r="H41" s="181"/>
      <c r="I41" s="181"/>
      <c r="J41" s="175">
        <v>2.5000000000000001E-3</v>
      </c>
      <c r="K41" s="179" t="s">
        <v>27</v>
      </c>
      <c r="L41" s="178">
        <v>0.17</v>
      </c>
      <c r="M41" s="179" t="s">
        <v>1269</v>
      </c>
      <c r="N41" s="195">
        <f>L41*H37*G33*2</f>
        <v>48.96</v>
      </c>
      <c r="O41" s="181"/>
      <c r="P41" s="181"/>
      <c r="Q41" s="214">
        <f>N41/$O$2</f>
        <v>1.1476793248945148E-2</v>
      </c>
      <c r="R41" s="190">
        <v>2</v>
      </c>
      <c r="S41" s="14" t="s">
        <v>451</v>
      </c>
      <c r="T41" s="85" t="s">
        <v>452</v>
      </c>
      <c r="U41" s="85"/>
      <c r="V41" s="85"/>
      <c r="W41" s="85"/>
      <c r="X41" s="85"/>
      <c r="Y41" s="85"/>
      <c r="Z41" s="85"/>
      <c r="AA41" s="85"/>
      <c r="AB41" s="85"/>
      <c r="AC41" s="85"/>
      <c r="AD41" s="85"/>
      <c r="AE41" s="85"/>
      <c r="AF41" s="85"/>
      <c r="AG41" s="85"/>
      <c r="AH41" s="85"/>
      <c r="AI41" s="85"/>
      <c r="AJ41" s="85"/>
      <c r="AK41" s="85"/>
      <c r="AL41" s="85"/>
      <c r="AM41" s="85"/>
      <c r="AN41" s="85"/>
    </row>
    <row r="42" spans="1:40" ht="14.25" customHeight="1" x14ac:dyDescent="0.2">
      <c r="A42" s="181"/>
      <c r="B42" s="220"/>
      <c r="C42" s="176"/>
      <c r="D42" s="176"/>
      <c r="E42" s="176"/>
      <c r="F42" s="176"/>
      <c r="G42" s="176"/>
      <c r="H42" s="176"/>
      <c r="I42" s="176"/>
      <c r="J42" s="176"/>
      <c r="K42" s="176"/>
      <c r="L42" s="176"/>
      <c r="M42" s="176"/>
      <c r="N42" s="176"/>
      <c r="O42" s="181"/>
      <c r="P42" s="181"/>
      <c r="Q42" s="216"/>
      <c r="R42" s="176"/>
      <c r="S42" s="40" t="s">
        <v>460</v>
      </c>
      <c r="T42" s="85" t="s">
        <v>461</v>
      </c>
      <c r="U42" s="85"/>
      <c r="V42" s="85"/>
      <c r="W42" s="85"/>
      <c r="X42" s="85"/>
      <c r="Y42" s="85"/>
      <c r="Z42" s="85"/>
      <c r="AA42" s="85"/>
      <c r="AB42" s="85"/>
      <c r="AC42" s="85"/>
      <c r="AD42" s="85"/>
      <c r="AE42" s="85"/>
      <c r="AF42" s="85"/>
      <c r="AG42" s="85"/>
      <c r="AH42" s="85"/>
      <c r="AI42" s="85"/>
      <c r="AJ42" s="85"/>
      <c r="AK42" s="85"/>
      <c r="AL42" s="85"/>
      <c r="AM42" s="85"/>
      <c r="AN42" s="85"/>
    </row>
    <row r="43" spans="1:40" ht="14.25" customHeight="1" x14ac:dyDescent="0.2">
      <c r="A43" s="181"/>
      <c r="B43" s="218" t="s">
        <v>959</v>
      </c>
      <c r="C43" s="183" t="s">
        <v>961</v>
      </c>
      <c r="D43" s="179" t="s">
        <v>962</v>
      </c>
      <c r="E43" s="179" t="s">
        <v>434</v>
      </c>
      <c r="F43" s="179" t="s">
        <v>18</v>
      </c>
      <c r="G43" s="178">
        <v>2</v>
      </c>
      <c r="H43" s="182">
        <v>450</v>
      </c>
      <c r="I43" s="183" t="s">
        <v>166</v>
      </c>
      <c r="J43" s="175">
        <v>2.0833333333333332E-2</v>
      </c>
      <c r="K43" s="179" t="s">
        <v>27</v>
      </c>
      <c r="L43" s="178">
        <v>158</v>
      </c>
      <c r="M43" s="179" t="s">
        <v>956</v>
      </c>
      <c r="N43" s="180">
        <f>L43*J43*H43*G43</f>
        <v>2962.5</v>
      </c>
      <c r="O43" s="181"/>
      <c r="P43" s="181"/>
      <c r="Q43" s="214">
        <f>N43/$O$2</f>
        <v>0.69444444444444442</v>
      </c>
      <c r="R43" s="190">
        <v>5</v>
      </c>
      <c r="S43" s="14" t="s">
        <v>970</v>
      </c>
      <c r="T43" s="132" t="s">
        <v>971</v>
      </c>
      <c r="U43" s="85"/>
      <c r="V43" s="85"/>
      <c r="W43" s="85"/>
      <c r="X43" s="85"/>
      <c r="Y43" s="85"/>
      <c r="Z43" s="85"/>
      <c r="AA43" s="85"/>
      <c r="AB43" s="85"/>
      <c r="AC43" s="85"/>
      <c r="AD43" s="85"/>
      <c r="AE43" s="85"/>
      <c r="AF43" s="85"/>
      <c r="AG43" s="85"/>
      <c r="AH43" s="85"/>
      <c r="AI43" s="85"/>
      <c r="AJ43" s="85"/>
      <c r="AK43" s="85"/>
      <c r="AL43" s="85"/>
      <c r="AM43" s="85"/>
      <c r="AN43" s="85"/>
    </row>
    <row r="44" spans="1:40" ht="14.25" customHeight="1" x14ac:dyDescent="0.2">
      <c r="A44" s="181"/>
      <c r="B44" s="219"/>
      <c r="C44" s="181"/>
      <c r="D44" s="181"/>
      <c r="E44" s="181"/>
      <c r="F44" s="181"/>
      <c r="G44" s="181"/>
      <c r="H44" s="181"/>
      <c r="I44" s="181"/>
      <c r="J44" s="181"/>
      <c r="K44" s="181"/>
      <c r="L44" s="181"/>
      <c r="M44" s="181"/>
      <c r="N44" s="181"/>
      <c r="O44" s="181"/>
      <c r="P44" s="181"/>
      <c r="Q44" s="215"/>
      <c r="R44" s="181"/>
      <c r="S44" s="14" t="s">
        <v>451</v>
      </c>
      <c r="T44" s="210" t="s">
        <v>452</v>
      </c>
      <c r="U44" s="173"/>
      <c r="V44" s="85"/>
      <c r="W44" s="85"/>
      <c r="X44" s="85"/>
      <c r="Y44" s="85"/>
      <c r="Z44" s="85"/>
      <c r="AA44" s="85"/>
      <c r="AB44" s="85"/>
      <c r="AC44" s="85"/>
      <c r="AD44" s="85"/>
      <c r="AE44" s="85"/>
      <c r="AF44" s="85"/>
      <c r="AG44" s="85"/>
      <c r="AH44" s="85"/>
      <c r="AI44" s="85"/>
      <c r="AJ44" s="85"/>
      <c r="AK44" s="85"/>
      <c r="AL44" s="85"/>
      <c r="AM44" s="85"/>
      <c r="AN44" s="85"/>
    </row>
    <row r="45" spans="1:40" ht="14.25" customHeight="1" x14ac:dyDescent="0.2">
      <c r="A45" s="181"/>
      <c r="B45" s="219"/>
      <c r="C45" s="181"/>
      <c r="D45" s="181"/>
      <c r="E45" s="176"/>
      <c r="F45" s="176"/>
      <c r="G45" s="181"/>
      <c r="H45" s="181"/>
      <c r="I45" s="181"/>
      <c r="J45" s="176"/>
      <c r="K45" s="176"/>
      <c r="L45" s="176"/>
      <c r="M45" s="176"/>
      <c r="N45" s="176"/>
      <c r="O45" s="181"/>
      <c r="P45" s="181"/>
      <c r="Q45" s="216"/>
      <c r="R45" s="176"/>
      <c r="S45" s="14" t="s">
        <v>443</v>
      </c>
      <c r="T45" s="85" t="s">
        <v>444</v>
      </c>
      <c r="U45" s="85"/>
      <c r="V45" s="85"/>
      <c r="W45" s="85"/>
      <c r="X45" s="85"/>
      <c r="Y45" s="85"/>
      <c r="Z45" s="85"/>
      <c r="AA45" s="85"/>
      <c r="AB45" s="85"/>
      <c r="AC45" s="85"/>
      <c r="AD45" s="85"/>
      <c r="AE45" s="85"/>
      <c r="AF45" s="85"/>
      <c r="AG45" s="85"/>
      <c r="AH45" s="85"/>
      <c r="AI45" s="85"/>
      <c r="AJ45" s="85"/>
      <c r="AK45" s="85"/>
      <c r="AL45" s="85"/>
      <c r="AM45" s="85"/>
      <c r="AN45" s="85"/>
    </row>
    <row r="46" spans="1:40" ht="14.25" customHeight="1" x14ac:dyDescent="0.2">
      <c r="A46" s="181"/>
      <c r="B46" s="219"/>
      <c r="C46" s="181"/>
      <c r="D46" s="176"/>
      <c r="E46" s="50" t="s">
        <v>287</v>
      </c>
      <c r="F46" s="50" t="s">
        <v>19</v>
      </c>
      <c r="G46" s="176"/>
      <c r="H46" s="181"/>
      <c r="I46" s="181"/>
      <c r="J46" s="51">
        <v>2.5000000000000001E-3</v>
      </c>
      <c r="K46" s="50" t="s">
        <v>27</v>
      </c>
      <c r="L46" s="53">
        <v>0.17</v>
      </c>
      <c r="M46" s="14" t="s">
        <v>1277</v>
      </c>
      <c r="N46" s="54">
        <f>L46*H43*G43</f>
        <v>153</v>
      </c>
      <c r="O46" s="181"/>
      <c r="P46" s="181"/>
      <c r="Q46" s="114">
        <f t="shared" ref="Q46:Q47" si="3">N46/$O$2</f>
        <v>3.5864978902953586E-2</v>
      </c>
      <c r="R46" s="62">
        <v>5</v>
      </c>
      <c r="S46" s="40" t="s">
        <v>460</v>
      </c>
      <c r="T46" s="85" t="s">
        <v>461</v>
      </c>
      <c r="U46" s="85"/>
      <c r="V46" s="85"/>
      <c r="W46" s="85"/>
      <c r="X46" s="85"/>
      <c r="Y46" s="85"/>
      <c r="Z46" s="85"/>
      <c r="AA46" s="85"/>
      <c r="AB46" s="85"/>
      <c r="AC46" s="85"/>
      <c r="AD46" s="85"/>
      <c r="AE46" s="85"/>
      <c r="AF46" s="85"/>
      <c r="AG46" s="85"/>
      <c r="AH46" s="85"/>
      <c r="AI46" s="85"/>
      <c r="AJ46" s="85"/>
      <c r="AK46" s="85"/>
      <c r="AL46" s="85"/>
      <c r="AM46" s="85"/>
      <c r="AN46" s="85"/>
    </row>
    <row r="47" spans="1:40" ht="14.25" customHeight="1" x14ac:dyDescent="0.2">
      <c r="A47" s="181"/>
      <c r="B47" s="219"/>
      <c r="C47" s="181"/>
      <c r="D47" s="179" t="s">
        <v>1224</v>
      </c>
      <c r="E47" s="179" t="s">
        <v>13</v>
      </c>
      <c r="F47" s="179" t="s">
        <v>13</v>
      </c>
      <c r="G47" s="178">
        <v>9</v>
      </c>
      <c r="H47" s="181"/>
      <c r="I47" s="181"/>
      <c r="J47" s="175">
        <v>0.33333333333333331</v>
      </c>
      <c r="K47" s="179">
        <v>0.14583333333333334</v>
      </c>
      <c r="L47" s="178">
        <v>169</v>
      </c>
      <c r="M47" s="179" t="s">
        <v>1279</v>
      </c>
      <c r="N47" s="180">
        <v>887.24999999999977</v>
      </c>
      <c r="O47" s="181"/>
      <c r="P47" s="181"/>
      <c r="Q47" s="214">
        <f t="shared" si="3"/>
        <v>0.20798171589310824</v>
      </c>
      <c r="R47" s="190">
        <v>2</v>
      </c>
      <c r="S47" s="14" t="s">
        <v>181</v>
      </c>
      <c r="T47" s="61" t="s">
        <v>1280</v>
      </c>
      <c r="U47" s="85"/>
      <c r="V47" s="85"/>
      <c r="W47" s="85"/>
      <c r="X47" s="85"/>
      <c r="Y47" s="85"/>
      <c r="Z47" s="85"/>
      <c r="AA47" s="85"/>
      <c r="AB47" s="85"/>
      <c r="AC47" s="85"/>
      <c r="AD47" s="85"/>
      <c r="AE47" s="85"/>
      <c r="AF47" s="85"/>
      <c r="AG47" s="85"/>
      <c r="AH47" s="85"/>
      <c r="AI47" s="85"/>
      <c r="AJ47" s="85"/>
      <c r="AK47" s="85"/>
      <c r="AL47" s="85"/>
      <c r="AM47" s="85"/>
      <c r="AN47" s="85"/>
    </row>
    <row r="48" spans="1:40" ht="14.25" customHeight="1" x14ac:dyDescent="0.2">
      <c r="A48" s="181"/>
      <c r="B48" s="220"/>
      <c r="C48" s="176"/>
      <c r="D48" s="176"/>
      <c r="E48" s="176"/>
      <c r="F48" s="176"/>
      <c r="G48" s="176"/>
      <c r="H48" s="176"/>
      <c r="I48" s="176"/>
      <c r="J48" s="176"/>
      <c r="K48" s="176"/>
      <c r="L48" s="176"/>
      <c r="M48" s="176"/>
      <c r="N48" s="176"/>
      <c r="O48" s="181"/>
      <c r="P48" s="181"/>
      <c r="Q48" s="216"/>
      <c r="R48" s="176"/>
      <c r="S48" s="40" t="s">
        <v>992</v>
      </c>
      <c r="T48" s="85" t="s">
        <v>993</v>
      </c>
      <c r="U48" s="85"/>
      <c r="V48" s="85"/>
      <c r="W48" s="85"/>
      <c r="X48" s="85"/>
      <c r="Y48" s="85"/>
      <c r="Z48" s="85"/>
      <c r="AA48" s="85"/>
      <c r="AB48" s="85"/>
      <c r="AC48" s="85"/>
      <c r="AD48" s="85"/>
      <c r="AE48" s="85"/>
      <c r="AF48" s="85"/>
      <c r="AG48" s="85"/>
      <c r="AH48" s="85"/>
      <c r="AI48" s="85"/>
      <c r="AJ48" s="85"/>
      <c r="AK48" s="85"/>
      <c r="AL48" s="85"/>
      <c r="AM48" s="85"/>
      <c r="AN48" s="85"/>
    </row>
    <row r="49" spans="1:40" ht="14.25" customHeight="1" x14ac:dyDescent="0.2">
      <c r="A49" s="181"/>
      <c r="B49" s="218" t="s">
        <v>321</v>
      </c>
      <c r="C49" s="184" t="s">
        <v>484</v>
      </c>
      <c r="D49" s="179" t="s">
        <v>286</v>
      </c>
      <c r="E49" s="179" t="s">
        <v>287</v>
      </c>
      <c r="F49" s="179" t="s">
        <v>10</v>
      </c>
      <c r="G49" s="178">
        <v>2</v>
      </c>
      <c r="H49" s="182">
        <v>1500</v>
      </c>
      <c r="I49" s="183" t="s">
        <v>166</v>
      </c>
      <c r="J49" s="175">
        <v>0.125</v>
      </c>
      <c r="K49" s="179" t="s">
        <v>27</v>
      </c>
      <c r="L49" s="178">
        <v>2.5</v>
      </c>
      <c r="M49" s="179" t="s">
        <v>1283</v>
      </c>
      <c r="N49" s="180">
        <f>H49*L49*(J49)*G49</f>
        <v>937.5</v>
      </c>
      <c r="O49" s="181"/>
      <c r="P49" s="181"/>
      <c r="Q49" s="214">
        <f>N49/$O$2</f>
        <v>0.21976090014064698</v>
      </c>
      <c r="R49" s="192">
        <v>3</v>
      </c>
      <c r="S49" s="14" t="s">
        <v>347</v>
      </c>
      <c r="T49" s="85" t="s">
        <v>348</v>
      </c>
      <c r="U49" s="85"/>
      <c r="V49" s="85"/>
      <c r="W49" s="85"/>
      <c r="X49" s="85"/>
      <c r="Y49" s="85"/>
      <c r="Z49" s="85"/>
      <c r="AA49" s="85"/>
      <c r="AB49" s="85"/>
      <c r="AC49" s="85"/>
      <c r="AD49" s="85"/>
      <c r="AE49" s="85"/>
      <c r="AF49" s="85"/>
      <c r="AG49" s="85"/>
      <c r="AH49" s="85"/>
      <c r="AI49" s="85"/>
      <c r="AJ49" s="85"/>
      <c r="AK49" s="85"/>
      <c r="AL49" s="85"/>
      <c r="AM49" s="85"/>
      <c r="AN49" s="85"/>
    </row>
    <row r="50" spans="1:40" ht="14.25" customHeight="1" x14ac:dyDescent="0.2">
      <c r="A50" s="181"/>
      <c r="B50" s="219"/>
      <c r="C50" s="181"/>
      <c r="D50" s="181"/>
      <c r="E50" s="181"/>
      <c r="F50" s="181"/>
      <c r="G50" s="181"/>
      <c r="H50" s="181"/>
      <c r="I50" s="181"/>
      <c r="J50" s="181"/>
      <c r="K50" s="181"/>
      <c r="L50" s="181"/>
      <c r="M50" s="181"/>
      <c r="N50" s="181"/>
      <c r="O50" s="181"/>
      <c r="P50" s="181"/>
      <c r="Q50" s="215"/>
      <c r="R50" s="181"/>
      <c r="S50" s="14" t="s">
        <v>349</v>
      </c>
      <c r="T50" s="85" t="s">
        <v>350</v>
      </c>
      <c r="U50" s="85"/>
      <c r="V50" s="85"/>
      <c r="W50" s="85"/>
      <c r="X50" s="85"/>
      <c r="Y50" s="85"/>
      <c r="Z50" s="85"/>
      <c r="AA50" s="85"/>
      <c r="AB50" s="85"/>
      <c r="AC50" s="85"/>
      <c r="AD50" s="85"/>
      <c r="AE50" s="85"/>
      <c r="AF50" s="85"/>
      <c r="AG50" s="85"/>
      <c r="AH50" s="85"/>
      <c r="AI50" s="85"/>
      <c r="AJ50" s="85"/>
      <c r="AK50" s="85"/>
      <c r="AL50" s="85"/>
      <c r="AM50" s="85"/>
      <c r="AN50" s="85"/>
    </row>
    <row r="51" spans="1:40" ht="14.25" customHeight="1" x14ac:dyDescent="0.2">
      <c r="A51" s="181"/>
      <c r="B51" s="219"/>
      <c r="C51" s="181"/>
      <c r="D51" s="176"/>
      <c r="E51" s="176"/>
      <c r="F51" s="176"/>
      <c r="G51" s="176"/>
      <c r="H51" s="181"/>
      <c r="I51" s="181"/>
      <c r="J51" s="176"/>
      <c r="K51" s="176"/>
      <c r="L51" s="176"/>
      <c r="M51" s="176"/>
      <c r="N51" s="176"/>
      <c r="O51" s="181"/>
      <c r="P51" s="181"/>
      <c r="Q51" s="216"/>
      <c r="R51" s="176"/>
      <c r="S51" s="14" t="s">
        <v>494</v>
      </c>
      <c r="T51" s="85" t="s">
        <v>495</v>
      </c>
      <c r="U51" s="85"/>
      <c r="V51" s="85"/>
      <c r="W51" s="85"/>
      <c r="X51" s="85"/>
      <c r="Y51" s="85"/>
      <c r="Z51" s="85"/>
      <c r="AA51" s="85"/>
      <c r="AB51" s="85"/>
      <c r="AC51" s="85"/>
      <c r="AD51" s="85"/>
      <c r="AE51" s="85"/>
      <c r="AF51" s="85"/>
      <c r="AG51" s="85"/>
      <c r="AH51" s="85"/>
      <c r="AI51" s="85"/>
      <c r="AJ51" s="85"/>
      <c r="AK51" s="85"/>
      <c r="AL51" s="85"/>
      <c r="AM51" s="85"/>
      <c r="AN51" s="85"/>
    </row>
    <row r="52" spans="1:40" ht="14.25" customHeight="1" x14ac:dyDescent="0.2">
      <c r="A52" s="181"/>
      <c r="B52" s="219"/>
      <c r="C52" s="181"/>
      <c r="D52" s="179" t="s">
        <v>498</v>
      </c>
      <c r="E52" s="179" t="s">
        <v>294</v>
      </c>
      <c r="F52" s="196" t="s">
        <v>12</v>
      </c>
      <c r="G52" s="178">
        <v>1</v>
      </c>
      <c r="H52" s="181"/>
      <c r="I52" s="181"/>
      <c r="J52" s="193">
        <v>4.1666666666666664E-2</v>
      </c>
      <c r="K52" s="179" t="s">
        <v>27</v>
      </c>
      <c r="L52" s="178">
        <v>2</v>
      </c>
      <c r="M52" s="179" t="s">
        <v>1287</v>
      </c>
      <c r="N52" s="201">
        <f>H49*L52</f>
        <v>3000</v>
      </c>
      <c r="O52" s="181"/>
      <c r="P52" s="181"/>
      <c r="Q52" s="214">
        <f>N52/$O$2</f>
        <v>0.70323488045007032</v>
      </c>
      <c r="R52" s="191">
        <v>1</v>
      </c>
      <c r="S52" s="14" t="s">
        <v>503</v>
      </c>
      <c r="T52" s="85" t="s">
        <v>504</v>
      </c>
      <c r="U52" s="85"/>
      <c r="V52" s="85"/>
      <c r="W52" s="85"/>
      <c r="X52" s="85"/>
      <c r="Y52" s="85"/>
      <c r="Z52" s="85"/>
      <c r="AA52" s="85"/>
      <c r="AB52" s="85"/>
      <c r="AC52" s="85"/>
      <c r="AD52" s="85"/>
      <c r="AE52" s="85"/>
      <c r="AF52" s="85"/>
      <c r="AG52" s="85"/>
      <c r="AH52" s="85"/>
      <c r="AI52" s="85"/>
      <c r="AJ52" s="85"/>
      <c r="AK52" s="85"/>
      <c r="AL52" s="85"/>
      <c r="AM52" s="85"/>
      <c r="AN52" s="85"/>
    </row>
    <row r="53" spans="1:40" ht="14.25" customHeight="1" x14ac:dyDescent="0.2">
      <c r="A53" s="181"/>
      <c r="B53" s="219"/>
      <c r="C53" s="181"/>
      <c r="D53" s="181"/>
      <c r="E53" s="181"/>
      <c r="F53" s="181"/>
      <c r="G53" s="181"/>
      <c r="H53" s="181"/>
      <c r="I53" s="181"/>
      <c r="J53" s="181"/>
      <c r="K53" s="181"/>
      <c r="L53" s="181"/>
      <c r="M53" s="181"/>
      <c r="N53" s="181"/>
      <c r="O53" s="181"/>
      <c r="P53" s="181"/>
      <c r="Q53" s="215"/>
      <c r="R53" s="181"/>
      <c r="S53" s="14" t="s">
        <v>508</v>
      </c>
      <c r="T53" s="85" t="s">
        <v>509</v>
      </c>
      <c r="U53" s="85"/>
      <c r="V53" s="85"/>
      <c r="W53" s="85"/>
      <c r="X53" s="85"/>
      <c r="Y53" s="85"/>
      <c r="Z53" s="85"/>
      <c r="AA53" s="85"/>
      <c r="AB53" s="85"/>
      <c r="AC53" s="85"/>
      <c r="AD53" s="85"/>
      <c r="AE53" s="85"/>
      <c r="AF53" s="85"/>
      <c r="AG53" s="85"/>
      <c r="AH53" s="85"/>
      <c r="AI53" s="85"/>
      <c r="AJ53" s="85"/>
      <c r="AK53" s="85"/>
      <c r="AL53" s="85"/>
      <c r="AM53" s="85"/>
      <c r="AN53" s="85"/>
    </row>
    <row r="54" spans="1:40" ht="14.25" customHeight="1" x14ac:dyDescent="0.2">
      <c r="A54" s="181"/>
      <c r="B54" s="219"/>
      <c r="C54" s="181"/>
      <c r="D54" s="176"/>
      <c r="E54" s="176"/>
      <c r="F54" s="176"/>
      <c r="G54" s="176"/>
      <c r="H54" s="181"/>
      <c r="I54" s="181"/>
      <c r="J54" s="176"/>
      <c r="K54" s="176"/>
      <c r="L54" s="176"/>
      <c r="M54" s="176"/>
      <c r="N54" s="176"/>
      <c r="O54" s="181"/>
      <c r="P54" s="181"/>
      <c r="Q54" s="216"/>
      <c r="R54" s="176"/>
      <c r="S54" s="40" t="s">
        <v>510</v>
      </c>
      <c r="T54" s="85" t="s">
        <v>512</v>
      </c>
      <c r="U54" s="85"/>
      <c r="V54" s="85"/>
      <c r="W54" s="85"/>
      <c r="X54" s="85"/>
      <c r="Y54" s="85"/>
      <c r="Z54" s="85"/>
      <c r="AA54" s="85"/>
      <c r="AB54" s="85"/>
      <c r="AC54" s="85"/>
      <c r="AD54" s="85"/>
      <c r="AE54" s="85"/>
      <c r="AF54" s="85"/>
      <c r="AG54" s="85"/>
      <c r="AH54" s="85"/>
      <c r="AI54" s="85"/>
      <c r="AJ54" s="85"/>
      <c r="AK54" s="85"/>
      <c r="AL54" s="85"/>
      <c r="AM54" s="85"/>
      <c r="AN54" s="85"/>
    </row>
    <row r="55" spans="1:40" ht="15" customHeight="1" x14ac:dyDescent="0.2">
      <c r="A55" s="181"/>
      <c r="B55" s="219"/>
      <c r="C55" s="181"/>
      <c r="D55" s="179" t="s">
        <v>515</v>
      </c>
      <c r="E55" s="179" t="s">
        <v>516</v>
      </c>
      <c r="F55" s="179" t="s">
        <v>517</v>
      </c>
      <c r="G55" s="178">
        <v>1</v>
      </c>
      <c r="H55" s="181"/>
      <c r="I55" s="181"/>
      <c r="J55" s="175" t="s">
        <v>27</v>
      </c>
      <c r="K55" s="179" t="s">
        <v>27</v>
      </c>
      <c r="L55" s="178">
        <v>6.3</v>
      </c>
      <c r="M55" s="179" t="s">
        <v>1291</v>
      </c>
      <c r="N55" s="180">
        <f>L55*H49</f>
        <v>9450</v>
      </c>
      <c r="O55" s="181"/>
      <c r="P55" s="181"/>
      <c r="Q55" s="214">
        <f>N55/$O$2</f>
        <v>2.2151898734177213</v>
      </c>
      <c r="R55" s="191">
        <v>1</v>
      </c>
      <c r="S55" s="14" t="s">
        <v>521</v>
      </c>
      <c r="T55" s="85" t="s">
        <v>522</v>
      </c>
      <c r="U55" s="85"/>
      <c r="V55" s="85"/>
      <c r="W55" s="85"/>
      <c r="X55" s="85"/>
      <c r="Y55" s="85"/>
      <c r="Z55" s="85"/>
      <c r="AA55" s="85"/>
      <c r="AB55" s="85"/>
      <c r="AC55" s="85"/>
      <c r="AD55" s="85"/>
      <c r="AE55" s="85"/>
      <c r="AF55" s="85"/>
      <c r="AG55" s="85"/>
      <c r="AH55" s="85"/>
      <c r="AI55" s="85"/>
      <c r="AJ55" s="85"/>
      <c r="AK55" s="85"/>
      <c r="AL55" s="85"/>
      <c r="AM55" s="85"/>
      <c r="AN55" s="85"/>
    </row>
    <row r="56" spans="1:40" ht="14.25" customHeight="1" x14ac:dyDescent="0.2">
      <c r="A56" s="181"/>
      <c r="B56" s="219"/>
      <c r="C56" s="181"/>
      <c r="D56" s="176"/>
      <c r="E56" s="176"/>
      <c r="F56" s="176"/>
      <c r="G56" s="176"/>
      <c r="H56" s="181"/>
      <c r="I56" s="176"/>
      <c r="J56" s="176"/>
      <c r="K56" s="176"/>
      <c r="L56" s="176"/>
      <c r="M56" s="176"/>
      <c r="N56" s="176"/>
      <c r="O56" s="181"/>
      <c r="P56" s="181"/>
      <c r="Q56" s="216"/>
      <c r="R56" s="176"/>
      <c r="S56" s="14" t="s">
        <v>524</v>
      </c>
      <c r="T56" s="85" t="s">
        <v>525</v>
      </c>
      <c r="U56" s="85"/>
      <c r="V56" s="85"/>
      <c r="W56" s="85"/>
      <c r="X56" s="85"/>
      <c r="Y56" s="85"/>
      <c r="Z56" s="85"/>
      <c r="AA56" s="85"/>
      <c r="AB56" s="85"/>
      <c r="AC56" s="85"/>
      <c r="AD56" s="85"/>
      <c r="AE56" s="85"/>
      <c r="AF56" s="85"/>
      <c r="AG56" s="85"/>
      <c r="AH56" s="85"/>
      <c r="AI56" s="85"/>
      <c r="AJ56" s="85"/>
      <c r="AK56" s="85"/>
      <c r="AL56" s="85"/>
      <c r="AM56" s="85"/>
      <c r="AN56" s="85"/>
    </row>
    <row r="57" spans="1:40" ht="17.25" customHeight="1" x14ac:dyDescent="0.2">
      <c r="A57" s="181"/>
      <c r="B57" s="219"/>
      <c r="C57" s="181"/>
      <c r="D57" s="179" t="s">
        <v>526</v>
      </c>
      <c r="E57" s="179" t="s">
        <v>527</v>
      </c>
      <c r="F57" s="179" t="s">
        <v>23</v>
      </c>
      <c r="G57" s="182">
        <v>1</v>
      </c>
      <c r="H57" s="181"/>
      <c r="I57" s="183" t="s">
        <v>166</v>
      </c>
      <c r="J57" s="175" t="s">
        <v>27</v>
      </c>
      <c r="K57" s="179" t="s">
        <v>27</v>
      </c>
      <c r="L57" s="178">
        <v>1</v>
      </c>
      <c r="M57" s="179" t="s">
        <v>1294</v>
      </c>
      <c r="N57" s="180">
        <f>L57*H49</f>
        <v>1500</v>
      </c>
      <c r="O57" s="181"/>
      <c r="P57" s="181"/>
      <c r="Q57" s="214">
        <f>N57/$O$2</f>
        <v>0.35161744022503516</v>
      </c>
      <c r="R57" s="191">
        <v>1</v>
      </c>
      <c r="S57" s="40" t="s">
        <v>530</v>
      </c>
      <c r="T57" s="85" t="s">
        <v>531</v>
      </c>
      <c r="U57" s="85"/>
      <c r="V57" s="85"/>
      <c r="W57" s="85"/>
      <c r="X57" s="85"/>
      <c r="Y57" s="85"/>
      <c r="Z57" s="85"/>
      <c r="AA57" s="85"/>
      <c r="AB57" s="85"/>
      <c r="AC57" s="85"/>
      <c r="AD57" s="85"/>
      <c r="AE57" s="85"/>
      <c r="AF57" s="85"/>
      <c r="AG57" s="85"/>
      <c r="AH57" s="85"/>
      <c r="AI57" s="85"/>
      <c r="AJ57" s="85"/>
      <c r="AK57" s="85"/>
      <c r="AL57" s="85"/>
      <c r="AM57" s="85"/>
      <c r="AN57" s="85"/>
    </row>
    <row r="58" spans="1:40" ht="14.25" customHeight="1" x14ac:dyDescent="0.2">
      <c r="A58" s="181"/>
      <c r="B58" s="219"/>
      <c r="C58" s="181"/>
      <c r="D58" s="181"/>
      <c r="E58" s="181"/>
      <c r="F58" s="181"/>
      <c r="G58" s="181"/>
      <c r="H58" s="181"/>
      <c r="I58" s="181"/>
      <c r="J58" s="181"/>
      <c r="K58" s="181"/>
      <c r="L58" s="181"/>
      <c r="M58" s="181"/>
      <c r="N58" s="181"/>
      <c r="O58" s="181"/>
      <c r="P58" s="181"/>
      <c r="Q58" s="215"/>
      <c r="R58" s="181"/>
      <c r="S58" s="14" t="s">
        <v>947</v>
      </c>
      <c r="T58" s="85" t="s">
        <v>948</v>
      </c>
      <c r="U58" s="85"/>
      <c r="V58" s="85"/>
      <c r="W58" s="85"/>
      <c r="X58" s="85"/>
      <c r="Y58" s="85"/>
      <c r="Z58" s="85"/>
      <c r="AA58" s="85"/>
      <c r="AB58" s="85"/>
      <c r="AC58" s="85"/>
      <c r="AD58" s="85"/>
      <c r="AE58" s="85"/>
      <c r="AF58" s="85"/>
      <c r="AG58" s="85"/>
      <c r="AH58" s="85"/>
      <c r="AI58" s="85"/>
      <c r="AJ58" s="85"/>
      <c r="AK58" s="85"/>
      <c r="AL58" s="85"/>
      <c r="AM58" s="85"/>
      <c r="AN58" s="85"/>
    </row>
    <row r="59" spans="1:40" ht="14.25" customHeight="1" x14ac:dyDescent="0.2">
      <c r="A59" s="181"/>
      <c r="B59" s="220"/>
      <c r="C59" s="176"/>
      <c r="D59" s="176"/>
      <c r="E59" s="176"/>
      <c r="F59" s="176"/>
      <c r="G59" s="176"/>
      <c r="H59" s="176"/>
      <c r="I59" s="176"/>
      <c r="J59" s="176"/>
      <c r="K59" s="176"/>
      <c r="L59" s="176"/>
      <c r="M59" s="176"/>
      <c r="N59" s="176"/>
      <c r="O59" s="181"/>
      <c r="P59" s="181"/>
      <c r="Q59" s="216"/>
      <c r="R59" s="176"/>
      <c r="S59" s="14" t="s">
        <v>536</v>
      </c>
      <c r="T59" s="85" t="s">
        <v>537</v>
      </c>
      <c r="U59" s="85"/>
      <c r="V59" s="85"/>
      <c r="W59" s="85"/>
      <c r="X59" s="85"/>
      <c r="Y59" s="85"/>
      <c r="Z59" s="85"/>
      <c r="AA59" s="85"/>
      <c r="AB59" s="85"/>
      <c r="AC59" s="85"/>
      <c r="AD59" s="85"/>
      <c r="AE59" s="85"/>
      <c r="AF59" s="85"/>
      <c r="AG59" s="85"/>
      <c r="AH59" s="85"/>
      <c r="AI59" s="85"/>
      <c r="AJ59" s="85"/>
      <c r="AK59" s="85"/>
      <c r="AL59" s="85"/>
      <c r="AM59" s="85"/>
      <c r="AN59" s="85"/>
    </row>
    <row r="60" spans="1:40" ht="14.25" customHeight="1" x14ac:dyDescent="0.2">
      <c r="A60" s="181"/>
      <c r="B60" s="183" t="s">
        <v>321</v>
      </c>
      <c r="C60" s="184" t="s">
        <v>322</v>
      </c>
      <c r="D60" s="225" t="s">
        <v>323</v>
      </c>
      <c r="E60" s="179" t="s">
        <v>13</v>
      </c>
      <c r="F60" s="179" t="s">
        <v>13</v>
      </c>
      <c r="G60" s="182">
        <v>1</v>
      </c>
      <c r="H60" s="182">
        <v>5200</v>
      </c>
      <c r="I60" s="183" t="s">
        <v>166</v>
      </c>
      <c r="J60" s="214">
        <v>4.1666666666666666E-3</v>
      </c>
      <c r="K60" s="179" t="s">
        <v>27</v>
      </c>
      <c r="L60" s="178">
        <v>0.56899999999999995</v>
      </c>
      <c r="M60" s="179" t="s">
        <v>1298</v>
      </c>
      <c r="N60" s="180">
        <f>H60*L60</f>
        <v>2958.7999999999997</v>
      </c>
      <c r="O60" s="181"/>
      <c r="P60" s="181"/>
      <c r="Q60" s="214">
        <f>N60/$O$2</f>
        <v>0.69357712142522265</v>
      </c>
      <c r="R60" s="192">
        <v>3</v>
      </c>
      <c r="S60" s="14" t="s">
        <v>325</v>
      </c>
      <c r="T60" s="14" t="s">
        <v>326</v>
      </c>
      <c r="U60" s="14"/>
    </row>
    <row r="61" spans="1:40" ht="14.25" customHeight="1" x14ac:dyDescent="0.2">
      <c r="A61" s="181"/>
      <c r="B61" s="181"/>
      <c r="C61" s="181"/>
      <c r="D61" s="215"/>
      <c r="E61" s="181"/>
      <c r="F61" s="181"/>
      <c r="G61" s="181"/>
      <c r="H61" s="181"/>
      <c r="I61" s="181"/>
      <c r="J61" s="215"/>
      <c r="K61" s="181"/>
      <c r="L61" s="181"/>
      <c r="M61" s="181"/>
      <c r="N61" s="181"/>
      <c r="O61" s="181"/>
      <c r="P61" s="181"/>
      <c r="Q61" s="215"/>
      <c r="R61" s="181"/>
      <c r="S61" s="14" t="s">
        <v>327</v>
      </c>
      <c r="T61" s="14" t="s">
        <v>328</v>
      </c>
      <c r="U61" s="14"/>
    </row>
    <row r="62" spans="1:40" ht="14.25" customHeight="1" x14ac:dyDescent="0.2">
      <c r="A62" s="181"/>
      <c r="B62" s="181"/>
      <c r="C62" s="181"/>
      <c r="D62" s="216"/>
      <c r="E62" s="176"/>
      <c r="F62" s="176"/>
      <c r="G62" s="176"/>
      <c r="H62" s="181"/>
      <c r="I62" s="181"/>
      <c r="J62" s="216"/>
      <c r="K62" s="176"/>
      <c r="L62" s="176"/>
      <c r="M62" s="176"/>
      <c r="N62" s="176"/>
      <c r="O62" s="181"/>
      <c r="P62" s="181"/>
      <c r="Q62" s="216"/>
      <c r="R62" s="176"/>
      <c r="S62" s="40" t="s">
        <v>329</v>
      </c>
      <c r="T62" s="147" t="s">
        <v>330</v>
      </c>
    </row>
    <row r="63" spans="1:40" ht="14.25" customHeight="1" x14ac:dyDescent="0.2">
      <c r="A63" s="181"/>
      <c r="B63" s="181"/>
      <c r="C63" s="181"/>
      <c r="D63" s="225" t="s">
        <v>331</v>
      </c>
      <c r="E63" s="179" t="s">
        <v>279</v>
      </c>
      <c r="F63" s="179" t="s">
        <v>15</v>
      </c>
      <c r="G63" s="178">
        <v>1</v>
      </c>
      <c r="H63" s="181"/>
      <c r="I63" s="181"/>
      <c r="J63" s="214" t="s">
        <v>27</v>
      </c>
      <c r="K63" s="179" t="s">
        <v>27</v>
      </c>
      <c r="L63" s="178">
        <v>0.215</v>
      </c>
      <c r="M63" s="179" t="s">
        <v>1299</v>
      </c>
      <c r="N63" s="180">
        <f>H60*L63</f>
        <v>1118</v>
      </c>
      <c r="O63" s="181"/>
      <c r="P63" s="181"/>
      <c r="Q63" s="214">
        <f>N63/$O$2</f>
        <v>0.26207219878105953</v>
      </c>
      <c r="R63" s="191">
        <v>2</v>
      </c>
      <c r="S63" s="14" t="s">
        <v>333</v>
      </c>
      <c r="T63" s="14" t="s">
        <v>334</v>
      </c>
    </row>
    <row r="64" spans="1:40" ht="14.25" customHeight="1" x14ac:dyDescent="0.2">
      <c r="A64" s="181"/>
      <c r="B64" s="181"/>
      <c r="C64" s="181"/>
      <c r="D64" s="216"/>
      <c r="E64" s="176"/>
      <c r="F64" s="176"/>
      <c r="G64" s="176"/>
      <c r="H64" s="181"/>
      <c r="I64" s="181"/>
      <c r="J64" s="216"/>
      <c r="K64" s="176"/>
      <c r="L64" s="176"/>
      <c r="M64" s="176"/>
      <c r="N64" s="176"/>
      <c r="O64" s="181"/>
      <c r="P64" s="181"/>
      <c r="Q64" s="216"/>
      <c r="R64" s="176"/>
      <c r="S64" s="40" t="s">
        <v>335</v>
      </c>
      <c r="T64" s="14" t="s">
        <v>336</v>
      </c>
    </row>
    <row r="65" spans="1:20" ht="15" customHeight="1" x14ac:dyDescent="0.2">
      <c r="A65" s="181"/>
      <c r="B65" s="181"/>
      <c r="C65" s="181"/>
      <c r="D65" s="225" t="s">
        <v>5</v>
      </c>
      <c r="E65" s="179" t="s">
        <v>92</v>
      </c>
      <c r="F65" s="179" t="s">
        <v>5</v>
      </c>
      <c r="G65" s="178">
        <v>1</v>
      </c>
      <c r="H65" s="181"/>
      <c r="I65" s="181"/>
      <c r="J65" s="214">
        <v>5.2083333333333336E-2</v>
      </c>
      <c r="K65" s="179" t="s">
        <v>27</v>
      </c>
      <c r="L65" s="178">
        <v>1.56</v>
      </c>
      <c r="M65" s="179" t="s">
        <v>1300</v>
      </c>
      <c r="N65" s="180">
        <f>L65*H60</f>
        <v>8112</v>
      </c>
      <c r="O65" s="181"/>
      <c r="P65" s="181"/>
      <c r="Q65" s="214">
        <f>N65/$O$2</f>
        <v>1.9015471167369902</v>
      </c>
      <c r="R65" s="191">
        <v>2</v>
      </c>
      <c r="S65" s="40" t="s">
        <v>338</v>
      </c>
      <c r="T65" s="14" t="s">
        <v>339</v>
      </c>
    </row>
    <row r="66" spans="1:20" ht="14.25" customHeight="1" x14ac:dyDescent="0.2">
      <c r="A66" s="181"/>
      <c r="B66" s="181"/>
      <c r="C66" s="181"/>
      <c r="D66" s="216"/>
      <c r="E66" s="176"/>
      <c r="F66" s="176"/>
      <c r="G66" s="176"/>
      <c r="H66" s="181"/>
      <c r="I66" s="181"/>
      <c r="J66" s="216"/>
      <c r="K66" s="176"/>
      <c r="L66" s="176"/>
      <c r="M66" s="176"/>
      <c r="N66" s="176"/>
      <c r="O66" s="181"/>
      <c r="P66" s="181"/>
      <c r="Q66" s="216"/>
      <c r="R66" s="176"/>
      <c r="S66" s="40" t="s">
        <v>340</v>
      </c>
      <c r="T66" s="14" t="s">
        <v>341</v>
      </c>
    </row>
    <row r="67" spans="1:20" ht="17.25" customHeight="1" x14ac:dyDescent="0.2">
      <c r="A67" s="181"/>
      <c r="B67" s="181"/>
      <c r="C67" s="181"/>
      <c r="D67" s="225" t="s">
        <v>286</v>
      </c>
      <c r="E67" s="179" t="s">
        <v>287</v>
      </c>
      <c r="F67" s="179" t="s">
        <v>10</v>
      </c>
      <c r="G67" s="182">
        <v>2</v>
      </c>
      <c r="H67" s="181"/>
      <c r="I67" s="181"/>
      <c r="J67" s="214">
        <v>0.125</v>
      </c>
      <c r="K67" s="179" t="s">
        <v>27</v>
      </c>
      <c r="L67" s="178">
        <v>2.5</v>
      </c>
      <c r="M67" s="179" t="s">
        <v>1302</v>
      </c>
      <c r="N67" s="180">
        <f>L67*H60*J67*G67</f>
        <v>3250</v>
      </c>
      <c r="O67" s="181"/>
      <c r="P67" s="181"/>
      <c r="Q67" s="214">
        <f>N67/$O$2</f>
        <v>0.76183778715424288</v>
      </c>
      <c r="R67" s="191">
        <v>3</v>
      </c>
      <c r="S67" s="14" t="s">
        <v>343</v>
      </c>
      <c r="T67" s="14" t="s">
        <v>344</v>
      </c>
    </row>
    <row r="68" spans="1:20" ht="14.25" customHeight="1" x14ac:dyDescent="0.2">
      <c r="A68" s="181"/>
      <c r="B68" s="181"/>
      <c r="C68" s="181"/>
      <c r="D68" s="215"/>
      <c r="E68" s="181"/>
      <c r="F68" s="181"/>
      <c r="G68" s="181"/>
      <c r="H68" s="181"/>
      <c r="I68" s="181"/>
      <c r="J68" s="215"/>
      <c r="K68" s="181"/>
      <c r="L68" s="181"/>
      <c r="M68" s="181"/>
      <c r="N68" s="181"/>
      <c r="O68" s="181"/>
      <c r="P68" s="181"/>
      <c r="Q68" s="215"/>
      <c r="R68" s="181"/>
      <c r="S68" s="97" t="s">
        <v>345</v>
      </c>
      <c r="T68" s="44" t="s">
        <v>346</v>
      </c>
    </row>
    <row r="69" spans="1:20" ht="14.25" customHeight="1" x14ac:dyDescent="0.2">
      <c r="A69" s="181"/>
      <c r="B69" s="181"/>
      <c r="C69" s="181"/>
      <c r="D69" s="215"/>
      <c r="E69" s="181"/>
      <c r="F69" s="181"/>
      <c r="G69" s="181"/>
      <c r="H69" s="181"/>
      <c r="I69" s="181"/>
      <c r="J69" s="215"/>
      <c r="K69" s="181"/>
      <c r="L69" s="181"/>
      <c r="M69" s="181"/>
      <c r="N69" s="181"/>
      <c r="O69" s="181"/>
      <c r="P69" s="181"/>
      <c r="Q69" s="215"/>
      <c r="R69" s="181"/>
      <c r="S69" s="14" t="s">
        <v>347</v>
      </c>
      <c r="T69" s="14" t="s">
        <v>348</v>
      </c>
    </row>
    <row r="70" spans="1:20" ht="14.25" customHeight="1" x14ac:dyDescent="0.2">
      <c r="A70" s="176"/>
      <c r="B70" s="176"/>
      <c r="C70" s="176"/>
      <c r="D70" s="216"/>
      <c r="E70" s="176"/>
      <c r="F70" s="176"/>
      <c r="G70" s="176"/>
      <c r="H70" s="176"/>
      <c r="I70" s="176"/>
      <c r="J70" s="216"/>
      <c r="K70" s="176"/>
      <c r="L70" s="176"/>
      <c r="M70" s="176"/>
      <c r="N70" s="176"/>
      <c r="O70" s="176"/>
      <c r="P70" s="176"/>
      <c r="Q70" s="216"/>
      <c r="R70" s="176"/>
      <c r="S70" s="14" t="s">
        <v>349</v>
      </c>
      <c r="T70" s="14" t="s">
        <v>350</v>
      </c>
    </row>
    <row r="71" spans="1:20" ht="14.25" customHeight="1" x14ac:dyDescent="0.2">
      <c r="T71" s="84"/>
    </row>
    <row r="72" spans="1:20" ht="14.25" customHeight="1" x14ac:dyDescent="0.2">
      <c r="T72" s="84"/>
    </row>
    <row r="73" spans="1:20" ht="14.25" customHeight="1" x14ac:dyDescent="0.2">
      <c r="F73" s="28" t="s">
        <v>309</v>
      </c>
      <c r="G73" s="28" t="s">
        <v>128</v>
      </c>
      <c r="H73" s="28" t="s">
        <v>1304</v>
      </c>
      <c r="T73" s="84"/>
    </row>
    <row r="74" spans="1:20" ht="14.25" customHeight="1" x14ac:dyDescent="0.2">
      <c r="F74" s="50" t="s">
        <v>140</v>
      </c>
      <c r="G74" s="72">
        <f t="shared" ref="G74:G90" si="4">SUMIF($F$2:$F$70,F74,N$2:N$70)</f>
        <v>359812.5</v>
      </c>
      <c r="H74" s="73">
        <f t="shared" ref="H74:H90" si="5">SUMIF($F$2:$F$70,F74,Q$2:Q$70)</f>
        <v>84.34423347398031</v>
      </c>
      <c r="T74" s="84"/>
    </row>
    <row r="75" spans="1:20" ht="14.25" customHeight="1" x14ac:dyDescent="0.2">
      <c r="F75" s="14" t="s">
        <v>156</v>
      </c>
      <c r="G75" s="72">
        <f t="shared" si="4"/>
        <v>14243.4375</v>
      </c>
      <c r="H75" s="73">
        <f t="shared" si="5"/>
        <v>3.3388273558368491</v>
      </c>
      <c r="T75" s="84"/>
    </row>
    <row r="76" spans="1:20" ht="14.25" customHeight="1" x14ac:dyDescent="0.2">
      <c r="F76" s="50" t="s">
        <v>3</v>
      </c>
      <c r="G76" s="72">
        <f t="shared" si="4"/>
        <v>6480</v>
      </c>
      <c r="H76" s="73">
        <f t="shared" si="5"/>
        <v>1.518987341772152</v>
      </c>
      <c r="T76" s="84"/>
    </row>
    <row r="77" spans="1:20" ht="14.25" customHeight="1" x14ac:dyDescent="0.2">
      <c r="F77" s="50" t="s">
        <v>4</v>
      </c>
      <c r="G77" s="72">
        <f t="shared" si="4"/>
        <v>13065</v>
      </c>
      <c r="H77" s="73">
        <f t="shared" si="5"/>
        <v>3.0625879043600563</v>
      </c>
      <c r="T77" s="84"/>
    </row>
    <row r="78" spans="1:20" ht="14.25" customHeight="1" x14ac:dyDescent="0.2">
      <c r="F78" s="50" t="s">
        <v>7</v>
      </c>
      <c r="G78" s="72">
        <f t="shared" si="4"/>
        <v>7617.5999999999995</v>
      </c>
      <c r="H78" s="73">
        <f t="shared" si="5"/>
        <v>1.7856540084388184</v>
      </c>
      <c r="T78" s="84"/>
    </row>
    <row r="79" spans="1:20" ht="14.25" customHeight="1" x14ac:dyDescent="0.2">
      <c r="F79" s="50" t="s">
        <v>8</v>
      </c>
      <c r="G79" s="72">
        <f t="shared" si="4"/>
        <v>22520</v>
      </c>
      <c r="H79" s="73">
        <f t="shared" si="5"/>
        <v>5.2789498359118614</v>
      </c>
      <c r="T79" s="84"/>
    </row>
    <row r="80" spans="1:20" ht="14.25" customHeight="1" x14ac:dyDescent="0.2">
      <c r="F80" s="50" t="s">
        <v>712</v>
      </c>
      <c r="G80" s="72">
        <f t="shared" si="4"/>
        <v>35200</v>
      </c>
      <c r="H80" s="73">
        <f t="shared" si="5"/>
        <v>8.2512892639474913</v>
      </c>
      <c r="T80" s="84"/>
    </row>
    <row r="81" spans="6:20" ht="14.25" customHeight="1" x14ac:dyDescent="0.2">
      <c r="F81" s="50" t="s">
        <v>14</v>
      </c>
      <c r="G81" s="72">
        <f t="shared" si="4"/>
        <v>480</v>
      </c>
      <c r="H81" s="73">
        <f t="shared" si="5"/>
        <v>0.11251758087201125</v>
      </c>
      <c r="T81" s="84"/>
    </row>
    <row r="82" spans="6:20" ht="14.25" customHeight="1" x14ac:dyDescent="0.2">
      <c r="F82" s="50" t="s">
        <v>12</v>
      </c>
      <c r="G82" s="72">
        <f t="shared" si="4"/>
        <v>9080</v>
      </c>
      <c r="H82" s="73">
        <f t="shared" si="5"/>
        <v>2.128457571495546</v>
      </c>
      <c r="T82" s="84"/>
    </row>
    <row r="83" spans="6:20" ht="14.25" customHeight="1" x14ac:dyDescent="0.2">
      <c r="F83" s="50" t="s">
        <v>13</v>
      </c>
      <c r="G83" s="72">
        <f t="shared" si="4"/>
        <v>3990.0499999999993</v>
      </c>
      <c r="H83" s="73">
        <f t="shared" si="5"/>
        <v>0.93531411157993427</v>
      </c>
      <c r="T83" s="84"/>
    </row>
    <row r="84" spans="6:20" ht="14.25" customHeight="1" x14ac:dyDescent="0.2">
      <c r="F84" s="50" t="s">
        <v>435</v>
      </c>
      <c r="G84" s="72">
        <f t="shared" si="4"/>
        <v>3910.5</v>
      </c>
      <c r="H84" s="73">
        <f t="shared" si="5"/>
        <v>0.91666666666666663</v>
      </c>
      <c r="T84" s="84"/>
    </row>
    <row r="85" spans="6:20" ht="14.25" customHeight="1" x14ac:dyDescent="0.2">
      <c r="F85" s="50" t="s">
        <v>19</v>
      </c>
      <c r="G85" s="72">
        <f t="shared" si="4"/>
        <v>201.96</v>
      </c>
      <c r="H85" s="73">
        <f t="shared" si="5"/>
        <v>4.7341772151898734E-2</v>
      </c>
      <c r="T85" s="84"/>
    </row>
    <row r="86" spans="6:20" ht="14.25" customHeight="1" x14ac:dyDescent="0.2">
      <c r="F86" s="50" t="s">
        <v>10</v>
      </c>
      <c r="G86" s="72">
        <f t="shared" si="4"/>
        <v>4187.5</v>
      </c>
      <c r="H86" s="73">
        <f t="shared" si="5"/>
        <v>0.98159868729488986</v>
      </c>
      <c r="T86" s="84"/>
    </row>
    <row r="87" spans="6:20" ht="14.25" customHeight="1" x14ac:dyDescent="0.2">
      <c r="F87" s="50" t="s">
        <v>517</v>
      </c>
      <c r="G87" s="72">
        <f t="shared" si="4"/>
        <v>9450</v>
      </c>
      <c r="H87" s="73">
        <f t="shared" si="5"/>
        <v>2.2151898734177213</v>
      </c>
      <c r="T87" s="84"/>
    </row>
    <row r="88" spans="6:20" ht="14.25" customHeight="1" x14ac:dyDescent="0.2">
      <c r="F88" s="50" t="s">
        <v>23</v>
      </c>
      <c r="G88" s="72">
        <f t="shared" si="4"/>
        <v>1500</v>
      </c>
      <c r="H88" s="73">
        <f t="shared" si="5"/>
        <v>0.35161744022503516</v>
      </c>
      <c r="T88" s="84"/>
    </row>
    <row r="89" spans="6:20" ht="14.25" customHeight="1" x14ac:dyDescent="0.2">
      <c r="F89" s="50" t="s">
        <v>15</v>
      </c>
      <c r="G89" s="72">
        <f t="shared" si="4"/>
        <v>1118</v>
      </c>
      <c r="H89" s="73">
        <f t="shared" si="5"/>
        <v>0.26207219878105953</v>
      </c>
      <c r="T89" s="84"/>
    </row>
    <row r="90" spans="6:20" ht="14.25" customHeight="1" x14ac:dyDescent="0.2">
      <c r="F90" s="50" t="s">
        <v>5</v>
      </c>
      <c r="G90" s="72">
        <f t="shared" si="4"/>
        <v>8112</v>
      </c>
      <c r="H90" s="73">
        <f t="shared" si="5"/>
        <v>1.9015471167369902</v>
      </c>
      <c r="T90" s="84"/>
    </row>
    <row r="91" spans="6:20" ht="14.25" customHeight="1" x14ac:dyDescent="0.2">
      <c r="T91" s="84"/>
    </row>
    <row r="92" spans="6:20" ht="14.25" customHeight="1" x14ac:dyDescent="0.2">
      <c r="T92" s="84"/>
    </row>
    <row r="93" spans="6:20" ht="14.25" customHeight="1" x14ac:dyDescent="0.2">
      <c r="T93" s="84"/>
    </row>
    <row r="94" spans="6:20" ht="14.25" customHeight="1" x14ac:dyDescent="0.2">
      <c r="F94" s="93" t="s">
        <v>631</v>
      </c>
      <c r="G94" s="28" t="s">
        <v>128</v>
      </c>
      <c r="H94" s="28" t="s">
        <v>1307</v>
      </c>
      <c r="T94" s="84"/>
    </row>
    <row r="95" spans="6:20" ht="14.25" customHeight="1" x14ac:dyDescent="0.2">
      <c r="F95" s="50" t="s">
        <v>140</v>
      </c>
      <c r="G95" s="72">
        <f t="shared" ref="G95:G105" si="6">SUMIF($E$2:$E$70,F95,N$2:N$70)</f>
        <v>359812.5</v>
      </c>
      <c r="H95" s="73">
        <f t="shared" ref="H95:H105" si="7">SUMIF($E$2:$E$70,F95,Q$2:Q$70)</f>
        <v>84.34423347398031</v>
      </c>
      <c r="T95" s="84"/>
    </row>
    <row r="96" spans="6:20" ht="14.25" customHeight="1" x14ac:dyDescent="0.2">
      <c r="F96" s="14" t="s">
        <v>155</v>
      </c>
      <c r="G96" s="72">
        <f t="shared" si="6"/>
        <v>44381.037499999999</v>
      </c>
      <c r="H96" s="73">
        <f t="shared" si="7"/>
        <v>10.403431200187528</v>
      </c>
      <c r="T96" s="84"/>
    </row>
    <row r="97" spans="6:20" ht="14.25" customHeight="1" x14ac:dyDescent="0.2">
      <c r="F97" s="50" t="s">
        <v>92</v>
      </c>
      <c r="G97" s="72">
        <f t="shared" si="6"/>
        <v>27657</v>
      </c>
      <c r="H97" s="73">
        <f t="shared" si="7"/>
        <v>6.4831223628691994</v>
      </c>
      <c r="T97" s="84"/>
    </row>
    <row r="98" spans="6:20" ht="14.25" customHeight="1" x14ac:dyDescent="0.2">
      <c r="F98" s="50" t="s">
        <v>712</v>
      </c>
      <c r="G98" s="72">
        <f t="shared" si="6"/>
        <v>35200</v>
      </c>
      <c r="H98" s="73">
        <f t="shared" si="7"/>
        <v>8.2512892639474913</v>
      </c>
      <c r="T98" s="84"/>
    </row>
    <row r="99" spans="6:20" ht="14.25" customHeight="1" x14ac:dyDescent="0.2">
      <c r="F99" s="50" t="s">
        <v>279</v>
      </c>
      <c r="G99" s="72">
        <f t="shared" si="6"/>
        <v>1598</v>
      </c>
      <c r="H99" s="73">
        <f t="shared" si="7"/>
        <v>0.37458977965307078</v>
      </c>
      <c r="T99" s="84"/>
    </row>
    <row r="100" spans="6:20" ht="14.25" customHeight="1" x14ac:dyDescent="0.2">
      <c r="F100" s="50" t="s">
        <v>294</v>
      </c>
      <c r="G100" s="72">
        <f t="shared" si="6"/>
        <v>9080</v>
      </c>
      <c r="H100" s="73">
        <f t="shared" si="7"/>
        <v>2.128457571495546</v>
      </c>
      <c r="T100" s="84"/>
    </row>
    <row r="101" spans="6:20" ht="14.25" customHeight="1" x14ac:dyDescent="0.2">
      <c r="F101" s="50" t="s">
        <v>13</v>
      </c>
      <c r="G101" s="72">
        <f t="shared" si="6"/>
        <v>3990.0499999999993</v>
      </c>
      <c r="H101" s="73">
        <f t="shared" si="7"/>
        <v>0.93531411157993427</v>
      </c>
      <c r="T101" s="84"/>
    </row>
    <row r="102" spans="6:20" ht="14.25" customHeight="1" x14ac:dyDescent="0.2">
      <c r="F102" s="50" t="s">
        <v>434</v>
      </c>
      <c r="G102" s="72">
        <f t="shared" si="6"/>
        <v>3910.5</v>
      </c>
      <c r="H102" s="73">
        <f t="shared" si="7"/>
        <v>0.91666666666666663</v>
      </c>
      <c r="T102" s="84"/>
    </row>
    <row r="103" spans="6:20" ht="14.25" customHeight="1" x14ac:dyDescent="0.2">
      <c r="F103" s="50" t="s">
        <v>287</v>
      </c>
      <c r="G103" s="72">
        <f t="shared" si="6"/>
        <v>4389.46</v>
      </c>
      <c r="H103" s="73">
        <f t="shared" si="7"/>
        <v>1.0289404594467886</v>
      </c>
      <c r="T103" s="84"/>
    </row>
    <row r="104" spans="6:20" ht="14.25" customHeight="1" x14ac:dyDescent="0.2">
      <c r="F104" s="50" t="s">
        <v>516</v>
      </c>
      <c r="G104" s="72">
        <f t="shared" si="6"/>
        <v>9450</v>
      </c>
      <c r="H104" s="73">
        <f t="shared" si="7"/>
        <v>2.2151898734177213</v>
      </c>
      <c r="T104" s="84"/>
    </row>
    <row r="105" spans="6:20" ht="14.25" customHeight="1" x14ac:dyDescent="0.2">
      <c r="F105" s="50" t="s">
        <v>527</v>
      </c>
      <c r="G105" s="72">
        <f t="shared" si="6"/>
        <v>1500</v>
      </c>
      <c r="H105" s="73">
        <f t="shared" si="7"/>
        <v>0.35161744022503516</v>
      </c>
      <c r="T105" s="84"/>
    </row>
    <row r="106" spans="6:20" ht="14.25" customHeight="1" x14ac:dyDescent="0.2">
      <c r="T106" s="84"/>
    </row>
    <row r="107" spans="6:20" ht="14.25" customHeight="1" x14ac:dyDescent="0.2">
      <c r="T107" s="84"/>
    </row>
    <row r="108" spans="6:20" ht="14.25" customHeight="1" x14ac:dyDescent="0.2">
      <c r="T108" s="84"/>
    </row>
    <row r="109" spans="6:20" ht="14.25" customHeight="1" x14ac:dyDescent="0.2">
      <c r="T109" s="84"/>
    </row>
    <row r="110" spans="6:20" ht="14.25" customHeight="1" x14ac:dyDescent="0.2">
      <c r="T110" s="84"/>
    </row>
    <row r="111" spans="6:20" ht="14.25" customHeight="1" x14ac:dyDescent="0.2">
      <c r="T111" s="84"/>
    </row>
    <row r="112" spans="6:20" ht="14.25" customHeight="1" x14ac:dyDescent="0.2">
      <c r="T112" s="84"/>
    </row>
    <row r="113" spans="20:20" ht="14.25" customHeight="1" x14ac:dyDescent="0.2">
      <c r="T113" s="84"/>
    </row>
    <row r="114" spans="20:20" ht="14.25" customHeight="1" x14ac:dyDescent="0.2">
      <c r="T114" s="84"/>
    </row>
    <row r="115" spans="20:20" ht="14.25" customHeight="1" x14ac:dyDescent="0.2">
      <c r="T115" s="84"/>
    </row>
    <row r="116" spans="20:20" ht="14.25" customHeight="1" x14ac:dyDescent="0.2">
      <c r="T116" s="84"/>
    </row>
    <row r="117" spans="20:20" ht="14.25" customHeight="1" x14ac:dyDescent="0.2">
      <c r="T117" s="84"/>
    </row>
    <row r="118" spans="20:20" ht="14.25" customHeight="1" x14ac:dyDescent="0.2">
      <c r="T118" s="84"/>
    </row>
    <row r="119" spans="20:20" ht="14.25" customHeight="1" x14ac:dyDescent="0.2">
      <c r="T119" s="84"/>
    </row>
    <row r="120" spans="20:20" ht="14.25" customHeight="1" x14ac:dyDescent="0.2">
      <c r="T120" s="84"/>
    </row>
    <row r="121" spans="20:20" ht="14.25" customHeight="1" x14ac:dyDescent="0.2">
      <c r="T121" s="84"/>
    </row>
    <row r="122" spans="20:20" ht="14.25" customHeight="1" x14ac:dyDescent="0.2">
      <c r="T122" s="84"/>
    </row>
    <row r="123" spans="20:20" ht="14.25" customHeight="1" x14ac:dyDescent="0.2">
      <c r="T123" s="84"/>
    </row>
    <row r="124" spans="20:20" ht="14.25" customHeight="1" x14ac:dyDescent="0.2">
      <c r="T124" s="84"/>
    </row>
    <row r="125" spans="20:20" ht="14.25" customHeight="1" x14ac:dyDescent="0.2">
      <c r="T125" s="84"/>
    </row>
    <row r="126" spans="20:20" ht="14.25" customHeight="1" x14ac:dyDescent="0.2">
      <c r="T126" s="84"/>
    </row>
    <row r="127" spans="20:20" ht="14.25" customHeight="1" x14ac:dyDescent="0.2">
      <c r="T127" s="84"/>
    </row>
    <row r="128" spans="20: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287">
    <mergeCell ref="E17:E19"/>
    <mergeCell ref="F17:F19"/>
    <mergeCell ref="G17:G19"/>
    <mergeCell ref="E20:E21"/>
    <mergeCell ref="F20:F21"/>
    <mergeCell ref="M7:M10"/>
    <mergeCell ref="N7:N10"/>
    <mergeCell ref="E11:E13"/>
    <mergeCell ref="F11:F13"/>
    <mergeCell ref="J7:J10"/>
    <mergeCell ref="J11:J13"/>
    <mergeCell ref="K11:K13"/>
    <mergeCell ref="L11:L13"/>
    <mergeCell ref="M11:M13"/>
    <mergeCell ref="N11:N13"/>
    <mergeCell ref="E7:E10"/>
    <mergeCell ref="F7:F10"/>
    <mergeCell ref="H7:H13"/>
    <mergeCell ref="I7:I13"/>
    <mergeCell ref="K7:K10"/>
    <mergeCell ref="L7:L10"/>
    <mergeCell ref="G11:G13"/>
    <mergeCell ref="T25:AC25"/>
    <mergeCell ref="Q2:Q3"/>
    <mergeCell ref="R2:R3"/>
    <mergeCell ref="Q7:Q10"/>
    <mergeCell ref="R7:R10"/>
    <mergeCell ref="Q11:Q13"/>
    <mergeCell ref="R11:R13"/>
    <mergeCell ref="R14:R16"/>
    <mergeCell ref="R17:R19"/>
    <mergeCell ref="R20:R21"/>
    <mergeCell ref="Q22:Q23"/>
    <mergeCell ref="R22:R23"/>
    <mergeCell ref="Q24:Q25"/>
    <mergeCell ref="R24:R25"/>
    <mergeCell ref="B24:B29"/>
    <mergeCell ref="C24:C29"/>
    <mergeCell ref="D24:D25"/>
    <mergeCell ref="E24:E25"/>
    <mergeCell ref="F24:F25"/>
    <mergeCell ref="G24:G29"/>
    <mergeCell ref="D27:D29"/>
    <mergeCell ref="E27:E29"/>
    <mergeCell ref="Q14:Q16"/>
    <mergeCell ref="Q17:Q19"/>
    <mergeCell ref="Q20:Q21"/>
    <mergeCell ref="J17:J19"/>
    <mergeCell ref="K17:K19"/>
    <mergeCell ref="J14:J16"/>
    <mergeCell ref="J20:J21"/>
    <mergeCell ref="K20:K21"/>
    <mergeCell ref="L20:L21"/>
    <mergeCell ref="J22:J23"/>
    <mergeCell ref="K22:K23"/>
    <mergeCell ref="H14:H23"/>
    <mergeCell ref="I14:I23"/>
    <mergeCell ref="K14:K16"/>
    <mergeCell ref="L14:L16"/>
    <mergeCell ref="L17:L19"/>
    <mergeCell ref="M22:M23"/>
    <mergeCell ref="H24:H29"/>
    <mergeCell ref="I24:I29"/>
    <mergeCell ref="J24:J25"/>
    <mergeCell ref="K24:K25"/>
    <mergeCell ref="L24:L25"/>
    <mergeCell ref="M24:M25"/>
    <mergeCell ref="G20:G21"/>
    <mergeCell ref="E22:E23"/>
    <mergeCell ref="F22:F23"/>
    <mergeCell ref="G22:G23"/>
    <mergeCell ref="L22:L23"/>
    <mergeCell ref="M33:M36"/>
    <mergeCell ref="N33:N36"/>
    <mergeCell ref="N24:N25"/>
    <mergeCell ref="N27:N29"/>
    <mergeCell ref="H33:H36"/>
    <mergeCell ref="I33:I36"/>
    <mergeCell ref="J33:J36"/>
    <mergeCell ref="K33:K36"/>
    <mergeCell ref="L33:L36"/>
    <mergeCell ref="J27:J29"/>
    <mergeCell ref="K27:K29"/>
    <mergeCell ref="L27:L29"/>
    <mergeCell ref="M27:M29"/>
    <mergeCell ref="L37:L40"/>
    <mergeCell ref="M37:M40"/>
    <mergeCell ref="T44:U44"/>
    <mergeCell ref="Q27:Q29"/>
    <mergeCell ref="Q33:Q36"/>
    <mergeCell ref="R33:R36"/>
    <mergeCell ref="H37:H42"/>
    <mergeCell ref="I37:I42"/>
    <mergeCell ref="J37:J40"/>
    <mergeCell ref="K37:K40"/>
    <mergeCell ref="Q41:Q42"/>
    <mergeCell ref="R41:R42"/>
    <mergeCell ref="Q37:Q40"/>
    <mergeCell ref="R37:R40"/>
    <mergeCell ref="J41:J42"/>
    <mergeCell ref="K41:K42"/>
    <mergeCell ref="L41:L42"/>
    <mergeCell ref="M41:M42"/>
    <mergeCell ref="N41:N42"/>
    <mergeCell ref="R27:R29"/>
    <mergeCell ref="Q43:Q45"/>
    <mergeCell ref="R43:R45"/>
    <mergeCell ref="N37:N40"/>
    <mergeCell ref="H43:H48"/>
    <mergeCell ref="N57:N59"/>
    <mergeCell ref="D60:D62"/>
    <mergeCell ref="D63:D64"/>
    <mergeCell ref="D67:D70"/>
    <mergeCell ref="E67:E70"/>
    <mergeCell ref="F67:F70"/>
    <mergeCell ref="G67:G70"/>
    <mergeCell ref="C2:C4"/>
    <mergeCell ref="C11:C13"/>
    <mergeCell ref="E60:E62"/>
    <mergeCell ref="F60:F62"/>
    <mergeCell ref="G60:G62"/>
    <mergeCell ref="C49:C59"/>
    <mergeCell ref="C60:C70"/>
    <mergeCell ref="D37:D40"/>
    <mergeCell ref="D41:D42"/>
    <mergeCell ref="C43:C48"/>
    <mergeCell ref="D43:D46"/>
    <mergeCell ref="D47:D48"/>
    <mergeCell ref="D49:D51"/>
    <mergeCell ref="D57:D59"/>
    <mergeCell ref="D65:D66"/>
    <mergeCell ref="E37:E40"/>
    <mergeCell ref="F37:F40"/>
    <mergeCell ref="B5:B6"/>
    <mergeCell ref="C5:C6"/>
    <mergeCell ref="H5:H6"/>
    <mergeCell ref="I5:I6"/>
    <mergeCell ref="J5:J6"/>
    <mergeCell ref="K5:K6"/>
    <mergeCell ref="B2:B4"/>
    <mergeCell ref="B7:B13"/>
    <mergeCell ref="M14:M16"/>
    <mergeCell ref="H2:H4"/>
    <mergeCell ref="I2:I4"/>
    <mergeCell ref="J2:J4"/>
    <mergeCell ref="K2:K4"/>
    <mergeCell ref="L2:L3"/>
    <mergeCell ref="M2:M3"/>
    <mergeCell ref="C7:C10"/>
    <mergeCell ref="D7:D10"/>
    <mergeCell ref="E14:E16"/>
    <mergeCell ref="F14:F16"/>
    <mergeCell ref="G14:G16"/>
    <mergeCell ref="N60:N62"/>
    <mergeCell ref="L67:L70"/>
    <mergeCell ref="M67:M70"/>
    <mergeCell ref="J65:J66"/>
    <mergeCell ref="K65:K66"/>
    <mergeCell ref="L65:L66"/>
    <mergeCell ref="M65:M66"/>
    <mergeCell ref="N65:N66"/>
    <mergeCell ref="J67:J70"/>
    <mergeCell ref="K67:K70"/>
    <mergeCell ref="N67:N70"/>
    <mergeCell ref="L63:L64"/>
    <mergeCell ref="M63:M64"/>
    <mergeCell ref="N63:N64"/>
    <mergeCell ref="Q57:Q59"/>
    <mergeCell ref="Q60:Q62"/>
    <mergeCell ref="Q63:Q64"/>
    <mergeCell ref="Q65:Q66"/>
    <mergeCell ref="Q67:Q70"/>
    <mergeCell ref="R55:R56"/>
    <mergeCell ref="R57:R59"/>
    <mergeCell ref="R60:R62"/>
    <mergeCell ref="R63:R64"/>
    <mergeCell ref="R65:R66"/>
    <mergeCell ref="R67:R70"/>
    <mergeCell ref="R47:R48"/>
    <mergeCell ref="Q49:Q51"/>
    <mergeCell ref="R49:R51"/>
    <mergeCell ref="R52:R54"/>
    <mergeCell ref="J43:J45"/>
    <mergeCell ref="J47:J48"/>
    <mergeCell ref="M47:M48"/>
    <mergeCell ref="N47:N48"/>
    <mergeCell ref="Q52:Q54"/>
    <mergeCell ref="O2:O70"/>
    <mergeCell ref="P2:P70"/>
    <mergeCell ref="N2:N3"/>
    <mergeCell ref="N14:N16"/>
    <mergeCell ref="M17:M19"/>
    <mergeCell ref="N17:N19"/>
    <mergeCell ref="M20:M21"/>
    <mergeCell ref="N20:N21"/>
    <mergeCell ref="N22:N23"/>
    <mergeCell ref="M49:M51"/>
    <mergeCell ref="N49:N51"/>
    <mergeCell ref="M52:M54"/>
    <mergeCell ref="N52:N54"/>
    <mergeCell ref="M55:M56"/>
    <mergeCell ref="N55:N56"/>
    <mergeCell ref="M43:M45"/>
    <mergeCell ref="N43:N45"/>
    <mergeCell ref="J52:J54"/>
    <mergeCell ref="K52:K54"/>
    <mergeCell ref="J49:J51"/>
    <mergeCell ref="J55:J56"/>
    <mergeCell ref="K55:K56"/>
    <mergeCell ref="L55:L56"/>
    <mergeCell ref="Q47:Q48"/>
    <mergeCell ref="Q55:Q56"/>
    <mergeCell ref="K47:K48"/>
    <mergeCell ref="L47:L48"/>
    <mergeCell ref="H49:H59"/>
    <mergeCell ref="I49:I56"/>
    <mergeCell ref="K49:K51"/>
    <mergeCell ref="L49:L51"/>
    <mergeCell ref="L52:L54"/>
    <mergeCell ref="I43:I48"/>
    <mergeCell ref="K43:K45"/>
    <mergeCell ref="L43:L45"/>
    <mergeCell ref="A2:A70"/>
    <mergeCell ref="B33:B42"/>
    <mergeCell ref="B43:B48"/>
    <mergeCell ref="B49:B59"/>
    <mergeCell ref="B60:B70"/>
    <mergeCell ref="D2:D3"/>
    <mergeCell ref="E2:E3"/>
    <mergeCell ref="F2:F3"/>
    <mergeCell ref="G2:G4"/>
    <mergeCell ref="G5:G6"/>
    <mergeCell ref="G7:G10"/>
    <mergeCell ref="F27:F29"/>
    <mergeCell ref="D11:D13"/>
    <mergeCell ref="B14:B23"/>
    <mergeCell ref="C14:C23"/>
    <mergeCell ref="D14:D16"/>
    <mergeCell ref="D17:D19"/>
    <mergeCell ref="D20:D21"/>
    <mergeCell ref="D22:D23"/>
    <mergeCell ref="C33:C42"/>
    <mergeCell ref="D33:D36"/>
    <mergeCell ref="E33:E36"/>
    <mergeCell ref="F33:F36"/>
    <mergeCell ref="G33:G42"/>
    <mergeCell ref="E49:E51"/>
    <mergeCell ref="F49:F51"/>
    <mergeCell ref="G49:G51"/>
    <mergeCell ref="E52:E54"/>
    <mergeCell ref="F52:F54"/>
    <mergeCell ref="G52:G54"/>
    <mergeCell ref="E41:E42"/>
    <mergeCell ref="F41:F42"/>
    <mergeCell ref="E43:E45"/>
    <mergeCell ref="F43:F45"/>
    <mergeCell ref="G43:G46"/>
    <mergeCell ref="F47:F48"/>
    <mergeCell ref="G47:G48"/>
    <mergeCell ref="E47:E48"/>
    <mergeCell ref="E65:E66"/>
    <mergeCell ref="F65:F66"/>
    <mergeCell ref="G65:G66"/>
    <mergeCell ref="D52:D54"/>
    <mergeCell ref="D55:D56"/>
    <mergeCell ref="E55:E56"/>
    <mergeCell ref="F55:F56"/>
    <mergeCell ref="G55:G56"/>
    <mergeCell ref="F57:F59"/>
    <mergeCell ref="G57:G59"/>
    <mergeCell ref="M57:M59"/>
    <mergeCell ref="J60:J62"/>
    <mergeCell ref="K60:K62"/>
    <mergeCell ref="L60:L62"/>
    <mergeCell ref="M60:M62"/>
    <mergeCell ref="J63:J64"/>
    <mergeCell ref="K63:K64"/>
    <mergeCell ref="E57:E59"/>
    <mergeCell ref="E63:E64"/>
    <mergeCell ref="F63:F64"/>
    <mergeCell ref="G63:G64"/>
    <mergeCell ref="I57:I59"/>
    <mergeCell ref="J57:J59"/>
    <mergeCell ref="K57:K59"/>
    <mergeCell ref="L57:L59"/>
    <mergeCell ref="H60:H70"/>
    <mergeCell ref="I60:I70"/>
  </mergeCells>
  <conditionalFormatting sqref="R2:R9 R11 R24 R26:R27 R30:R41 R49:R52 R55:R59">
    <cfRule type="colorScale" priority="5">
      <colorScale>
        <cfvo type="min"/>
        <cfvo type="percentile" val="50"/>
        <cfvo type="max"/>
        <color rgb="FFF8696B"/>
        <color rgb="FFFFEB84"/>
        <color rgb="FF63BE7B"/>
      </colorScale>
    </cfRule>
  </conditionalFormatting>
  <conditionalFormatting sqref="R2:R11 R24:R27 R30:R43 R46:R47 R49:R59">
    <cfRule type="colorScale" priority="4">
      <colorScale>
        <cfvo type="min"/>
        <cfvo type="percentile" val="50"/>
        <cfvo type="max"/>
        <color rgb="FFF8696B"/>
        <color rgb="FFFFEB84"/>
        <color rgb="FF63BE7B"/>
      </colorScale>
    </cfRule>
  </conditionalFormatting>
  <conditionalFormatting sqref="R14:R17">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14:R22">
    <cfRule type="colorScale" priority="3">
      <colorScale>
        <cfvo type="min"/>
        <cfvo type="percentile" val="50"/>
        <cfvo type="max"/>
        <color rgb="FFF8696B"/>
        <color rgb="FFFFEB84"/>
        <color rgb="FF63BE7B"/>
      </colorScale>
    </cfRule>
  </conditionalFormatting>
  <conditionalFormatting sqref="R60:R66">
    <cfRule type="colorScale" priority="6">
      <colorScale>
        <cfvo type="min"/>
        <cfvo type="percentile" val="50"/>
        <cfvo type="max"/>
        <color rgb="FFF8696B"/>
        <color rgb="FFFFEB84"/>
        <color rgb="FF63BE7B"/>
      </colorScale>
    </cfRule>
  </conditionalFormatting>
  <conditionalFormatting sqref="R67:R70">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hyperlinks>
    <hyperlink ref="S4" r:id="rId1" xr:uid="{00000000-0004-0000-1300-000000000000}"/>
    <hyperlink ref="S7" r:id="rId2" xr:uid="{00000000-0004-0000-1300-000001000000}"/>
    <hyperlink ref="S9" r:id="rId3" xr:uid="{00000000-0004-0000-1300-000002000000}"/>
    <hyperlink ref="S15" r:id="rId4" xr:uid="{00000000-0004-0000-1300-000003000000}"/>
    <hyperlink ref="S31" r:id="rId5" xr:uid="{00000000-0004-0000-1300-000004000000}"/>
    <hyperlink ref="S34" r:id="rId6" xr:uid="{00000000-0004-0000-1300-000005000000}"/>
    <hyperlink ref="S40" r:id="rId7" xr:uid="{00000000-0004-0000-1300-000006000000}"/>
    <hyperlink ref="S42" r:id="rId8" xr:uid="{00000000-0004-0000-1300-000007000000}"/>
    <hyperlink ref="S46" r:id="rId9" xr:uid="{00000000-0004-0000-1300-000008000000}"/>
    <hyperlink ref="S48" r:id="rId10" xr:uid="{00000000-0004-0000-1300-000009000000}"/>
    <hyperlink ref="S54" r:id="rId11" xr:uid="{00000000-0004-0000-1300-00000A000000}"/>
    <hyperlink ref="S57" r:id="rId12" xr:uid="{00000000-0004-0000-1300-00000B000000}"/>
    <hyperlink ref="S62" r:id="rId13" xr:uid="{00000000-0004-0000-1300-00000C000000}"/>
    <hyperlink ref="S64" r:id="rId14" xr:uid="{00000000-0004-0000-1300-00000D000000}"/>
    <hyperlink ref="S65" r:id="rId15" location=":~:text=Planning%20on%20using%20a%20standing,over%205%2F8%E2%80%9D%20plywood. " xr:uid="{00000000-0004-0000-1300-00000E000000}"/>
    <hyperlink ref="S66" r:id="rId16" xr:uid="{00000000-0004-0000-1300-00000F000000}"/>
  </hyperlinks>
  <pageMargins left="0.7" right="0.7" top="0.75" bottom="0.75" header="0" footer="0"/>
  <pageSetup orientation="portrait"/>
  <drawing r:id="rId17"/>
  <legacyDrawing r:id="rId18"/>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51</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1219</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1223</v>
      </c>
      <c r="B2" s="183" t="s">
        <v>53</v>
      </c>
      <c r="C2" s="183" t="s">
        <v>139</v>
      </c>
      <c r="D2" s="179" t="s">
        <v>140</v>
      </c>
      <c r="E2" s="179" t="s">
        <v>140</v>
      </c>
      <c r="F2" s="179" t="s">
        <v>140</v>
      </c>
      <c r="G2" s="182">
        <v>1</v>
      </c>
      <c r="H2" s="182">
        <v>258</v>
      </c>
      <c r="I2" s="183" t="s">
        <v>142</v>
      </c>
      <c r="J2" s="178">
        <v>0.66666666666666663</v>
      </c>
      <c r="K2" s="178">
        <v>1.5</v>
      </c>
      <c r="L2" s="178">
        <v>150</v>
      </c>
      <c r="M2" s="179" t="s">
        <v>1227</v>
      </c>
      <c r="N2" s="188">
        <f>L2*K2*J2*H2</f>
        <v>38700</v>
      </c>
      <c r="O2" s="187">
        <v>2540</v>
      </c>
      <c r="P2" s="187" t="s">
        <v>356</v>
      </c>
      <c r="Q2" s="175">
        <f>N2/O2</f>
        <v>15.236220472440944</v>
      </c>
      <c r="R2" s="191">
        <v>4</v>
      </c>
      <c r="S2" s="14" t="s">
        <v>152</v>
      </c>
      <c r="T2" s="14" t="s">
        <v>153</v>
      </c>
      <c r="U2" s="85"/>
      <c r="V2" s="85"/>
      <c r="W2" s="85"/>
      <c r="X2" s="85"/>
      <c r="Y2" s="85"/>
      <c r="Z2" s="85"/>
      <c r="AA2" s="85"/>
      <c r="AB2" s="85"/>
      <c r="AC2" s="85"/>
      <c r="AD2" s="85"/>
      <c r="AE2" s="85"/>
      <c r="AF2" s="85"/>
      <c r="AG2" s="85"/>
      <c r="AH2" s="85"/>
      <c r="AI2" s="85"/>
      <c r="AJ2" s="85"/>
      <c r="AK2" s="85"/>
      <c r="AL2" s="85"/>
      <c r="AM2" s="85"/>
      <c r="AN2" s="85"/>
    </row>
    <row r="3" spans="1:40" ht="16.5" customHeight="1" x14ac:dyDescent="0.2">
      <c r="A3" s="181"/>
      <c r="B3" s="181"/>
      <c r="C3" s="181"/>
      <c r="D3" s="181"/>
      <c r="E3" s="181"/>
      <c r="F3" s="181"/>
      <c r="G3" s="181"/>
      <c r="H3" s="181"/>
      <c r="I3" s="181"/>
      <c r="J3" s="181"/>
      <c r="K3" s="181"/>
      <c r="L3" s="181"/>
      <c r="M3" s="181"/>
      <c r="N3" s="181"/>
      <c r="O3" s="181"/>
      <c r="P3" s="181"/>
      <c r="Q3" s="181"/>
      <c r="R3" s="181"/>
      <c r="S3" s="14" t="s">
        <v>149</v>
      </c>
      <c r="T3" s="14" t="s">
        <v>150</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81"/>
      <c r="C4" s="181"/>
      <c r="D4" s="176"/>
      <c r="E4" s="176"/>
      <c r="F4" s="176"/>
      <c r="G4" s="181"/>
      <c r="H4" s="181"/>
      <c r="I4" s="181"/>
      <c r="J4" s="181"/>
      <c r="K4" s="181"/>
      <c r="L4" s="176"/>
      <c r="M4" s="176"/>
      <c r="N4" s="176"/>
      <c r="O4" s="181"/>
      <c r="P4" s="181"/>
      <c r="Q4" s="176"/>
      <c r="R4" s="176"/>
      <c r="S4" s="14" t="s">
        <v>232</v>
      </c>
      <c r="T4" s="14" t="s">
        <v>233</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176"/>
      <c r="C5" s="176"/>
      <c r="D5" s="14" t="s">
        <v>154</v>
      </c>
      <c r="E5" s="14" t="s">
        <v>155</v>
      </c>
      <c r="F5" s="14" t="s">
        <v>156</v>
      </c>
      <c r="G5" s="176"/>
      <c r="H5" s="176"/>
      <c r="I5" s="176"/>
      <c r="J5" s="176"/>
      <c r="K5" s="176"/>
      <c r="L5" s="14">
        <v>5.25</v>
      </c>
      <c r="M5" s="14" t="s">
        <v>1236</v>
      </c>
      <c r="N5" s="38">
        <f>L5*K2*J2*H2</f>
        <v>1354.5</v>
      </c>
      <c r="O5" s="181"/>
      <c r="P5" s="181"/>
      <c r="Q5" s="19">
        <f>N5/$O$2</f>
        <v>0.53326771653543303</v>
      </c>
      <c r="R5" s="48">
        <v>4</v>
      </c>
      <c r="S5" s="40" t="s">
        <v>240</v>
      </c>
      <c r="T5" s="14" t="s">
        <v>405</v>
      </c>
      <c r="U5" s="85"/>
      <c r="V5" s="85"/>
      <c r="W5" s="85"/>
      <c r="X5" s="85"/>
      <c r="Y5" s="85"/>
      <c r="Z5" s="85"/>
      <c r="AA5" s="85"/>
      <c r="AB5" s="85"/>
      <c r="AC5" s="85"/>
      <c r="AD5" s="85"/>
      <c r="AE5" s="85"/>
      <c r="AF5" s="85"/>
      <c r="AG5" s="85"/>
      <c r="AH5" s="85"/>
      <c r="AI5" s="85"/>
      <c r="AJ5" s="85"/>
      <c r="AK5" s="85"/>
      <c r="AL5" s="85"/>
      <c r="AM5" s="85"/>
      <c r="AN5" s="85"/>
    </row>
    <row r="6" spans="1:40" ht="17.25" customHeight="1" x14ac:dyDescent="0.2">
      <c r="A6" s="181"/>
      <c r="B6" s="183" t="s">
        <v>164</v>
      </c>
      <c r="C6" s="183" t="s">
        <v>165</v>
      </c>
      <c r="D6" s="179" t="s">
        <v>140</v>
      </c>
      <c r="E6" s="179" t="s">
        <v>140</v>
      </c>
      <c r="F6" s="179" t="s">
        <v>140</v>
      </c>
      <c r="G6" s="182">
        <v>1</v>
      </c>
      <c r="H6" s="182">
        <v>2620</v>
      </c>
      <c r="I6" s="183" t="s">
        <v>166</v>
      </c>
      <c r="J6" s="175">
        <v>0.5</v>
      </c>
      <c r="K6" s="179" t="s">
        <v>27</v>
      </c>
      <c r="L6" s="178">
        <v>150</v>
      </c>
      <c r="M6" s="179" t="s">
        <v>1246</v>
      </c>
      <c r="N6" s="180">
        <f>L6*J6*H6</f>
        <v>196500</v>
      </c>
      <c r="O6" s="181"/>
      <c r="P6" s="181"/>
      <c r="Q6" s="175">
        <f>N6/O2</f>
        <v>77.362204724409452</v>
      </c>
      <c r="R6" s="202">
        <v>5</v>
      </c>
      <c r="S6" s="14" t="s">
        <v>388</v>
      </c>
      <c r="T6" s="85" t="s">
        <v>389</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181"/>
      <c r="C7" s="181"/>
      <c r="D7" s="176"/>
      <c r="E7" s="176"/>
      <c r="F7" s="176"/>
      <c r="G7" s="181"/>
      <c r="H7" s="181"/>
      <c r="I7" s="181"/>
      <c r="J7" s="181"/>
      <c r="K7" s="181"/>
      <c r="L7" s="176"/>
      <c r="M7" s="176"/>
      <c r="N7" s="176"/>
      <c r="O7" s="181"/>
      <c r="P7" s="181"/>
      <c r="Q7" s="176"/>
      <c r="R7" s="176"/>
      <c r="S7" s="14" t="s">
        <v>191</v>
      </c>
      <c r="T7" s="85" t="s">
        <v>392</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176"/>
      <c r="C8" s="176"/>
      <c r="D8" s="14" t="s">
        <v>154</v>
      </c>
      <c r="E8" s="41" t="s">
        <v>155</v>
      </c>
      <c r="F8" s="41" t="s">
        <v>156</v>
      </c>
      <c r="G8" s="176"/>
      <c r="H8" s="176"/>
      <c r="I8" s="176"/>
      <c r="J8" s="176"/>
      <c r="K8" s="176"/>
      <c r="L8" s="14">
        <v>6</v>
      </c>
      <c r="M8" s="14" t="s">
        <v>1251</v>
      </c>
      <c r="N8" s="38">
        <f>L8*J6*H6</f>
        <v>7860</v>
      </c>
      <c r="O8" s="181"/>
      <c r="P8" s="181"/>
      <c r="Q8" s="19">
        <f>N8/O2</f>
        <v>3.0944881889763778</v>
      </c>
      <c r="R8" s="49">
        <v>5</v>
      </c>
      <c r="S8" s="14" t="s">
        <v>174</v>
      </c>
      <c r="T8" s="85" t="s">
        <v>175</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183" t="s">
        <v>209</v>
      </c>
      <c r="C9" s="184" t="s">
        <v>363</v>
      </c>
      <c r="D9" s="179" t="s">
        <v>239</v>
      </c>
      <c r="E9" s="179" t="s">
        <v>155</v>
      </c>
      <c r="F9" s="179" t="s">
        <v>7</v>
      </c>
      <c r="G9" s="182">
        <v>1</v>
      </c>
      <c r="H9" s="182">
        <v>2450</v>
      </c>
      <c r="I9" s="183" t="s">
        <v>166</v>
      </c>
      <c r="J9" s="175">
        <v>3.3333333333333335E-3</v>
      </c>
      <c r="K9" s="179" t="s">
        <v>27</v>
      </c>
      <c r="L9" s="178">
        <v>1.6559999999999999</v>
      </c>
      <c r="M9" s="179" t="s">
        <v>1258</v>
      </c>
      <c r="N9" s="195">
        <f>L9*H9</f>
        <v>4057.2</v>
      </c>
      <c r="O9" s="181"/>
      <c r="P9" s="181"/>
      <c r="Q9" s="209">
        <f>N9/O2</f>
        <v>1.5973228346456692</v>
      </c>
      <c r="R9" s="190">
        <v>3</v>
      </c>
      <c r="S9" s="40" t="s">
        <v>365</v>
      </c>
      <c r="T9" s="85" t="s">
        <v>366</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181"/>
      <c r="C10" s="181"/>
      <c r="D10" s="181"/>
      <c r="E10" s="181"/>
      <c r="F10" s="181"/>
      <c r="G10" s="181"/>
      <c r="H10" s="181"/>
      <c r="I10" s="181"/>
      <c r="J10" s="181"/>
      <c r="K10" s="181"/>
      <c r="L10" s="181"/>
      <c r="M10" s="181"/>
      <c r="N10" s="181"/>
      <c r="O10" s="181"/>
      <c r="P10" s="181"/>
      <c r="Q10" s="181"/>
      <c r="R10" s="181"/>
      <c r="S10" s="14" t="s">
        <v>368</v>
      </c>
      <c r="T10" s="85" t="s">
        <v>369</v>
      </c>
      <c r="U10" s="85"/>
      <c r="V10" s="85"/>
      <c r="W10" s="85"/>
      <c r="X10" s="85"/>
      <c r="Y10" s="85"/>
      <c r="Z10" s="85"/>
      <c r="AA10" s="85"/>
      <c r="AB10" s="85"/>
      <c r="AC10" s="85"/>
      <c r="AD10" s="85"/>
      <c r="AE10" s="85"/>
      <c r="AF10" s="85"/>
      <c r="AG10" s="85"/>
      <c r="AH10" s="85"/>
      <c r="AI10" s="85"/>
      <c r="AJ10" s="85"/>
      <c r="AK10" s="85"/>
      <c r="AL10" s="85"/>
      <c r="AM10" s="85"/>
      <c r="AN10" s="85"/>
    </row>
    <row r="11" spans="1:40" ht="14.25" customHeight="1" x14ac:dyDescent="0.2">
      <c r="A11" s="181"/>
      <c r="B11" s="181"/>
      <c r="C11" s="181"/>
      <c r="D11" s="176"/>
      <c r="E11" s="176"/>
      <c r="F11" s="176"/>
      <c r="G11" s="176"/>
      <c r="H11" s="181"/>
      <c r="I11" s="181"/>
      <c r="J11" s="176"/>
      <c r="K11" s="176"/>
      <c r="L11" s="176"/>
      <c r="M11" s="176"/>
      <c r="N11" s="176"/>
      <c r="O11" s="181"/>
      <c r="P11" s="181"/>
      <c r="Q11" s="176"/>
      <c r="R11" s="176"/>
      <c r="S11" s="40" t="s">
        <v>370</v>
      </c>
      <c r="T11" s="85" t="s">
        <v>372</v>
      </c>
      <c r="U11" s="85"/>
      <c r="V11" s="85"/>
      <c r="W11" s="85"/>
      <c r="X11" s="85"/>
      <c r="Y11" s="85"/>
      <c r="Z11" s="85"/>
      <c r="AA11" s="85"/>
      <c r="AB11" s="85"/>
      <c r="AC11" s="85"/>
      <c r="AD11" s="85"/>
      <c r="AE11" s="85"/>
      <c r="AF11" s="85"/>
      <c r="AG11" s="85"/>
      <c r="AH11" s="85"/>
      <c r="AI11" s="85"/>
      <c r="AJ11" s="85"/>
      <c r="AK11" s="85"/>
      <c r="AL11" s="85"/>
      <c r="AM11" s="85"/>
      <c r="AN11" s="85"/>
    </row>
    <row r="12" spans="1:40" ht="14.25" customHeight="1" x14ac:dyDescent="0.2">
      <c r="A12" s="181"/>
      <c r="B12" s="181"/>
      <c r="C12" s="181"/>
      <c r="D12" s="179" t="s">
        <v>197</v>
      </c>
      <c r="E12" s="179" t="s">
        <v>155</v>
      </c>
      <c r="F12" s="179" t="s">
        <v>8</v>
      </c>
      <c r="G12" s="178">
        <v>12</v>
      </c>
      <c r="H12" s="181"/>
      <c r="I12" s="181"/>
      <c r="J12" s="175" t="s">
        <v>578</v>
      </c>
      <c r="K12" s="179">
        <v>29</v>
      </c>
      <c r="L12" s="178">
        <v>31</v>
      </c>
      <c r="M12" s="179" t="s">
        <v>188</v>
      </c>
      <c r="N12" s="180">
        <f>L12*K12*G12</f>
        <v>10788</v>
      </c>
      <c r="O12" s="181"/>
      <c r="P12" s="181"/>
      <c r="Q12" s="209">
        <f>N12/$O$2</f>
        <v>4.2472440944881891</v>
      </c>
      <c r="R12" s="190">
        <v>1</v>
      </c>
      <c r="S12" s="44" t="s">
        <v>181</v>
      </c>
      <c r="T12" s="44" t="s">
        <v>1264</v>
      </c>
      <c r="U12" s="85"/>
      <c r="V12" s="85"/>
      <c r="W12" s="85"/>
      <c r="X12" s="85"/>
      <c r="Y12" s="85"/>
      <c r="Z12" s="85"/>
      <c r="AA12" s="85"/>
      <c r="AB12" s="85"/>
      <c r="AC12" s="85"/>
      <c r="AD12" s="85"/>
      <c r="AE12" s="85"/>
      <c r="AF12" s="85"/>
      <c r="AG12" s="85"/>
      <c r="AH12" s="85"/>
      <c r="AI12" s="85"/>
      <c r="AJ12" s="85"/>
      <c r="AK12" s="85"/>
      <c r="AL12" s="85"/>
      <c r="AM12" s="85"/>
      <c r="AN12" s="85"/>
    </row>
    <row r="13" spans="1:40" ht="14.25" customHeight="1" x14ac:dyDescent="0.2">
      <c r="A13" s="181"/>
      <c r="B13" s="181"/>
      <c r="C13" s="181"/>
      <c r="D13" s="176"/>
      <c r="E13" s="176"/>
      <c r="F13" s="176"/>
      <c r="G13" s="176"/>
      <c r="H13" s="181"/>
      <c r="I13" s="181"/>
      <c r="J13" s="176"/>
      <c r="K13" s="176"/>
      <c r="L13" s="176"/>
      <c r="M13" s="176"/>
      <c r="N13" s="176"/>
      <c r="O13" s="181"/>
      <c r="P13" s="181"/>
      <c r="Q13" s="176"/>
      <c r="R13" s="176"/>
      <c r="S13" s="44" t="s">
        <v>1060</v>
      </c>
      <c r="T13" s="44" t="s">
        <v>1265</v>
      </c>
      <c r="U13" s="85"/>
      <c r="V13" s="85"/>
      <c r="W13" s="85"/>
      <c r="X13" s="85"/>
      <c r="Y13" s="85"/>
      <c r="Z13" s="85"/>
      <c r="AA13" s="85"/>
      <c r="AB13" s="85"/>
      <c r="AC13" s="85"/>
      <c r="AD13" s="85"/>
      <c r="AE13" s="85"/>
      <c r="AF13" s="85"/>
      <c r="AG13" s="85"/>
      <c r="AH13" s="85"/>
      <c r="AI13" s="85"/>
      <c r="AJ13" s="85"/>
      <c r="AK13" s="85"/>
      <c r="AL13" s="85"/>
      <c r="AM13" s="85"/>
      <c r="AN13" s="85"/>
    </row>
    <row r="14" spans="1:40" ht="14.25" customHeight="1" x14ac:dyDescent="0.2">
      <c r="A14" s="181"/>
      <c r="B14" s="181"/>
      <c r="C14" s="181"/>
      <c r="D14" s="179" t="s">
        <v>411</v>
      </c>
      <c r="E14" s="179" t="s">
        <v>155</v>
      </c>
      <c r="F14" s="179" t="s">
        <v>9</v>
      </c>
      <c r="G14" s="178">
        <v>11</v>
      </c>
      <c r="H14" s="181"/>
      <c r="I14" s="181"/>
      <c r="J14" s="175" t="s">
        <v>1266</v>
      </c>
      <c r="K14" s="179">
        <v>50</v>
      </c>
      <c r="L14" s="178">
        <v>2.1</v>
      </c>
      <c r="M14" s="179" t="s">
        <v>376</v>
      </c>
      <c r="N14" s="180">
        <f>L14*K14*G14</f>
        <v>1155</v>
      </c>
      <c r="O14" s="181"/>
      <c r="P14" s="181"/>
      <c r="Q14" s="209">
        <f>N14/O2</f>
        <v>0.45472440944881892</v>
      </c>
      <c r="R14" s="190">
        <v>2</v>
      </c>
      <c r="S14" s="14" t="s">
        <v>213</v>
      </c>
      <c r="T14" s="14" t="s">
        <v>1268</v>
      </c>
      <c r="U14" s="85"/>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181"/>
      <c r="C15" s="181"/>
      <c r="D15" s="181"/>
      <c r="E15" s="181"/>
      <c r="F15" s="181"/>
      <c r="G15" s="181"/>
      <c r="H15" s="181"/>
      <c r="I15" s="181"/>
      <c r="J15" s="181"/>
      <c r="K15" s="181"/>
      <c r="L15" s="181"/>
      <c r="M15" s="181"/>
      <c r="N15" s="181"/>
      <c r="O15" s="181"/>
      <c r="P15" s="181"/>
      <c r="Q15" s="181"/>
      <c r="R15" s="181"/>
      <c r="S15" s="40" t="s">
        <v>378</v>
      </c>
      <c r="T15" s="14" t="s">
        <v>1270</v>
      </c>
      <c r="U15" s="85"/>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181"/>
      <c r="C16" s="181"/>
      <c r="D16" s="176"/>
      <c r="E16" s="176"/>
      <c r="F16" s="176"/>
      <c r="G16" s="176"/>
      <c r="H16" s="181"/>
      <c r="I16" s="181"/>
      <c r="J16" s="176"/>
      <c r="K16" s="176"/>
      <c r="L16" s="176"/>
      <c r="M16" s="176"/>
      <c r="N16" s="176"/>
      <c r="O16" s="181"/>
      <c r="P16" s="181"/>
      <c r="Q16" s="176"/>
      <c r="R16" s="176"/>
      <c r="S16" s="14" t="s">
        <v>181</v>
      </c>
      <c r="T16" s="14" t="s">
        <v>1272</v>
      </c>
      <c r="U16" s="85"/>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181"/>
      <c r="C17" s="181"/>
      <c r="D17" s="179" t="s">
        <v>383</v>
      </c>
      <c r="E17" s="179" t="s">
        <v>155</v>
      </c>
      <c r="F17" s="179" t="s">
        <v>9</v>
      </c>
      <c r="G17" s="178">
        <v>6</v>
      </c>
      <c r="H17" s="181"/>
      <c r="I17" s="181"/>
      <c r="J17" s="175" t="s">
        <v>1273</v>
      </c>
      <c r="K17" s="179">
        <v>50</v>
      </c>
      <c r="L17" s="178">
        <v>11.8</v>
      </c>
      <c r="M17" s="179" t="s">
        <v>385</v>
      </c>
      <c r="N17" s="180">
        <f>L17*K17*G17</f>
        <v>3540</v>
      </c>
      <c r="O17" s="181"/>
      <c r="P17" s="181"/>
      <c r="Q17" s="209">
        <f>N17/O2</f>
        <v>1.3937007874015748</v>
      </c>
      <c r="R17" s="190">
        <v>2</v>
      </c>
      <c r="S17" s="14" t="s">
        <v>181</v>
      </c>
      <c r="T17" s="14" t="s">
        <v>387</v>
      </c>
      <c r="U17" s="85"/>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181"/>
      <c r="C18" s="181"/>
      <c r="D18" s="181"/>
      <c r="E18" s="181"/>
      <c r="F18" s="181"/>
      <c r="G18" s="181"/>
      <c r="H18" s="181"/>
      <c r="I18" s="181"/>
      <c r="J18" s="181"/>
      <c r="K18" s="181"/>
      <c r="L18" s="181"/>
      <c r="M18" s="181"/>
      <c r="N18" s="181"/>
      <c r="O18" s="181"/>
      <c r="P18" s="181"/>
      <c r="Q18" s="181"/>
      <c r="R18" s="181"/>
      <c r="S18" s="40" t="s">
        <v>224</v>
      </c>
      <c r="T18" s="14" t="s">
        <v>1275</v>
      </c>
      <c r="U18" s="85"/>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181"/>
      <c r="C19" s="181"/>
      <c r="D19" s="181"/>
      <c r="E19" s="181"/>
      <c r="F19" s="181"/>
      <c r="G19" s="181"/>
      <c r="H19" s="181"/>
      <c r="I19" s="181"/>
      <c r="J19" s="181"/>
      <c r="K19" s="181"/>
      <c r="L19" s="181"/>
      <c r="M19" s="181"/>
      <c r="N19" s="181"/>
      <c r="O19" s="181"/>
      <c r="P19" s="181"/>
      <c r="Q19" s="181"/>
      <c r="R19" s="181"/>
      <c r="S19" s="14" t="s">
        <v>229</v>
      </c>
      <c r="T19" s="14" t="s">
        <v>1276</v>
      </c>
      <c r="U19" s="85"/>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181"/>
      <c r="C20" s="181"/>
      <c r="D20" s="181"/>
      <c r="E20" s="181"/>
      <c r="F20" s="181"/>
      <c r="G20" s="181"/>
      <c r="H20" s="181"/>
      <c r="I20" s="181"/>
      <c r="J20" s="181"/>
      <c r="K20" s="181"/>
      <c r="L20" s="181"/>
      <c r="M20" s="181"/>
      <c r="N20" s="181"/>
      <c r="O20" s="181"/>
      <c r="P20" s="181"/>
      <c r="Q20" s="181"/>
      <c r="R20" s="181"/>
      <c r="S20" s="40" t="s">
        <v>216</v>
      </c>
      <c r="T20" s="14" t="s">
        <v>217</v>
      </c>
      <c r="U20" s="85"/>
      <c r="V20" s="85"/>
      <c r="W20" s="85"/>
      <c r="X20" s="85"/>
      <c r="Y20" s="85"/>
      <c r="Z20" s="85"/>
      <c r="AA20" s="85"/>
      <c r="AB20" s="85"/>
      <c r="AC20" s="85"/>
      <c r="AD20" s="85"/>
      <c r="AE20" s="85"/>
      <c r="AF20" s="85"/>
      <c r="AG20" s="85"/>
      <c r="AH20" s="85"/>
      <c r="AI20" s="85"/>
      <c r="AJ20" s="85"/>
      <c r="AK20" s="85"/>
      <c r="AL20" s="85"/>
      <c r="AM20" s="85"/>
      <c r="AN20" s="85"/>
    </row>
    <row r="21" spans="1:40" ht="14.25" customHeight="1" x14ac:dyDescent="0.2">
      <c r="A21" s="181"/>
      <c r="B21" s="176"/>
      <c r="C21" s="197"/>
      <c r="D21" s="181"/>
      <c r="E21" s="181"/>
      <c r="F21" s="181"/>
      <c r="G21" s="181"/>
      <c r="H21" s="176"/>
      <c r="I21" s="176"/>
      <c r="J21" s="181"/>
      <c r="K21" s="181"/>
      <c r="L21" s="181"/>
      <c r="M21" s="181"/>
      <c r="N21" s="181"/>
      <c r="O21" s="181"/>
      <c r="P21" s="181"/>
      <c r="Q21" s="181"/>
      <c r="R21" s="197"/>
      <c r="S21" s="40" t="s">
        <v>560</v>
      </c>
      <c r="T21" s="14" t="s">
        <v>1278</v>
      </c>
      <c r="U21" s="85"/>
      <c r="V21" s="85"/>
      <c r="W21" s="85"/>
      <c r="X21" s="85"/>
      <c r="Y21" s="85"/>
      <c r="Z21" s="85"/>
      <c r="AA21" s="85"/>
      <c r="AB21" s="85"/>
      <c r="AC21" s="85"/>
      <c r="AD21" s="85"/>
      <c r="AE21" s="85"/>
      <c r="AF21" s="85"/>
      <c r="AG21" s="85"/>
      <c r="AH21" s="85"/>
      <c r="AI21" s="85"/>
      <c r="AJ21" s="85"/>
      <c r="AK21" s="85"/>
      <c r="AL21" s="85"/>
      <c r="AM21" s="85"/>
      <c r="AN21" s="85"/>
    </row>
    <row r="22" spans="1:40" ht="15" customHeight="1" x14ac:dyDescent="0.2">
      <c r="A22" s="181"/>
      <c r="B22" s="237" t="s">
        <v>251</v>
      </c>
      <c r="C22" s="184" t="s">
        <v>252</v>
      </c>
      <c r="D22" s="179" t="s">
        <v>398</v>
      </c>
      <c r="E22" s="179" t="s">
        <v>140</v>
      </c>
      <c r="F22" s="179" t="s">
        <v>399</v>
      </c>
      <c r="G22" s="182">
        <v>1</v>
      </c>
      <c r="H22" s="182">
        <v>625</v>
      </c>
      <c r="I22" s="183" t="s">
        <v>166</v>
      </c>
      <c r="J22" s="175">
        <v>1</v>
      </c>
      <c r="K22" s="179" t="s">
        <v>27</v>
      </c>
      <c r="L22" s="178">
        <v>150</v>
      </c>
      <c r="M22" s="179" t="s">
        <v>1281</v>
      </c>
      <c r="N22" s="180">
        <f>L22*H22*J22</f>
        <v>93750</v>
      </c>
      <c r="O22" s="181"/>
      <c r="P22" s="181"/>
      <c r="Q22" s="198">
        <f>N22/O2</f>
        <v>36.909448818897637</v>
      </c>
      <c r="R22" s="190">
        <v>4</v>
      </c>
      <c r="S22" s="40" t="s">
        <v>259</v>
      </c>
      <c r="T22" s="14" t="s">
        <v>260</v>
      </c>
      <c r="U22" s="61"/>
      <c r="V22" s="61"/>
      <c r="W22" s="61"/>
      <c r="X22" s="61"/>
      <c r="Y22" s="61"/>
      <c r="Z22" s="61"/>
      <c r="AA22" s="61"/>
      <c r="AB22" s="61"/>
      <c r="AC22" s="61"/>
      <c r="AD22" s="61"/>
      <c r="AE22" s="61"/>
      <c r="AF22" s="61"/>
      <c r="AG22" s="61"/>
      <c r="AH22" s="61"/>
      <c r="AI22" s="61"/>
      <c r="AJ22" s="61"/>
      <c r="AK22" s="61"/>
      <c r="AL22" s="61"/>
      <c r="AM22" s="85"/>
      <c r="AN22" s="85"/>
    </row>
    <row r="23" spans="1:40" ht="15" customHeight="1" x14ac:dyDescent="0.2">
      <c r="A23" s="181"/>
      <c r="B23" s="181"/>
      <c r="C23" s="181"/>
      <c r="D23" s="176"/>
      <c r="E23" s="176"/>
      <c r="F23" s="176"/>
      <c r="G23" s="181"/>
      <c r="H23" s="181"/>
      <c r="I23" s="181"/>
      <c r="J23" s="176"/>
      <c r="K23" s="176"/>
      <c r="L23" s="176"/>
      <c r="M23" s="176"/>
      <c r="N23" s="176"/>
      <c r="O23" s="181"/>
      <c r="P23" s="181"/>
      <c r="Q23" s="176"/>
      <c r="R23" s="176"/>
      <c r="S23" s="14" t="s">
        <v>191</v>
      </c>
      <c r="T23" s="14" t="s">
        <v>465</v>
      </c>
      <c r="U23" s="61"/>
      <c r="V23" s="61"/>
      <c r="W23" s="61"/>
      <c r="X23" s="61"/>
      <c r="Y23" s="61"/>
      <c r="Z23" s="61"/>
      <c r="AA23" s="61"/>
      <c r="AB23" s="61"/>
      <c r="AC23" s="61"/>
      <c r="AD23" s="61"/>
      <c r="AE23" s="61"/>
      <c r="AF23" s="61"/>
      <c r="AG23" s="61"/>
      <c r="AH23" s="61"/>
      <c r="AI23" s="61"/>
      <c r="AJ23" s="61"/>
      <c r="AK23" s="61"/>
      <c r="AL23" s="61"/>
      <c r="AM23" s="85"/>
      <c r="AN23" s="85"/>
    </row>
    <row r="24" spans="1:40" ht="15" customHeight="1" x14ac:dyDescent="0.2">
      <c r="A24" s="181"/>
      <c r="B24" s="181"/>
      <c r="C24" s="176"/>
      <c r="D24" s="50" t="s">
        <v>409</v>
      </c>
      <c r="E24" s="50" t="s">
        <v>155</v>
      </c>
      <c r="F24" s="50" t="s">
        <v>156</v>
      </c>
      <c r="G24" s="176"/>
      <c r="H24" s="176"/>
      <c r="I24" s="176"/>
      <c r="J24" s="51" t="s">
        <v>27</v>
      </c>
      <c r="K24" s="50" t="s">
        <v>27</v>
      </c>
      <c r="L24" s="53">
        <v>1.9</v>
      </c>
      <c r="M24" s="14" t="s">
        <v>1284</v>
      </c>
      <c r="N24" s="54">
        <f>L24*H22</f>
        <v>1187.5</v>
      </c>
      <c r="O24" s="181"/>
      <c r="P24" s="181"/>
      <c r="Q24" s="57">
        <f>N24/O2</f>
        <v>0.46751968503937008</v>
      </c>
      <c r="R24" s="71">
        <v>3</v>
      </c>
      <c r="S24" s="40" t="s">
        <v>262</v>
      </c>
      <c r="T24" s="14" t="s">
        <v>407</v>
      </c>
      <c r="U24" s="61"/>
      <c r="V24" s="61"/>
      <c r="W24" s="61"/>
      <c r="X24" s="61"/>
      <c r="Y24" s="61"/>
      <c r="Z24" s="61"/>
      <c r="AA24" s="61"/>
      <c r="AB24" s="61"/>
      <c r="AC24" s="61"/>
      <c r="AD24" s="61"/>
      <c r="AE24" s="61"/>
      <c r="AF24" s="61"/>
      <c r="AG24" s="61"/>
      <c r="AH24" s="61"/>
      <c r="AI24" s="61"/>
      <c r="AJ24" s="61"/>
      <c r="AK24" s="61"/>
      <c r="AL24" s="61"/>
      <c r="AM24" s="85"/>
      <c r="AN24" s="85"/>
    </row>
    <row r="25" spans="1:40" ht="16.5" customHeight="1" x14ac:dyDescent="0.2">
      <c r="A25" s="181"/>
      <c r="B25" s="181"/>
      <c r="C25" s="184" t="s">
        <v>1285</v>
      </c>
      <c r="D25" s="179" t="s">
        <v>140</v>
      </c>
      <c r="E25" s="179" t="s">
        <v>140</v>
      </c>
      <c r="F25" s="179" t="s">
        <v>140</v>
      </c>
      <c r="G25" s="182">
        <v>1</v>
      </c>
      <c r="H25" s="182">
        <v>912</v>
      </c>
      <c r="I25" s="183" t="s">
        <v>166</v>
      </c>
      <c r="J25" s="175">
        <v>0.75</v>
      </c>
      <c r="K25" s="179" t="s">
        <v>27</v>
      </c>
      <c r="L25" s="178">
        <v>150</v>
      </c>
      <c r="M25" s="179" t="s">
        <v>1286</v>
      </c>
      <c r="N25" s="180">
        <f>H25*L25*J25</f>
        <v>102600</v>
      </c>
      <c r="O25" s="181"/>
      <c r="P25" s="181"/>
      <c r="Q25" s="175">
        <f>N25/$O$2</f>
        <v>40.393700787401578</v>
      </c>
      <c r="R25" s="191">
        <v>4</v>
      </c>
      <c r="S25" s="14" t="s">
        <v>1120</v>
      </c>
      <c r="T25" s="14" t="s">
        <v>1121</v>
      </c>
    </row>
    <row r="26" spans="1:40" ht="15" customHeight="1" x14ac:dyDescent="0.2">
      <c r="A26" s="181"/>
      <c r="B26" s="181"/>
      <c r="C26" s="181"/>
      <c r="D26" s="176"/>
      <c r="E26" s="176"/>
      <c r="F26" s="176"/>
      <c r="G26" s="181"/>
      <c r="H26" s="181"/>
      <c r="I26" s="181"/>
      <c r="J26" s="176"/>
      <c r="K26" s="176"/>
      <c r="L26" s="176"/>
      <c r="M26" s="176"/>
      <c r="N26" s="176"/>
      <c r="O26" s="181"/>
      <c r="P26" s="181"/>
      <c r="Q26" s="176"/>
      <c r="R26" s="176"/>
      <c r="S26" s="14" t="s">
        <v>1124</v>
      </c>
      <c r="T26" s="14" t="s">
        <v>1125</v>
      </c>
      <c r="U26" s="63"/>
      <c r="V26" s="63"/>
      <c r="W26" s="63"/>
      <c r="X26" s="63"/>
      <c r="Y26" s="63"/>
      <c r="Z26" s="63"/>
      <c r="AA26" s="63"/>
      <c r="AB26" s="63"/>
      <c r="AC26" s="63"/>
      <c r="AD26" s="63"/>
      <c r="AE26" s="63"/>
      <c r="AF26" s="63"/>
      <c r="AG26" s="63"/>
      <c r="AH26" s="63"/>
      <c r="AI26" s="63"/>
      <c r="AJ26" s="63"/>
      <c r="AK26" s="63"/>
      <c r="AL26" s="63"/>
    </row>
    <row r="27" spans="1:40" ht="14.25" customHeight="1" x14ac:dyDescent="0.2">
      <c r="A27" s="181"/>
      <c r="B27" s="181"/>
      <c r="C27" s="181"/>
      <c r="D27" s="14" t="s">
        <v>154</v>
      </c>
      <c r="E27" s="14" t="s">
        <v>155</v>
      </c>
      <c r="F27" s="14" t="s">
        <v>156</v>
      </c>
      <c r="G27" s="181"/>
      <c r="H27" s="181"/>
      <c r="I27" s="181"/>
      <c r="J27" s="100">
        <v>0.75</v>
      </c>
      <c r="K27" s="101" t="s">
        <v>27</v>
      </c>
      <c r="L27" s="14">
        <v>6</v>
      </c>
      <c r="M27" s="14" t="s">
        <v>1288</v>
      </c>
      <c r="N27" s="38">
        <f>L27*H25*J27</f>
        <v>4104</v>
      </c>
      <c r="O27" s="181"/>
      <c r="P27" s="181"/>
      <c r="Q27" s="19">
        <f t="shared" ref="Q27:Q28" si="0">N27/$O$2</f>
        <v>1.6157480314960631</v>
      </c>
      <c r="R27" s="48">
        <v>4</v>
      </c>
      <c r="S27" s="14" t="s">
        <v>1128</v>
      </c>
      <c r="T27" s="14" t="s">
        <v>1129</v>
      </c>
    </row>
    <row r="28" spans="1:40" ht="14.25" customHeight="1" x14ac:dyDescent="0.2">
      <c r="A28" s="181"/>
      <c r="B28" s="181"/>
      <c r="C28" s="181"/>
      <c r="D28" s="179" t="s">
        <v>286</v>
      </c>
      <c r="E28" s="179" t="s">
        <v>287</v>
      </c>
      <c r="F28" s="179" t="s">
        <v>1130</v>
      </c>
      <c r="G28" s="181"/>
      <c r="H28" s="181"/>
      <c r="I28" s="181"/>
      <c r="J28" s="175">
        <v>0.25</v>
      </c>
      <c r="K28" s="179"/>
      <c r="L28" s="178">
        <v>1.4</v>
      </c>
      <c r="M28" s="179" t="s">
        <v>1289</v>
      </c>
      <c r="N28" s="180">
        <f>H25*J28*L28</f>
        <v>319.2</v>
      </c>
      <c r="O28" s="181"/>
      <c r="P28" s="181"/>
      <c r="Q28" s="175">
        <f t="shared" si="0"/>
        <v>0.12566929133858268</v>
      </c>
      <c r="R28" s="231">
        <v>1</v>
      </c>
      <c r="S28" s="14" t="s">
        <v>1133</v>
      </c>
      <c r="T28" s="14" t="s">
        <v>1134</v>
      </c>
    </row>
    <row r="29" spans="1:40" ht="14.25" customHeight="1" x14ac:dyDescent="0.2">
      <c r="A29" s="181"/>
      <c r="B29" s="181"/>
      <c r="C29" s="176"/>
      <c r="D29" s="176"/>
      <c r="E29" s="176"/>
      <c r="F29" s="176"/>
      <c r="G29" s="176"/>
      <c r="H29" s="176"/>
      <c r="I29" s="176"/>
      <c r="J29" s="176"/>
      <c r="K29" s="176"/>
      <c r="L29" s="176"/>
      <c r="M29" s="176"/>
      <c r="N29" s="176"/>
      <c r="O29" s="181"/>
      <c r="P29" s="181"/>
      <c r="Q29" s="176"/>
      <c r="R29" s="176"/>
      <c r="S29" s="14" t="s">
        <v>1136</v>
      </c>
      <c r="T29" s="14" t="s">
        <v>1137</v>
      </c>
    </row>
    <row r="30" spans="1:40" ht="15" customHeight="1" x14ac:dyDescent="0.2">
      <c r="A30" s="181"/>
      <c r="B30" s="181"/>
      <c r="C30" s="184" t="s">
        <v>268</v>
      </c>
      <c r="D30" s="179" t="s">
        <v>1290</v>
      </c>
      <c r="E30" s="179" t="s">
        <v>155</v>
      </c>
      <c r="F30" s="179" t="s">
        <v>7</v>
      </c>
      <c r="G30" s="182">
        <v>1</v>
      </c>
      <c r="H30" s="182">
        <v>4200</v>
      </c>
      <c r="I30" s="183" t="s">
        <v>166</v>
      </c>
      <c r="J30" s="175">
        <v>5.0000000000000001E-3</v>
      </c>
      <c r="K30" s="179" t="s">
        <v>27</v>
      </c>
      <c r="L30" s="178">
        <v>480</v>
      </c>
      <c r="M30" s="179" t="s">
        <v>1292</v>
      </c>
      <c r="N30" s="180">
        <f>L30*J30*H30</f>
        <v>10080</v>
      </c>
      <c r="O30" s="181"/>
      <c r="P30" s="181"/>
      <c r="Q30" s="230">
        <f>N30/$O$2</f>
        <v>3.9685039370078741</v>
      </c>
      <c r="R30" s="191">
        <v>4</v>
      </c>
      <c r="S30" s="14" t="s">
        <v>191</v>
      </c>
      <c r="T30" s="14" t="s">
        <v>1293</v>
      </c>
      <c r="U30" s="63"/>
      <c r="V30" s="63"/>
      <c r="W30" s="63"/>
      <c r="X30" s="63"/>
      <c r="Y30" s="63"/>
      <c r="Z30" s="63"/>
      <c r="AA30" s="63"/>
      <c r="AB30" s="63"/>
      <c r="AC30" s="63"/>
      <c r="AD30" s="63"/>
      <c r="AE30" s="63"/>
      <c r="AF30" s="63"/>
      <c r="AG30" s="63"/>
      <c r="AH30" s="63"/>
      <c r="AI30" s="63"/>
      <c r="AJ30" s="63"/>
      <c r="AK30" s="63"/>
      <c r="AL30" s="63"/>
      <c r="AM30" s="84"/>
      <c r="AN30" s="84"/>
    </row>
    <row r="31" spans="1:40" ht="15" customHeight="1" x14ac:dyDescent="0.2">
      <c r="A31" s="181"/>
      <c r="B31" s="181"/>
      <c r="C31" s="181"/>
      <c r="D31" s="176"/>
      <c r="E31" s="176"/>
      <c r="F31" s="176"/>
      <c r="G31" s="181"/>
      <c r="H31" s="181"/>
      <c r="I31" s="181"/>
      <c r="J31" s="176"/>
      <c r="K31" s="176"/>
      <c r="L31" s="176"/>
      <c r="M31" s="176"/>
      <c r="N31" s="176"/>
      <c r="O31" s="181"/>
      <c r="P31" s="181"/>
      <c r="Q31" s="176"/>
      <c r="R31" s="176"/>
      <c r="S31" s="40" t="s">
        <v>275</v>
      </c>
      <c r="T31" s="14" t="s">
        <v>276</v>
      </c>
      <c r="U31" s="63"/>
      <c r="V31" s="63"/>
      <c r="W31" s="63"/>
      <c r="X31" s="63"/>
      <c r="Y31" s="63"/>
      <c r="Z31" s="63"/>
      <c r="AA31" s="63"/>
      <c r="AB31" s="63"/>
      <c r="AC31" s="63"/>
      <c r="AD31" s="63"/>
      <c r="AE31" s="63"/>
      <c r="AF31" s="63"/>
      <c r="AG31" s="63"/>
      <c r="AH31" s="63"/>
      <c r="AI31" s="63"/>
      <c r="AJ31" s="63"/>
      <c r="AK31" s="63"/>
      <c r="AL31" s="63"/>
    </row>
    <row r="32" spans="1:40" ht="15" customHeight="1" x14ac:dyDescent="0.2">
      <c r="A32" s="181"/>
      <c r="B32" s="181"/>
      <c r="C32" s="181"/>
      <c r="D32" s="123" t="s">
        <v>278</v>
      </c>
      <c r="E32" s="123" t="s">
        <v>279</v>
      </c>
      <c r="F32" s="123" t="s">
        <v>14</v>
      </c>
      <c r="G32" s="181"/>
      <c r="H32" s="181"/>
      <c r="I32" s="181"/>
      <c r="J32" s="120" t="s">
        <v>27</v>
      </c>
      <c r="K32" s="123" t="s">
        <v>27</v>
      </c>
      <c r="L32" s="124">
        <v>0.15</v>
      </c>
      <c r="M32" s="14" t="s">
        <v>1295</v>
      </c>
      <c r="N32" s="128">
        <f>L32*H30</f>
        <v>630</v>
      </c>
      <c r="O32" s="181"/>
      <c r="P32" s="181"/>
      <c r="Q32" s="57">
        <f t="shared" ref="Q32:Q34" si="1">N32/$O$2</f>
        <v>0.24803149606299213</v>
      </c>
      <c r="R32" s="146">
        <v>2</v>
      </c>
      <c r="S32" s="44" t="s">
        <v>283</v>
      </c>
      <c r="T32" s="44" t="s">
        <v>284</v>
      </c>
      <c r="U32" s="63"/>
      <c r="V32" s="63"/>
      <c r="W32" s="63"/>
      <c r="X32" s="63"/>
      <c r="Y32" s="63"/>
      <c r="Z32" s="63"/>
      <c r="AA32" s="63"/>
      <c r="AB32" s="63"/>
      <c r="AC32" s="63"/>
      <c r="AD32" s="63"/>
      <c r="AE32" s="63"/>
      <c r="AF32" s="63"/>
      <c r="AG32" s="63"/>
      <c r="AH32" s="63"/>
      <c r="AI32" s="63"/>
      <c r="AJ32" s="63"/>
      <c r="AK32" s="63"/>
      <c r="AL32" s="63"/>
    </row>
    <row r="33" spans="1:40" ht="15" customHeight="1" x14ac:dyDescent="0.2">
      <c r="A33" s="181"/>
      <c r="B33" s="181"/>
      <c r="C33" s="181"/>
      <c r="D33" s="50" t="s">
        <v>286</v>
      </c>
      <c r="E33" s="50" t="s">
        <v>287</v>
      </c>
      <c r="F33" s="50" t="s">
        <v>10</v>
      </c>
      <c r="G33" s="181"/>
      <c r="H33" s="181"/>
      <c r="I33" s="181"/>
      <c r="J33" s="51">
        <v>0.16666666666666666</v>
      </c>
      <c r="K33" s="50" t="s">
        <v>27</v>
      </c>
      <c r="L33" s="53">
        <v>2.5</v>
      </c>
      <c r="M33" s="14" t="s">
        <v>1296</v>
      </c>
      <c r="N33" s="54">
        <f>L33*J33*H30</f>
        <v>1749.9999999999998</v>
      </c>
      <c r="O33" s="181"/>
      <c r="P33" s="181"/>
      <c r="Q33" s="57">
        <f t="shared" si="1"/>
        <v>0.68897637795275579</v>
      </c>
      <c r="R33" s="71">
        <v>2</v>
      </c>
      <c r="S33" s="14" t="s">
        <v>291</v>
      </c>
      <c r="T33" s="14" t="s">
        <v>292</v>
      </c>
      <c r="U33" s="63"/>
      <c r="V33" s="63"/>
      <c r="W33" s="63"/>
      <c r="X33" s="63"/>
      <c r="Y33" s="63"/>
      <c r="Z33" s="63"/>
      <c r="AA33" s="63"/>
      <c r="AB33" s="63"/>
      <c r="AC33" s="63"/>
      <c r="AD33" s="63"/>
      <c r="AE33" s="63"/>
      <c r="AF33" s="63"/>
      <c r="AG33" s="63"/>
      <c r="AH33" s="63"/>
      <c r="AI33" s="63"/>
      <c r="AJ33" s="63"/>
      <c r="AK33" s="63"/>
      <c r="AL33" s="63"/>
    </row>
    <row r="34" spans="1:40" ht="15" customHeight="1" x14ac:dyDescent="0.2">
      <c r="A34" s="181"/>
      <c r="B34" s="176"/>
      <c r="C34" s="176"/>
      <c r="D34" s="50" t="s">
        <v>293</v>
      </c>
      <c r="E34" s="50" t="s">
        <v>294</v>
      </c>
      <c r="F34" s="50" t="s">
        <v>12</v>
      </c>
      <c r="G34" s="176"/>
      <c r="H34" s="176"/>
      <c r="I34" s="176"/>
      <c r="J34" s="51">
        <v>4.1666666666666664E-2</v>
      </c>
      <c r="K34" s="50" t="s">
        <v>27</v>
      </c>
      <c r="L34" s="53">
        <v>50</v>
      </c>
      <c r="M34" s="14" t="s">
        <v>1297</v>
      </c>
      <c r="N34" s="54">
        <f>L34*J34*H30</f>
        <v>8749.9999999999982</v>
      </c>
      <c r="O34" s="181"/>
      <c r="P34" s="181"/>
      <c r="Q34" s="57">
        <f t="shared" si="1"/>
        <v>3.4448818897637787</v>
      </c>
      <c r="R34" s="71">
        <v>3</v>
      </c>
      <c r="S34" s="40" t="s">
        <v>296</v>
      </c>
      <c r="T34" s="14" t="s">
        <v>297</v>
      </c>
      <c r="U34" s="63"/>
      <c r="V34" s="63"/>
      <c r="W34" s="63"/>
      <c r="X34" s="63"/>
      <c r="Y34" s="63"/>
      <c r="Z34" s="63"/>
      <c r="AA34" s="63"/>
      <c r="AB34" s="63"/>
      <c r="AC34" s="63"/>
      <c r="AD34" s="63"/>
      <c r="AE34" s="63"/>
      <c r="AF34" s="63"/>
      <c r="AG34" s="63"/>
      <c r="AH34" s="63"/>
      <c r="AI34" s="63"/>
      <c r="AJ34" s="63"/>
      <c r="AK34" s="63"/>
      <c r="AL34" s="63"/>
    </row>
    <row r="35" spans="1:40" ht="14.25" customHeight="1" x14ac:dyDescent="0.2">
      <c r="A35" s="181"/>
      <c r="B35" s="183" t="s">
        <v>417</v>
      </c>
      <c r="C35" s="183" t="s">
        <v>662</v>
      </c>
      <c r="D35" s="179" t="s">
        <v>663</v>
      </c>
      <c r="E35" s="179" t="s">
        <v>13</v>
      </c>
      <c r="F35" s="179" t="s">
        <v>13</v>
      </c>
      <c r="G35" s="182">
        <v>2</v>
      </c>
      <c r="H35" s="178">
        <v>12</v>
      </c>
      <c r="I35" s="179" t="s">
        <v>166</v>
      </c>
      <c r="J35" s="175" t="s">
        <v>27</v>
      </c>
      <c r="K35" s="179" t="s">
        <v>27</v>
      </c>
      <c r="L35" s="178">
        <v>1</v>
      </c>
      <c r="M35" s="179" t="s">
        <v>422</v>
      </c>
      <c r="N35" s="180">
        <f>L35*G35*H35</f>
        <v>24</v>
      </c>
      <c r="O35" s="181"/>
      <c r="P35" s="181"/>
      <c r="Q35" s="175">
        <f>N35/O2</f>
        <v>9.4488188976377951E-3</v>
      </c>
      <c r="R35" s="190">
        <v>2</v>
      </c>
      <c r="S35" s="14" t="s">
        <v>623</v>
      </c>
      <c r="T35" s="85" t="s">
        <v>913</v>
      </c>
      <c r="U35" s="85"/>
      <c r="V35" s="85"/>
      <c r="W35" s="85"/>
      <c r="X35" s="85"/>
      <c r="Y35" s="85"/>
      <c r="Z35" s="85"/>
      <c r="AA35" s="85"/>
      <c r="AB35" s="85"/>
      <c r="AC35" s="85"/>
      <c r="AD35" s="85"/>
      <c r="AE35" s="85"/>
      <c r="AF35" s="85"/>
      <c r="AG35" s="85"/>
      <c r="AH35" s="85"/>
      <c r="AI35" s="85"/>
      <c r="AJ35" s="85"/>
      <c r="AK35" s="85"/>
      <c r="AL35" s="85"/>
      <c r="AM35" s="85"/>
      <c r="AN35" s="85"/>
    </row>
    <row r="36" spans="1:40" ht="14.25" customHeight="1" x14ac:dyDescent="0.2">
      <c r="A36" s="181"/>
      <c r="B36" s="181"/>
      <c r="C36" s="181"/>
      <c r="D36" s="181"/>
      <c r="E36" s="181"/>
      <c r="F36" s="181"/>
      <c r="G36" s="181"/>
      <c r="H36" s="181"/>
      <c r="I36" s="181"/>
      <c r="J36" s="181"/>
      <c r="K36" s="181"/>
      <c r="L36" s="181"/>
      <c r="M36" s="181"/>
      <c r="N36" s="181"/>
      <c r="O36" s="181"/>
      <c r="P36" s="181"/>
      <c r="Q36" s="181"/>
      <c r="R36" s="181"/>
      <c r="S36" s="40" t="s">
        <v>667</v>
      </c>
      <c r="T36" s="85" t="s">
        <v>668</v>
      </c>
      <c r="U36" s="85"/>
      <c r="V36" s="85"/>
      <c r="W36" s="85"/>
      <c r="X36" s="85"/>
      <c r="Y36" s="85"/>
      <c r="Z36" s="85"/>
      <c r="AA36" s="85"/>
      <c r="AB36" s="85"/>
      <c r="AC36" s="85"/>
      <c r="AD36" s="85"/>
      <c r="AE36" s="85"/>
      <c r="AF36" s="85"/>
      <c r="AG36" s="85"/>
      <c r="AH36" s="85"/>
      <c r="AI36" s="85"/>
      <c r="AJ36" s="85"/>
      <c r="AK36" s="85"/>
      <c r="AL36" s="85"/>
      <c r="AM36" s="85"/>
      <c r="AN36" s="85"/>
    </row>
    <row r="37" spans="1:40" ht="14.25" customHeight="1" x14ac:dyDescent="0.2">
      <c r="A37" s="181"/>
      <c r="B37" s="181"/>
      <c r="C37" s="181"/>
      <c r="D37" s="181"/>
      <c r="E37" s="181"/>
      <c r="F37" s="181"/>
      <c r="G37" s="181"/>
      <c r="H37" s="181"/>
      <c r="I37" s="181"/>
      <c r="J37" s="181"/>
      <c r="K37" s="181"/>
      <c r="L37" s="181"/>
      <c r="M37" s="181"/>
      <c r="N37" s="181"/>
      <c r="O37" s="181"/>
      <c r="P37" s="181"/>
      <c r="Q37" s="181"/>
      <c r="R37" s="181"/>
      <c r="S37" s="14" t="s">
        <v>669</v>
      </c>
      <c r="T37" s="85" t="s">
        <v>670</v>
      </c>
      <c r="U37" s="85"/>
      <c r="V37" s="85"/>
      <c r="W37" s="85"/>
      <c r="X37" s="85"/>
      <c r="Y37" s="85"/>
      <c r="Z37" s="85"/>
      <c r="AA37" s="85"/>
      <c r="AB37" s="85"/>
      <c r="AC37" s="85"/>
      <c r="AD37" s="85"/>
      <c r="AE37" s="85"/>
      <c r="AF37" s="85"/>
      <c r="AG37" s="85"/>
      <c r="AH37" s="85"/>
      <c r="AI37" s="85"/>
      <c r="AJ37" s="85"/>
      <c r="AK37" s="85"/>
      <c r="AL37" s="85"/>
      <c r="AM37" s="85"/>
      <c r="AN37" s="85"/>
    </row>
    <row r="38" spans="1:40" ht="14.25" customHeight="1" x14ac:dyDescent="0.2">
      <c r="A38" s="181"/>
      <c r="B38" s="181"/>
      <c r="C38" s="181"/>
      <c r="D38" s="176"/>
      <c r="E38" s="176"/>
      <c r="F38" s="176"/>
      <c r="G38" s="181"/>
      <c r="H38" s="176"/>
      <c r="I38" s="176"/>
      <c r="J38" s="176"/>
      <c r="K38" s="176"/>
      <c r="L38" s="176"/>
      <c r="M38" s="176"/>
      <c r="N38" s="176"/>
      <c r="O38" s="181"/>
      <c r="P38" s="181"/>
      <c r="Q38" s="176"/>
      <c r="R38" s="176"/>
      <c r="S38" s="14" t="s">
        <v>671</v>
      </c>
      <c r="T38" s="85" t="s">
        <v>672</v>
      </c>
      <c r="U38" s="85"/>
      <c r="V38" s="85"/>
      <c r="W38" s="85"/>
      <c r="X38" s="85"/>
      <c r="Y38" s="85"/>
      <c r="Z38" s="85"/>
      <c r="AA38" s="85"/>
      <c r="AB38" s="85"/>
      <c r="AC38" s="85"/>
      <c r="AD38" s="85"/>
      <c r="AE38" s="85"/>
      <c r="AF38" s="85"/>
      <c r="AG38" s="85"/>
      <c r="AH38" s="85"/>
      <c r="AI38" s="85"/>
      <c r="AJ38" s="85"/>
      <c r="AK38" s="85"/>
      <c r="AL38" s="85"/>
      <c r="AM38" s="85"/>
      <c r="AN38" s="85"/>
    </row>
    <row r="39" spans="1:40" ht="14.25" customHeight="1" x14ac:dyDescent="0.2">
      <c r="A39" s="181"/>
      <c r="B39" s="181"/>
      <c r="C39" s="181"/>
      <c r="D39" s="179" t="s">
        <v>433</v>
      </c>
      <c r="E39" s="179" t="s">
        <v>434</v>
      </c>
      <c r="F39" s="179" t="s">
        <v>435</v>
      </c>
      <c r="G39" s="181"/>
      <c r="H39" s="178">
        <v>12</v>
      </c>
      <c r="I39" s="179" t="s">
        <v>166</v>
      </c>
      <c r="J39" s="175">
        <v>2.0833333333333332E-2</v>
      </c>
      <c r="K39" s="193" t="s">
        <v>27</v>
      </c>
      <c r="L39" s="194">
        <v>158</v>
      </c>
      <c r="M39" s="193" t="s">
        <v>1301</v>
      </c>
      <c r="N39" s="180">
        <f>L39*J39*H39*G35*2</f>
        <v>158</v>
      </c>
      <c r="O39" s="181"/>
      <c r="P39" s="181"/>
      <c r="Q39" s="175">
        <f>N39/O2</f>
        <v>6.2204724409448818E-2</v>
      </c>
      <c r="R39" s="190">
        <v>2</v>
      </c>
      <c r="S39" s="14" t="s">
        <v>191</v>
      </c>
      <c r="T39" s="85" t="s">
        <v>1303</v>
      </c>
      <c r="U39" s="85"/>
      <c r="V39" s="85"/>
      <c r="W39" s="85"/>
      <c r="X39" s="85"/>
      <c r="Y39" s="85"/>
      <c r="Z39" s="85"/>
      <c r="AA39" s="85"/>
      <c r="AB39" s="85"/>
      <c r="AC39" s="85"/>
      <c r="AD39" s="85"/>
      <c r="AE39" s="85"/>
      <c r="AF39" s="85"/>
      <c r="AG39" s="85"/>
      <c r="AH39" s="85"/>
      <c r="AI39" s="85"/>
      <c r="AJ39" s="85"/>
      <c r="AK39" s="85"/>
      <c r="AL39" s="85"/>
      <c r="AM39" s="85"/>
      <c r="AN39" s="85"/>
    </row>
    <row r="40" spans="1:40" ht="14.25" customHeight="1" x14ac:dyDescent="0.2">
      <c r="A40" s="181"/>
      <c r="B40" s="181"/>
      <c r="C40" s="181"/>
      <c r="D40" s="181"/>
      <c r="E40" s="181"/>
      <c r="F40" s="181"/>
      <c r="G40" s="181"/>
      <c r="H40" s="181"/>
      <c r="I40" s="181"/>
      <c r="J40" s="181"/>
      <c r="K40" s="181"/>
      <c r="L40" s="181"/>
      <c r="M40" s="181"/>
      <c r="N40" s="181"/>
      <c r="O40" s="181"/>
      <c r="P40" s="181"/>
      <c r="Q40" s="181"/>
      <c r="R40" s="181"/>
      <c r="S40" s="14" t="s">
        <v>443</v>
      </c>
      <c r="T40" s="85" t="s">
        <v>444</v>
      </c>
      <c r="U40" s="85"/>
      <c r="V40" s="85"/>
      <c r="W40" s="85"/>
      <c r="X40" s="85"/>
      <c r="Y40" s="85"/>
      <c r="Z40" s="85"/>
      <c r="AA40" s="85"/>
      <c r="AB40" s="85"/>
      <c r="AC40" s="85"/>
      <c r="AD40" s="85"/>
      <c r="AE40" s="85"/>
      <c r="AF40" s="85"/>
      <c r="AG40" s="85"/>
      <c r="AH40" s="85"/>
      <c r="AI40" s="85"/>
      <c r="AJ40" s="85"/>
      <c r="AK40" s="85"/>
      <c r="AL40" s="85"/>
      <c r="AM40" s="85"/>
      <c r="AN40" s="85"/>
    </row>
    <row r="41" spans="1:40" ht="14.25" customHeight="1" x14ac:dyDescent="0.2">
      <c r="A41" s="181"/>
      <c r="B41" s="181"/>
      <c r="C41" s="181"/>
      <c r="D41" s="181"/>
      <c r="E41" s="181"/>
      <c r="F41" s="181"/>
      <c r="G41" s="181"/>
      <c r="H41" s="181"/>
      <c r="I41" s="181"/>
      <c r="J41" s="181"/>
      <c r="K41" s="181"/>
      <c r="L41" s="181"/>
      <c r="M41" s="181"/>
      <c r="N41" s="181"/>
      <c r="O41" s="181"/>
      <c r="P41" s="181"/>
      <c r="Q41" s="181"/>
      <c r="R41" s="181"/>
      <c r="S41" s="14" t="s">
        <v>451</v>
      </c>
      <c r="T41" s="85" t="s">
        <v>452</v>
      </c>
      <c r="U41" s="85"/>
      <c r="V41" s="85"/>
      <c r="W41" s="85"/>
      <c r="X41" s="85"/>
      <c r="Y41" s="85"/>
      <c r="Z41" s="85"/>
      <c r="AA41" s="85"/>
      <c r="AB41" s="85"/>
      <c r="AC41" s="85"/>
      <c r="AD41" s="85"/>
      <c r="AE41" s="85"/>
      <c r="AF41" s="85"/>
      <c r="AG41" s="85"/>
      <c r="AH41" s="85"/>
      <c r="AI41" s="85"/>
      <c r="AJ41" s="85"/>
      <c r="AK41" s="85"/>
      <c r="AL41" s="85"/>
      <c r="AM41" s="85"/>
      <c r="AN41" s="85"/>
    </row>
    <row r="42" spans="1:40" ht="14.25" customHeight="1" x14ac:dyDescent="0.2">
      <c r="A42" s="181"/>
      <c r="B42" s="181"/>
      <c r="C42" s="181"/>
      <c r="D42" s="176"/>
      <c r="E42" s="176"/>
      <c r="F42" s="176"/>
      <c r="G42" s="181"/>
      <c r="H42" s="181"/>
      <c r="I42" s="181"/>
      <c r="J42" s="176"/>
      <c r="K42" s="176"/>
      <c r="L42" s="176"/>
      <c r="M42" s="176"/>
      <c r="N42" s="176"/>
      <c r="O42" s="181"/>
      <c r="P42" s="181"/>
      <c r="Q42" s="176"/>
      <c r="R42" s="176"/>
      <c r="S42" s="40" t="s">
        <v>447</v>
      </c>
      <c r="T42" s="85" t="s">
        <v>449</v>
      </c>
      <c r="U42" s="85"/>
      <c r="V42" s="85"/>
      <c r="W42" s="85"/>
      <c r="X42" s="85"/>
      <c r="Y42" s="85"/>
      <c r="Z42" s="85"/>
      <c r="AA42" s="85"/>
      <c r="AB42" s="85"/>
      <c r="AC42" s="85"/>
      <c r="AD42" s="85"/>
      <c r="AE42" s="85"/>
      <c r="AF42" s="85"/>
      <c r="AG42" s="85"/>
      <c r="AH42" s="85"/>
      <c r="AI42" s="85"/>
      <c r="AJ42" s="85"/>
      <c r="AK42" s="85"/>
      <c r="AL42" s="85"/>
      <c r="AM42" s="85"/>
      <c r="AN42" s="85"/>
    </row>
    <row r="43" spans="1:40" ht="17.25" customHeight="1" x14ac:dyDescent="0.2">
      <c r="A43" s="181"/>
      <c r="B43" s="181"/>
      <c r="C43" s="181"/>
      <c r="D43" s="179" t="s">
        <v>677</v>
      </c>
      <c r="E43" s="179" t="s">
        <v>287</v>
      </c>
      <c r="F43" s="179" t="s">
        <v>19</v>
      </c>
      <c r="G43" s="181"/>
      <c r="H43" s="181"/>
      <c r="I43" s="181"/>
      <c r="J43" s="175">
        <v>2.5000000000000001E-3</v>
      </c>
      <c r="K43" s="179" t="s">
        <v>27</v>
      </c>
      <c r="L43" s="178">
        <v>0.17</v>
      </c>
      <c r="M43" s="179" t="s">
        <v>1305</v>
      </c>
      <c r="N43" s="195">
        <f>L43*H39*G35*2</f>
        <v>8.16</v>
      </c>
      <c r="O43" s="181"/>
      <c r="P43" s="181"/>
      <c r="Q43" s="175">
        <f>N43/O2</f>
        <v>3.2125984251968505E-3</v>
      </c>
      <c r="R43" s="190">
        <v>2</v>
      </c>
      <c r="S43" s="14" t="s">
        <v>451</v>
      </c>
      <c r="T43" s="85" t="s">
        <v>452</v>
      </c>
      <c r="U43" s="85"/>
      <c r="V43" s="85"/>
      <c r="W43" s="85"/>
      <c r="X43" s="85"/>
      <c r="Y43" s="85"/>
      <c r="Z43" s="85"/>
      <c r="AA43" s="85"/>
      <c r="AB43" s="85"/>
      <c r="AC43" s="85"/>
      <c r="AD43" s="85"/>
      <c r="AE43" s="85"/>
      <c r="AF43" s="85"/>
      <c r="AG43" s="85"/>
      <c r="AH43" s="85"/>
      <c r="AI43" s="85"/>
      <c r="AJ43" s="85"/>
      <c r="AK43" s="85"/>
      <c r="AL43" s="85"/>
      <c r="AM43" s="85"/>
      <c r="AN43" s="85"/>
    </row>
    <row r="44" spans="1:40" ht="14.25" customHeight="1" x14ac:dyDescent="0.2">
      <c r="A44" s="181"/>
      <c r="B44" s="176"/>
      <c r="C44" s="176"/>
      <c r="D44" s="176"/>
      <c r="E44" s="176"/>
      <c r="F44" s="176"/>
      <c r="G44" s="176"/>
      <c r="H44" s="176"/>
      <c r="I44" s="176"/>
      <c r="J44" s="176"/>
      <c r="K44" s="176"/>
      <c r="L44" s="176"/>
      <c r="M44" s="176"/>
      <c r="N44" s="176"/>
      <c r="O44" s="181"/>
      <c r="P44" s="181"/>
      <c r="Q44" s="176"/>
      <c r="R44" s="176"/>
      <c r="S44" s="40" t="s">
        <v>460</v>
      </c>
      <c r="T44" s="85" t="s">
        <v>461</v>
      </c>
      <c r="U44" s="85"/>
      <c r="V44" s="85"/>
      <c r="W44" s="85"/>
      <c r="X44" s="85"/>
      <c r="Y44" s="85"/>
      <c r="Z44" s="85"/>
      <c r="AA44" s="85"/>
      <c r="AB44" s="85"/>
      <c r="AC44" s="85"/>
      <c r="AD44" s="85"/>
      <c r="AE44" s="85"/>
      <c r="AF44" s="85"/>
      <c r="AG44" s="85"/>
      <c r="AH44" s="85"/>
      <c r="AI44" s="85"/>
      <c r="AJ44" s="85"/>
      <c r="AK44" s="85"/>
      <c r="AL44" s="85"/>
      <c r="AM44" s="85"/>
      <c r="AN44" s="85"/>
    </row>
    <row r="45" spans="1:40" ht="14.25" customHeight="1" x14ac:dyDescent="0.2">
      <c r="A45" s="181"/>
      <c r="B45" s="183" t="s">
        <v>321</v>
      </c>
      <c r="C45" s="184" t="s">
        <v>484</v>
      </c>
      <c r="D45" s="179" t="s">
        <v>286</v>
      </c>
      <c r="E45" s="179" t="s">
        <v>287</v>
      </c>
      <c r="F45" s="179" t="s">
        <v>10</v>
      </c>
      <c r="G45" s="178">
        <v>2</v>
      </c>
      <c r="H45" s="182">
        <v>2800</v>
      </c>
      <c r="I45" s="183" t="s">
        <v>166</v>
      </c>
      <c r="J45" s="175">
        <v>0.125</v>
      </c>
      <c r="K45" s="179" t="s">
        <v>27</v>
      </c>
      <c r="L45" s="178">
        <v>2.5</v>
      </c>
      <c r="M45" s="179" t="s">
        <v>1313</v>
      </c>
      <c r="N45" s="180">
        <f>H45*L45*(J45)*G45</f>
        <v>1750</v>
      </c>
      <c r="O45" s="181"/>
      <c r="P45" s="181"/>
      <c r="Q45" s="175">
        <f>N45/$O$2</f>
        <v>0.6889763779527559</v>
      </c>
      <c r="R45" s="192">
        <v>3</v>
      </c>
      <c r="S45" s="14" t="s">
        <v>347</v>
      </c>
      <c r="T45" s="85" t="s">
        <v>490</v>
      </c>
      <c r="U45" s="85"/>
      <c r="V45" s="85"/>
      <c r="W45" s="85"/>
      <c r="X45" s="85"/>
      <c r="Y45" s="85"/>
      <c r="Z45" s="85"/>
      <c r="AA45" s="85"/>
      <c r="AB45" s="85"/>
      <c r="AC45" s="85"/>
      <c r="AD45" s="85"/>
      <c r="AE45" s="85"/>
      <c r="AF45" s="85"/>
      <c r="AG45" s="85"/>
      <c r="AH45" s="85"/>
      <c r="AI45" s="85"/>
      <c r="AJ45" s="85"/>
      <c r="AK45" s="85"/>
      <c r="AL45" s="85"/>
      <c r="AM45" s="85"/>
      <c r="AN45" s="85"/>
    </row>
    <row r="46" spans="1:40" ht="14.25" customHeight="1" x14ac:dyDescent="0.2">
      <c r="A46" s="181"/>
      <c r="B46" s="181"/>
      <c r="C46" s="181"/>
      <c r="D46" s="181"/>
      <c r="E46" s="181"/>
      <c r="F46" s="181"/>
      <c r="G46" s="181"/>
      <c r="H46" s="181"/>
      <c r="I46" s="181"/>
      <c r="J46" s="181"/>
      <c r="K46" s="181"/>
      <c r="L46" s="181"/>
      <c r="M46" s="181"/>
      <c r="N46" s="181"/>
      <c r="O46" s="181"/>
      <c r="P46" s="181"/>
      <c r="Q46" s="181"/>
      <c r="R46" s="181"/>
      <c r="S46" s="14" t="s">
        <v>349</v>
      </c>
      <c r="T46" s="85" t="s">
        <v>350</v>
      </c>
      <c r="U46" s="85"/>
      <c r="V46" s="85"/>
      <c r="W46" s="85"/>
      <c r="X46" s="85"/>
      <c r="Y46" s="85"/>
      <c r="Z46" s="85"/>
      <c r="AA46" s="85"/>
      <c r="AB46" s="85"/>
      <c r="AC46" s="85"/>
      <c r="AD46" s="85"/>
      <c r="AE46" s="85"/>
      <c r="AF46" s="85"/>
      <c r="AG46" s="85"/>
      <c r="AH46" s="85"/>
      <c r="AI46" s="85"/>
      <c r="AJ46" s="85"/>
      <c r="AK46" s="85"/>
      <c r="AL46" s="85"/>
      <c r="AM46" s="85"/>
      <c r="AN46" s="85"/>
    </row>
    <row r="47" spans="1:40" ht="14.25" customHeight="1" x14ac:dyDescent="0.2">
      <c r="A47" s="181"/>
      <c r="B47" s="181"/>
      <c r="C47" s="181"/>
      <c r="D47" s="176"/>
      <c r="E47" s="176"/>
      <c r="F47" s="176"/>
      <c r="G47" s="176"/>
      <c r="H47" s="181"/>
      <c r="I47" s="181"/>
      <c r="J47" s="176"/>
      <c r="K47" s="176"/>
      <c r="L47" s="176"/>
      <c r="M47" s="176"/>
      <c r="N47" s="176"/>
      <c r="O47" s="181"/>
      <c r="P47" s="181"/>
      <c r="Q47" s="176"/>
      <c r="R47" s="176"/>
      <c r="S47" s="44" t="s">
        <v>191</v>
      </c>
      <c r="T47" s="44" t="s">
        <v>593</v>
      </c>
      <c r="U47" s="85"/>
      <c r="V47" s="85"/>
      <c r="W47" s="85"/>
      <c r="X47" s="85"/>
      <c r="Y47" s="85"/>
      <c r="Z47" s="85"/>
      <c r="AA47" s="85"/>
      <c r="AB47" s="85"/>
      <c r="AC47" s="85"/>
      <c r="AD47" s="85"/>
      <c r="AE47" s="85"/>
      <c r="AF47" s="85"/>
      <c r="AG47" s="85"/>
      <c r="AH47" s="85"/>
      <c r="AI47" s="85"/>
      <c r="AJ47" s="85"/>
      <c r="AK47" s="85"/>
      <c r="AL47" s="85"/>
      <c r="AM47" s="85"/>
      <c r="AN47" s="85"/>
    </row>
    <row r="48" spans="1:40" ht="14.25" customHeight="1" x14ac:dyDescent="0.2">
      <c r="A48" s="181"/>
      <c r="B48" s="181"/>
      <c r="C48" s="181"/>
      <c r="D48" s="179" t="s">
        <v>498</v>
      </c>
      <c r="E48" s="179" t="s">
        <v>294</v>
      </c>
      <c r="F48" s="196" t="s">
        <v>12</v>
      </c>
      <c r="G48" s="178">
        <v>1</v>
      </c>
      <c r="H48" s="181"/>
      <c r="I48" s="181"/>
      <c r="J48" s="193">
        <v>4.1666666666666664E-2</v>
      </c>
      <c r="K48" s="179" t="s">
        <v>27</v>
      </c>
      <c r="L48" s="178">
        <v>2</v>
      </c>
      <c r="M48" s="179" t="s">
        <v>1317</v>
      </c>
      <c r="N48" s="201">
        <f>H45*L48</f>
        <v>5600</v>
      </c>
      <c r="O48" s="181"/>
      <c r="P48" s="181"/>
      <c r="Q48" s="175">
        <f>N48/$O$2</f>
        <v>2.204724409448819</v>
      </c>
      <c r="R48" s="191">
        <v>3</v>
      </c>
      <c r="S48" s="14" t="s">
        <v>503</v>
      </c>
      <c r="T48" s="85" t="s">
        <v>504</v>
      </c>
      <c r="U48" s="85"/>
      <c r="V48" s="85"/>
      <c r="W48" s="85"/>
      <c r="X48" s="85"/>
      <c r="Y48" s="85"/>
      <c r="Z48" s="85"/>
      <c r="AA48" s="85"/>
      <c r="AB48" s="85"/>
      <c r="AC48" s="85"/>
      <c r="AD48" s="85"/>
      <c r="AE48" s="85"/>
      <c r="AF48" s="85"/>
      <c r="AG48" s="85"/>
      <c r="AH48" s="85"/>
      <c r="AI48" s="85"/>
      <c r="AJ48" s="85"/>
      <c r="AK48" s="85"/>
      <c r="AL48" s="85"/>
      <c r="AM48" s="85"/>
      <c r="AN48" s="85"/>
    </row>
    <row r="49" spans="1:40" ht="14.25" customHeight="1" x14ac:dyDescent="0.2">
      <c r="A49" s="181"/>
      <c r="B49" s="181"/>
      <c r="C49" s="181"/>
      <c r="D49" s="181"/>
      <c r="E49" s="181"/>
      <c r="F49" s="181"/>
      <c r="G49" s="181"/>
      <c r="H49" s="181"/>
      <c r="I49" s="181"/>
      <c r="J49" s="181"/>
      <c r="K49" s="181"/>
      <c r="L49" s="181"/>
      <c r="M49" s="181"/>
      <c r="N49" s="181"/>
      <c r="O49" s="181"/>
      <c r="P49" s="181"/>
      <c r="Q49" s="181"/>
      <c r="R49" s="181"/>
      <c r="S49" s="14" t="s">
        <v>508</v>
      </c>
      <c r="T49" s="85" t="s">
        <v>509</v>
      </c>
      <c r="U49" s="85"/>
      <c r="V49" s="85"/>
      <c r="W49" s="85"/>
      <c r="X49" s="85"/>
      <c r="Y49" s="85"/>
      <c r="Z49" s="85"/>
      <c r="AA49" s="85"/>
      <c r="AB49" s="85"/>
      <c r="AC49" s="85"/>
      <c r="AD49" s="85"/>
      <c r="AE49" s="85"/>
      <c r="AF49" s="85"/>
      <c r="AG49" s="85"/>
      <c r="AH49" s="85"/>
      <c r="AI49" s="85"/>
      <c r="AJ49" s="85"/>
      <c r="AK49" s="85"/>
      <c r="AL49" s="85"/>
      <c r="AM49" s="85"/>
      <c r="AN49" s="85"/>
    </row>
    <row r="50" spans="1:40" ht="14.25" customHeight="1" x14ac:dyDescent="0.2">
      <c r="A50" s="181"/>
      <c r="B50" s="181"/>
      <c r="C50" s="181"/>
      <c r="D50" s="176"/>
      <c r="E50" s="176"/>
      <c r="F50" s="176"/>
      <c r="G50" s="176"/>
      <c r="H50" s="181"/>
      <c r="I50" s="181"/>
      <c r="J50" s="176"/>
      <c r="K50" s="176"/>
      <c r="L50" s="176"/>
      <c r="M50" s="176"/>
      <c r="N50" s="176"/>
      <c r="O50" s="181"/>
      <c r="P50" s="181"/>
      <c r="Q50" s="176"/>
      <c r="R50" s="176"/>
      <c r="S50" s="40" t="s">
        <v>510</v>
      </c>
      <c r="T50" s="85" t="s">
        <v>512</v>
      </c>
      <c r="U50" s="85"/>
      <c r="V50" s="85"/>
      <c r="W50" s="85"/>
      <c r="X50" s="85"/>
      <c r="Y50" s="85"/>
      <c r="Z50" s="85"/>
      <c r="AA50" s="85"/>
      <c r="AB50" s="85"/>
      <c r="AC50" s="85"/>
      <c r="AD50" s="85"/>
      <c r="AE50" s="85"/>
      <c r="AF50" s="85"/>
      <c r="AG50" s="85"/>
      <c r="AH50" s="85"/>
      <c r="AI50" s="85"/>
      <c r="AJ50" s="85"/>
      <c r="AK50" s="85"/>
      <c r="AL50" s="85"/>
      <c r="AM50" s="85"/>
      <c r="AN50" s="85"/>
    </row>
    <row r="51" spans="1:40" ht="15" customHeight="1" x14ac:dyDescent="0.2">
      <c r="A51" s="181"/>
      <c r="B51" s="181"/>
      <c r="C51" s="181"/>
      <c r="D51" s="179" t="s">
        <v>515</v>
      </c>
      <c r="E51" s="179" t="s">
        <v>516</v>
      </c>
      <c r="F51" s="179" t="s">
        <v>517</v>
      </c>
      <c r="G51" s="178">
        <v>1</v>
      </c>
      <c r="H51" s="181"/>
      <c r="I51" s="181"/>
      <c r="J51" s="175" t="s">
        <v>27</v>
      </c>
      <c r="K51" s="179" t="s">
        <v>27</v>
      </c>
      <c r="L51" s="178">
        <v>6.3</v>
      </c>
      <c r="M51" s="179" t="s">
        <v>1323</v>
      </c>
      <c r="N51" s="180">
        <f>L51*H45</f>
        <v>17640</v>
      </c>
      <c r="O51" s="181"/>
      <c r="P51" s="181"/>
      <c r="Q51" s="175">
        <f>N51/$O$2</f>
        <v>6.9448818897637796</v>
      </c>
      <c r="R51" s="191">
        <v>5</v>
      </c>
      <c r="S51" s="14" t="s">
        <v>521</v>
      </c>
      <c r="T51" s="85" t="s">
        <v>522</v>
      </c>
      <c r="U51" s="85"/>
      <c r="V51" s="85"/>
      <c r="W51" s="85"/>
      <c r="X51" s="85"/>
      <c r="Y51" s="85"/>
      <c r="Z51" s="85"/>
      <c r="AA51" s="85"/>
      <c r="AB51" s="85"/>
      <c r="AC51" s="85"/>
      <c r="AD51" s="85"/>
      <c r="AE51" s="85"/>
      <c r="AF51" s="85"/>
      <c r="AG51" s="85"/>
      <c r="AH51" s="85"/>
      <c r="AI51" s="85"/>
      <c r="AJ51" s="85"/>
      <c r="AK51" s="85"/>
      <c r="AL51" s="85"/>
      <c r="AM51" s="85"/>
      <c r="AN51" s="85"/>
    </row>
    <row r="52" spans="1:40" ht="14.25" customHeight="1" x14ac:dyDescent="0.2">
      <c r="A52" s="181"/>
      <c r="B52" s="181"/>
      <c r="C52" s="181"/>
      <c r="D52" s="176"/>
      <c r="E52" s="176"/>
      <c r="F52" s="176"/>
      <c r="G52" s="176"/>
      <c r="H52" s="181"/>
      <c r="I52" s="176"/>
      <c r="J52" s="176"/>
      <c r="K52" s="176"/>
      <c r="L52" s="176"/>
      <c r="M52" s="176"/>
      <c r="N52" s="176"/>
      <c r="O52" s="181"/>
      <c r="P52" s="181"/>
      <c r="Q52" s="176"/>
      <c r="R52" s="176"/>
      <c r="S52" s="14" t="s">
        <v>524</v>
      </c>
      <c r="T52" s="85" t="s">
        <v>525</v>
      </c>
      <c r="U52" s="85"/>
      <c r="V52" s="85"/>
      <c r="W52" s="85"/>
      <c r="X52" s="85"/>
      <c r="Y52" s="85"/>
      <c r="Z52" s="85"/>
      <c r="AA52" s="85"/>
      <c r="AB52" s="85"/>
      <c r="AC52" s="85"/>
      <c r="AD52" s="85"/>
      <c r="AE52" s="85"/>
      <c r="AF52" s="85"/>
      <c r="AG52" s="85"/>
      <c r="AH52" s="85"/>
      <c r="AI52" s="85"/>
      <c r="AJ52" s="85"/>
      <c r="AK52" s="85"/>
      <c r="AL52" s="85"/>
      <c r="AM52" s="85"/>
      <c r="AN52" s="85"/>
    </row>
    <row r="53" spans="1:40" ht="17.25" customHeight="1" x14ac:dyDescent="0.2">
      <c r="A53" s="181"/>
      <c r="B53" s="181"/>
      <c r="C53" s="181"/>
      <c r="D53" s="179" t="s">
        <v>526</v>
      </c>
      <c r="E53" s="179" t="s">
        <v>527</v>
      </c>
      <c r="F53" s="179" t="s">
        <v>23</v>
      </c>
      <c r="G53" s="182">
        <v>1</v>
      </c>
      <c r="H53" s="181"/>
      <c r="I53" s="183" t="s">
        <v>166</v>
      </c>
      <c r="J53" s="175" t="s">
        <v>27</v>
      </c>
      <c r="K53" s="179" t="s">
        <v>27</v>
      </c>
      <c r="L53" s="178">
        <v>1</v>
      </c>
      <c r="M53" s="179" t="s">
        <v>1326</v>
      </c>
      <c r="N53" s="180">
        <f>L53*H45</f>
        <v>2800</v>
      </c>
      <c r="O53" s="181"/>
      <c r="P53" s="181"/>
      <c r="Q53" s="175">
        <f>N53/$O$2</f>
        <v>1.1023622047244095</v>
      </c>
      <c r="R53" s="191">
        <v>3</v>
      </c>
      <c r="S53" s="40" t="s">
        <v>530</v>
      </c>
      <c r="T53" s="85" t="s">
        <v>531</v>
      </c>
      <c r="U53" s="85"/>
      <c r="V53" s="85"/>
      <c r="W53" s="85"/>
      <c r="X53" s="85"/>
      <c r="Y53" s="85"/>
      <c r="Z53" s="85"/>
      <c r="AA53" s="85"/>
      <c r="AB53" s="85"/>
      <c r="AC53" s="85"/>
      <c r="AD53" s="85"/>
      <c r="AE53" s="85"/>
      <c r="AF53" s="85"/>
      <c r="AG53" s="85"/>
      <c r="AH53" s="85"/>
      <c r="AI53" s="85"/>
      <c r="AJ53" s="85"/>
      <c r="AK53" s="85"/>
      <c r="AL53" s="85"/>
      <c r="AM53" s="85"/>
      <c r="AN53" s="85"/>
    </row>
    <row r="54" spans="1:40" ht="14.25" customHeight="1" x14ac:dyDescent="0.2">
      <c r="A54" s="181"/>
      <c r="B54" s="181"/>
      <c r="C54" s="181"/>
      <c r="D54" s="181"/>
      <c r="E54" s="181"/>
      <c r="F54" s="181"/>
      <c r="G54" s="181"/>
      <c r="H54" s="181"/>
      <c r="I54" s="181"/>
      <c r="J54" s="181"/>
      <c r="K54" s="181"/>
      <c r="L54" s="181"/>
      <c r="M54" s="181"/>
      <c r="N54" s="181"/>
      <c r="O54" s="181"/>
      <c r="P54" s="181"/>
      <c r="Q54" s="181"/>
      <c r="R54" s="181"/>
      <c r="S54" s="44" t="s">
        <v>191</v>
      </c>
      <c r="T54" s="44" t="s">
        <v>534</v>
      </c>
      <c r="U54" s="85"/>
      <c r="V54" s="85"/>
      <c r="W54" s="85"/>
      <c r="X54" s="85"/>
      <c r="Y54" s="85"/>
      <c r="Z54" s="85"/>
      <c r="AA54" s="85"/>
      <c r="AB54" s="85"/>
      <c r="AC54" s="85"/>
      <c r="AD54" s="85"/>
      <c r="AE54" s="85"/>
      <c r="AF54" s="85"/>
      <c r="AG54" s="85"/>
      <c r="AH54" s="85"/>
      <c r="AI54" s="85"/>
      <c r="AJ54" s="85"/>
      <c r="AK54" s="85"/>
      <c r="AL54" s="85"/>
      <c r="AM54" s="85"/>
      <c r="AN54" s="85"/>
    </row>
    <row r="55" spans="1:40" ht="14.25" customHeight="1" x14ac:dyDescent="0.2">
      <c r="A55" s="176"/>
      <c r="B55" s="176"/>
      <c r="C55" s="176"/>
      <c r="D55" s="176"/>
      <c r="E55" s="176"/>
      <c r="F55" s="176"/>
      <c r="G55" s="176"/>
      <c r="H55" s="176"/>
      <c r="I55" s="176"/>
      <c r="J55" s="176"/>
      <c r="K55" s="176"/>
      <c r="L55" s="176"/>
      <c r="M55" s="176"/>
      <c r="N55" s="176"/>
      <c r="O55" s="197"/>
      <c r="P55" s="197"/>
      <c r="Q55" s="176"/>
      <c r="R55" s="176"/>
      <c r="S55" s="14" t="s">
        <v>536</v>
      </c>
      <c r="T55" s="85" t="s">
        <v>537</v>
      </c>
      <c r="U55" s="85"/>
      <c r="V55" s="85"/>
      <c r="W55" s="85"/>
      <c r="X55" s="85"/>
      <c r="Y55" s="85"/>
      <c r="Z55" s="85"/>
      <c r="AA55" s="85"/>
      <c r="AB55" s="85"/>
      <c r="AC55" s="85"/>
      <c r="AD55" s="85"/>
      <c r="AE55" s="85"/>
      <c r="AF55" s="85"/>
      <c r="AG55" s="85"/>
      <c r="AH55" s="85"/>
      <c r="AI55" s="85"/>
      <c r="AJ55" s="85"/>
      <c r="AK55" s="85"/>
      <c r="AL55" s="85"/>
      <c r="AM55" s="85"/>
      <c r="AN55" s="85"/>
    </row>
    <row r="56" spans="1:40" ht="14.25" customHeight="1" x14ac:dyDescent="0.2">
      <c r="T56" s="84"/>
    </row>
    <row r="57" spans="1:40" ht="14.25" customHeight="1" x14ac:dyDescent="0.2">
      <c r="T57" s="84"/>
    </row>
    <row r="58" spans="1:40" ht="14.25" customHeight="1" x14ac:dyDescent="0.2">
      <c r="F58" s="28" t="s">
        <v>121</v>
      </c>
      <c r="G58" s="28" t="s">
        <v>128</v>
      </c>
      <c r="H58" s="28" t="s">
        <v>1328</v>
      </c>
      <c r="T58" s="84"/>
    </row>
    <row r="59" spans="1:40" ht="14.25" customHeight="1" x14ac:dyDescent="0.2">
      <c r="F59" s="50" t="s">
        <v>140</v>
      </c>
      <c r="G59" s="72">
        <f t="shared" ref="G59:G73" si="2">SUMIF($F$2:$F$55,F59,N$2:N$55)</f>
        <v>337800</v>
      </c>
      <c r="H59" s="73">
        <f t="shared" ref="H59:H73" si="3">SUMIF($F$2:$F$55,F59,Q$2:Q$55)</f>
        <v>132.99212598425197</v>
      </c>
      <c r="T59" s="84"/>
    </row>
    <row r="60" spans="1:40" ht="14.25" customHeight="1" x14ac:dyDescent="0.2">
      <c r="F60" s="14" t="s">
        <v>156</v>
      </c>
      <c r="G60" s="72">
        <f t="shared" si="2"/>
        <v>14506</v>
      </c>
      <c r="H60" s="73">
        <f t="shared" si="3"/>
        <v>5.7110236220472448</v>
      </c>
      <c r="T60" s="84"/>
    </row>
    <row r="61" spans="1:40" ht="14.25" customHeight="1" x14ac:dyDescent="0.2">
      <c r="F61" s="50" t="s">
        <v>7</v>
      </c>
      <c r="G61" s="72">
        <f t="shared" si="2"/>
        <v>14137.2</v>
      </c>
      <c r="H61" s="73">
        <f t="shared" si="3"/>
        <v>5.5658267716535432</v>
      </c>
      <c r="T61" s="84"/>
    </row>
    <row r="62" spans="1:40" ht="14.25" customHeight="1" x14ac:dyDescent="0.2">
      <c r="F62" s="34" t="s">
        <v>8</v>
      </c>
      <c r="G62" s="72">
        <f t="shared" si="2"/>
        <v>10788</v>
      </c>
      <c r="H62" s="73">
        <f t="shared" si="3"/>
        <v>4.2472440944881891</v>
      </c>
      <c r="T62" s="84"/>
    </row>
    <row r="63" spans="1:40" ht="14.25" customHeight="1" x14ac:dyDescent="0.2">
      <c r="F63" s="34" t="s">
        <v>9</v>
      </c>
      <c r="G63" s="72">
        <f t="shared" si="2"/>
        <v>4695</v>
      </c>
      <c r="H63" s="73">
        <f t="shared" si="3"/>
        <v>1.8484251968503937</v>
      </c>
      <c r="T63" s="84"/>
    </row>
    <row r="64" spans="1:40" ht="14.25" customHeight="1" x14ac:dyDescent="0.2">
      <c r="F64" s="50" t="s">
        <v>399</v>
      </c>
      <c r="G64" s="72">
        <f t="shared" si="2"/>
        <v>93750</v>
      </c>
      <c r="H64" s="73">
        <f t="shared" si="3"/>
        <v>36.909448818897637</v>
      </c>
      <c r="T64" s="84"/>
    </row>
    <row r="65" spans="6:20" ht="14.25" customHeight="1" x14ac:dyDescent="0.2">
      <c r="F65" s="50" t="s">
        <v>1130</v>
      </c>
      <c r="G65" s="72">
        <f t="shared" si="2"/>
        <v>319.2</v>
      </c>
      <c r="H65" s="73">
        <f t="shared" si="3"/>
        <v>0.12566929133858268</v>
      </c>
      <c r="T65" s="84"/>
    </row>
    <row r="66" spans="6:20" ht="14.25" customHeight="1" x14ac:dyDescent="0.2">
      <c r="F66" s="50" t="s">
        <v>12</v>
      </c>
      <c r="G66" s="72">
        <f t="shared" si="2"/>
        <v>14349.999999999998</v>
      </c>
      <c r="H66" s="73">
        <f t="shared" si="3"/>
        <v>5.6496062992125982</v>
      </c>
      <c r="T66" s="84"/>
    </row>
    <row r="67" spans="6:20" ht="14.25" customHeight="1" x14ac:dyDescent="0.2">
      <c r="F67" s="34" t="s">
        <v>13</v>
      </c>
      <c r="G67" s="72">
        <f t="shared" si="2"/>
        <v>24</v>
      </c>
      <c r="H67" s="73">
        <f t="shared" si="3"/>
        <v>9.4488188976377951E-3</v>
      </c>
      <c r="T67" s="84"/>
    </row>
    <row r="68" spans="6:20" ht="14.25" customHeight="1" x14ac:dyDescent="0.2">
      <c r="F68" s="50" t="s">
        <v>435</v>
      </c>
      <c r="G68" s="72">
        <f t="shared" si="2"/>
        <v>158</v>
      </c>
      <c r="H68" s="73">
        <f t="shared" si="3"/>
        <v>6.2204724409448818E-2</v>
      </c>
      <c r="T68" s="84"/>
    </row>
    <row r="69" spans="6:20" ht="14.25" customHeight="1" x14ac:dyDescent="0.2">
      <c r="F69" s="50" t="s">
        <v>19</v>
      </c>
      <c r="G69" s="72">
        <f t="shared" si="2"/>
        <v>8.16</v>
      </c>
      <c r="H69" s="73">
        <f t="shared" si="3"/>
        <v>3.2125984251968505E-3</v>
      </c>
      <c r="T69" s="84"/>
    </row>
    <row r="70" spans="6:20" ht="14.25" customHeight="1" x14ac:dyDescent="0.2">
      <c r="F70" s="50" t="s">
        <v>14</v>
      </c>
      <c r="G70" s="72">
        <f t="shared" si="2"/>
        <v>630</v>
      </c>
      <c r="H70" s="73">
        <f t="shared" si="3"/>
        <v>0.24803149606299213</v>
      </c>
      <c r="T70" s="84"/>
    </row>
    <row r="71" spans="6:20" ht="14.25" customHeight="1" x14ac:dyDescent="0.2">
      <c r="F71" s="50" t="s">
        <v>10</v>
      </c>
      <c r="G71" s="72">
        <f t="shared" si="2"/>
        <v>3500</v>
      </c>
      <c r="H71" s="73">
        <f t="shared" si="3"/>
        <v>1.3779527559055116</v>
      </c>
      <c r="T71" s="84"/>
    </row>
    <row r="72" spans="6:20" ht="14.25" customHeight="1" x14ac:dyDescent="0.2">
      <c r="F72" s="50" t="s">
        <v>517</v>
      </c>
      <c r="G72" s="72">
        <f t="shared" si="2"/>
        <v>17640</v>
      </c>
      <c r="H72" s="73">
        <f t="shared" si="3"/>
        <v>6.9448818897637796</v>
      </c>
      <c r="T72" s="84"/>
    </row>
    <row r="73" spans="6:20" ht="14.25" customHeight="1" x14ac:dyDescent="0.2">
      <c r="F73" s="50" t="s">
        <v>23</v>
      </c>
      <c r="G73" s="72">
        <f t="shared" si="2"/>
        <v>2800</v>
      </c>
      <c r="H73" s="73">
        <f t="shared" si="3"/>
        <v>1.1023622047244095</v>
      </c>
      <c r="T73" s="84"/>
    </row>
    <row r="74" spans="6:20" ht="14.25" customHeight="1" x14ac:dyDescent="0.2">
      <c r="F74" s="50"/>
      <c r="T74" s="84"/>
    </row>
    <row r="75" spans="6:20" ht="14.25" customHeight="1" x14ac:dyDescent="0.2">
      <c r="F75" s="30" t="s">
        <v>119</v>
      </c>
      <c r="G75" s="28" t="s">
        <v>128</v>
      </c>
      <c r="H75" s="28" t="s">
        <v>1334</v>
      </c>
      <c r="T75" s="84"/>
    </row>
    <row r="76" spans="6:20" ht="14.25" customHeight="1" x14ac:dyDescent="0.2">
      <c r="F76" s="50" t="s">
        <v>140</v>
      </c>
      <c r="G76" s="72">
        <f t="shared" ref="G76:G84" si="4">SUMIF($E$2:$E$55,F76,$N$2:$N$55)</f>
        <v>431550</v>
      </c>
      <c r="H76" s="73">
        <f t="shared" ref="H76:H84" si="5">SUMIF($E$2:$E$55,F76,Q$2:Q$55)</f>
        <v>169.9015748031496</v>
      </c>
      <c r="T76" s="84"/>
    </row>
    <row r="77" spans="6:20" ht="14.25" customHeight="1" x14ac:dyDescent="0.2">
      <c r="F77" s="14" t="s">
        <v>155</v>
      </c>
      <c r="G77" s="72">
        <f t="shared" si="4"/>
        <v>44126.2</v>
      </c>
      <c r="H77" s="73">
        <f t="shared" si="5"/>
        <v>17.372519685039371</v>
      </c>
      <c r="T77" s="84"/>
    </row>
    <row r="78" spans="6:20" ht="14.25" customHeight="1" x14ac:dyDescent="0.2">
      <c r="F78" s="50" t="s">
        <v>287</v>
      </c>
      <c r="G78" s="72">
        <f t="shared" si="4"/>
        <v>3827.3599999999997</v>
      </c>
      <c r="H78" s="73">
        <f t="shared" si="5"/>
        <v>1.5068346456692912</v>
      </c>
      <c r="T78" s="84"/>
    </row>
    <row r="79" spans="6:20" ht="14.25" customHeight="1" x14ac:dyDescent="0.2">
      <c r="F79" s="50" t="s">
        <v>294</v>
      </c>
      <c r="G79" s="72">
        <f t="shared" si="4"/>
        <v>14349.999999999998</v>
      </c>
      <c r="H79" s="73">
        <f t="shared" si="5"/>
        <v>5.6496062992125982</v>
      </c>
      <c r="T79" s="84"/>
    </row>
    <row r="80" spans="6:20" ht="14.25" customHeight="1" x14ac:dyDescent="0.2">
      <c r="F80" s="34" t="s">
        <v>13</v>
      </c>
      <c r="G80" s="72">
        <f t="shared" si="4"/>
        <v>24</v>
      </c>
      <c r="H80" s="73">
        <f t="shared" si="5"/>
        <v>9.4488188976377951E-3</v>
      </c>
      <c r="T80" s="84"/>
    </row>
    <row r="81" spans="6:20" ht="14.25" customHeight="1" x14ac:dyDescent="0.2">
      <c r="F81" s="50" t="s">
        <v>434</v>
      </c>
      <c r="G81" s="72">
        <f t="shared" si="4"/>
        <v>158</v>
      </c>
      <c r="H81" s="73">
        <f t="shared" si="5"/>
        <v>6.2204724409448818E-2</v>
      </c>
      <c r="T81" s="84"/>
    </row>
    <row r="82" spans="6:20" ht="14.25" customHeight="1" x14ac:dyDescent="0.2">
      <c r="F82" s="50" t="s">
        <v>516</v>
      </c>
      <c r="G82" s="72">
        <f t="shared" si="4"/>
        <v>17640</v>
      </c>
      <c r="H82" s="73">
        <f t="shared" si="5"/>
        <v>6.9448818897637796</v>
      </c>
      <c r="T82" s="84"/>
    </row>
    <row r="83" spans="6:20" ht="14.25" customHeight="1" x14ac:dyDescent="0.2">
      <c r="F83" s="50" t="s">
        <v>279</v>
      </c>
      <c r="G83" s="72">
        <f t="shared" si="4"/>
        <v>630</v>
      </c>
      <c r="H83" s="73">
        <f t="shared" si="5"/>
        <v>0.24803149606299213</v>
      </c>
      <c r="T83" s="84"/>
    </row>
    <row r="84" spans="6:20" ht="14.25" customHeight="1" x14ac:dyDescent="0.2">
      <c r="F84" s="50" t="s">
        <v>527</v>
      </c>
      <c r="G84" s="72">
        <f t="shared" si="4"/>
        <v>2800</v>
      </c>
      <c r="H84" s="73">
        <f t="shared" si="5"/>
        <v>1.1023622047244095</v>
      </c>
      <c r="T84" s="84"/>
    </row>
    <row r="85" spans="6:20" ht="14.25" customHeight="1" x14ac:dyDescent="0.2">
      <c r="G85" s="75"/>
      <c r="T85" s="84"/>
    </row>
    <row r="86" spans="6:20" ht="14.25" customHeight="1" x14ac:dyDescent="0.2">
      <c r="T86" s="84"/>
    </row>
    <row r="87" spans="6:20" ht="14.25" customHeight="1" x14ac:dyDescent="0.2">
      <c r="T87" s="84"/>
    </row>
    <row r="88" spans="6:20" ht="14.25" customHeight="1" x14ac:dyDescent="0.2">
      <c r="T88" s="84"/>
    </row>
    <row r="89" spans="6:20" ht="14.25" customHeight="1" x14ac:dyDescent="0.2">
      <c r="T89" s="84"/>
    </row>
    <row r="90" spans="6:20" ht="14.25" customHeight="1" x14ac:dyDescent="0.2">
      <c r="T90" s="84"/>
    </row>
    <row r="91" spans="6:20" ht="14.25" customHeight="1" x14ac:dyDescent="0.2">
      <c r="T91" s="84"/>
    </row>
    <row r="92" spans="6:20" ht="14.25" customHeight="1" x14ac:dyDescent="0.2">
      <c r="T92" s="84"/>
    </row>
    <row r="93" spans="6:20" ht="14.25" customHeight="1" x14ac:dyDescent="0.2">
      <c r="T93" s="84"/>
    </row>
    <row r="94" spans="6:20" ht="14.25" customHeight="1" x14ac:dyDescent="0.2">
      <c r="T94" s="84"/>
    </row>
    <row r="95" spans="6:20" ht="14.25" customHeight="1" x14ac:dyDescent="0.2">
      <c r="T95" s="84"/>
    </row>
    <row r="96" spans="6:20" ht="14.25" customHeight="1" x14ac:dyDescent="0.2">
      <c r="T96" s="84"/>
    </row>
    <row r="97" spans="20:20" ht="14.25" customHeight="1" x14ac:dyDescent="0.2">
      <c r="T97" s="84"/>
    </row>
    <row r="98" spans="20:20" ht="14.25" customHeight="1" x14ac:dyDescent="0.2">
      <c r="T98" s="84"/>
    </row>
    <row r="99" spans="20:20" ht="14.25" customHeight="1" x14ac:dyDescent="0.2">
      <c r="T99" s="84"/>
    </row>
    <row r="100" spans="20:20" ht="14.25" customHeight="1" x14ac:dyDescent="0.2">
      <c r="T100" s="84"/>
    </row>
    <row r="101" spans="20:20" ht="14.25" customHeight="1" x14ac:dyDescent="0.2">
      <c r="T101" s="84"/>
    </row>
    <row r="102" spans="20:20" ht="14.25" customHeight="1" x14ac:dyDescent="0.2">
      <c r="T102" s="84"/>
    </row>
    <row r="103" spans="20:20" ht="14.25" customHeight="1" x14ac:dyDescent="0.2">
      <c r="T103" s="84"/>
    </row>
    <row r="104" spans="20:20" ht="14.25" customHeight="1" x14ac:dyDescent="0.2">
      <c r="T104" s="84"/>
    </row>
    <row r="105" spans="20:20" ht="14.25" customHeight="1" x14ac:dyDescent="0.2">
      <c r="T105" s="84"/>
    </row>
    <row r="106" spans="20:20" ht="14.25" customHeight="1" x14ac:dyDescent="0.2">
      <c r="T106" s="84"/>
    </row>
    <row r="107" spans="20:20" ht="14.25" customHeight="1" x14ac:dyDescent="0.2">
      <c r="T107" s="84"/>
    </row>
    <row r="108" spans="20:20" ht="14.25" customHeight="1" x14ac:dyDescent="0.2">
      <c r="T108" s="84"/>
    </row>
    <row r="109" spans="20:20" ht="14.25" customHeight="1" x14ac:dyDescent="0.2">
      <c r="T109" s="84"/>
    </row>
    <row r="110" spans="20:20" ht="14.25" customHeight="1" x14ac:dyDescent="0.2">
      <c r="T110" s="84"/>
    </row>
    <row r="111" spans="20:20" ht="14.25" customHeight="1" x14ac:dyDescent="0.2">
      <c r="T111" s="84"/>
    </row>
    <row r="112" spans="20:20" ht="14.25" customHeight="1" x14ac:dyDescent="0.2">
      <c r="T112" s="84"/>
    </row>
    <row r="113" spans="20:20" ht="14.25" customHeight="1" x14ac:dyDescent="0.2">
      <c r="T113" s="84"/>
    </row>
    <row r="114" spans="20:20" ht="14.25" customHeight="1" x14ac:dyDescent="0.2">
      <c r="T114" s="84"/>
    </row>
    <row r="115" spans="20:20" ht="14.25" customHeight="1" x14ac:dyDescent="0.2">
      <c r="T115" s="84"/>
    </row>
    <row r="116" spans="20:20" ht="14.25" customHeight="1" x14ac:dyDescent="0.2">
      <c r="T116" s="84"/>
    </row>
    <row r="117" spans="20:20" ht="14.25" customHeight="1" x14ac:dyDescent="0.2">
      <c r="T117" s="84"/>
    </row>
    <row r="118" spans="20:20" ht="14.25" customHeight="1" x14ac:dyDescent="0.2">
      <c r="T118" s="84"/>
    </row>
    <row r="119" spans="20:20" ht="14.25" customHeight="1" x14ac:dyDescent="0.2">
      <c r="T119" s="84"/>
    </row>
    <row r="120" spans="20:20" ht="14.25" customHeight="1" x14ac:dyDescent="0.2">
      <c r="T120" s="84"/>
    </row>
    <row r="121" spans="20:20" ht="14.25" customHeight="1" x14ac:dyDescent="0.2">
      <c r="T121" s="84"/>
    </row>
    <row r="122" spans="20:20" ht="14.25" customHeight="1" x14ac:dyDescent="0.2">
      <c r="T122" s="84"/>
    </row>
    <row r="123" spans="20:20" ht="14.25" customHeight="1" x14ac:dyDescent="0.2">
      <c r="T123" s="84"/>
    </row>
    <row r="124" spans="20:20" ht="14.25" customHeight="1" x14ac:dyDescent="0.2">
      <c r="T124" s="84"/>
    </row>
    <row r="125" spans="20:20" ht="14.25" customHeight="1" x14ac:dyDescent="0.2">
      <c r="T125" s="84"/>
    </row>
    <row r="126" spans="20:20" ht="14.25" customHeight="1" x14ac:dyDescent="0.2">
      <c r="T126" s="84"/>
    </row>
    <row r="127" spans="20:20" ht="14.25" customHeight="1" x14ac:dyDescent="0.2">
      <c r="T127" s="84"/>
    </row>
    <row r="128" spans="20: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220">
    <mergeCell ref="A2:A55"/>
    <mergeCell ref="B45:B55"/>
    <mergeCell ref="F45:F47"/>
    <mergeCell ref="F48:F50"/>
    <mergeCell ref="C2:C5"/>
    <mergeCell ref="E2:E4"/>
    <mergeCell ref="F2:F4"/>
    <mergeCell ref="F6:F7"/>
    <mergeCell ref="F9:F11"/>
    <mergeCell ref="F30:F31"/>
    <mergeCell ref="F43:F44"/>
    <mergeCell ref="D51:D52"/>
    <mergeCell ref="E51:E52"/>
    <mergeCell ref="F51:F52"/>
    <mergeCell ref="D53:D55"/>
    <mergeCell ref="E53:E55"/>
    <mergeCell ref="F53:F55"/>
    <mergeCell ref="D43:D44"/>
    <mergeCell ref="E43:E44"/>
    <mergeCell ref="C45:C55"/>
    <mergeCell ref="D45:D47"/>
    <mergeCell ref="E45:E47"/>
    <mergeCell ref="D48:D50"/>
    <mergeCell ref="E48:E50"/>
    <mergeCell ref="B22:B34"/>
    <mergeCell ref="C22:C24"/>
    <mergeCell ref="C25:C29"/>
    <mergeCell ref="C30:C34"/>
    <mergeCell ref="D25:D26"/>
    <mergeCell ref="E25:E26"/>
    <mergeCell ref="F25:F26"/>
    <mergeCell ref="D28:D29"/>
    <mergeCell ref="E28:E29"/>
    <mergeCell ref="F28:F29"/>
    <mergeCell ref="D30:D31"/>
    <mergeCell ref="E30:E31"/>
    <mergeCell ref="C35:C44"/>
    <mergeCell ref="D35:D38"/>
    <mergeCell ref="D39:D42"/>
    <mergeCell ref="E35:E38"/>
    <mergeCell ref="F35:F38"/>
    <mergeCell ref="E39:E42"/>
    <mergeCell ref="F39:F42"/>
    <mergeCell ref="B35:B44"/>
    <mergeCell ref="G35:G44"/>
    <mergeCell ref="H35:H38"/>
    <mergeCell ref="I35:I38"/>
    <mergeCell ref="J35:J38"/>
    <mergeCell ref="K35:K38"/>
    <mergeCell ref="D22:D23"/>
    <mergeCell ref="E22:E23"/>
    <mergeCell ref="J25:J26"/>
    <mergeCell ref="J28:J29"/>
    <mergeCell ref="L35:L38"/>
    <mergeCell ref="M35:M38"/>
    <mergeCell ref="N35:N38"/>
    <mergeCell ref="R35:R38"/>
    <mergeCell ref="M39:M42"/>
    <mergeCell ref="N39:N42"/>
    <mergeCell ref="R39:R42"/>
    <mergeCell ref="H39:H44"/>
    <mergeCell ref="I39:I44"/>
    <mergeCell ref="J39:J42"/>
    <mergeCell ref="K39:K42"/>
    <mergeCell ref="J43:J44"/>
    <mergeCell ref="K43:K44"/>
    <mergeCell ref="M48:M50"/>
    <mergeCell ref="M51:M52"/>
    <mergeCell ref="J45:J47"/>
    <mergeCell ref="K45:K47"/>
    <mergeCell ref="L45:L47"/>
    <mergeCell ref="M45:M47"/>
    <mergeCell ref="Q43:Q44"/>
    <mergeCell ref="Q45:Q47"/>
    <mergeCell ref="L39:L42"/>
    <mergeCell ref="L43:L44"/>
    <mergeCell ref="M43:M44"/>
    <mergeCell ref="N43:N44"/>
    <mergeCell ref="Q39:Q42"/>
    <mergeCell ref="G53:G55"/>
    <mergeCell ref="I53:I55"/>
    <mergeCell ref="J53:J55"/>
    <mergeCell ref="K53:K55"/>
    <mergeCell ref="L53:L55"/>
    <mergeCell ref="H45:H55"/>
    <mergeCell ref="I45:I52"/>
    <mergeCell ref="G48:G50"/>
    <mergeCell ref="K48:K50"/>
    <mergeCell ref="L48:L50"/>
    <mergeCell ref="G45:G47"/>
    <mergeCell ref="J48:J50"/>
    <mergeCell ref="J51:J52"/>
    <mergeCell ref="K51:K52"/>
    <mergeCell ref="L51:L52"/>
    <mergeCell ref="G51:G52"/>
    <mergeCell ref="M53:M55"/>
    <mergeCell ref="O2:O55"/>
    <mergeCell ref="P2:P55"/>
    <mergeCell ref="B6:B8"/>
    <mergeCell ref="C6:C8"/>
    <mergeCell ref="M6:M7"/>
    <mergeCell ref="N6:N7"/>
    <mergeCell ref="Q6:Q7"/>
    <mergeCell ref="R6:R7"/>
    <mergeCell ref="Q2:Q4"/>
    <mergeCell ref="R2:R4"/>
    <mergeCell ref="Q9:Q11"/>
    <mergeCell ref="R9:R11"/>
    <mergeCell ref="Q12:Q13"/>
    <mergeCell ref="R12:R13"/>
    <mergeCell ref="R14:R16"/>
    <mergeCell ref="Q28:Q29"/>
    <mergeCell ref="R28:R29"/>
    <mergeCell ref="N30:N31"/>
    <mergeCell ref="Q30:Q31"/>
    <mergeCell ref="R30:R31"/>
    <mergeCell ref="Q14:Q16"/>
    <mergeCell ref="Q17:Q21"/>
    <mergeCell ref="R17:R21"/>
    <mergeCell ref="Q25:Q26"/>
    <mergeCell ref="R25:R26"/>
    <mergeCell ref="Q53:Q55"/>
    <mergeCell ref="R53:R55"/>
    <mergeCell ref="N48:N50"/>
    <mergeCell ref="Q48:Q50"/>
    <mergeCell ref="R48:R50"/>
    <mergeCell ref="N51:N52"/>
    <mergeCell ref="Q51:Q52"/>
    <mergeCell ref="R51:R52"/>
    <mergeCell ref="N53:N55"/>
    <mergeCell ref="R43:R44"/>
    <mergeCell ref="N45:N47"/>
    <mergeCell ref="R45:R47"/>
    <mergeCell ref="Q35:Q38"/>
    <mergeCell ref="K2:K5"/>
    <mergeCell ref="L2:L4"/>
    <mergeCell ref="M2:M4"/>
    <mergeCell ref="N2:N4"/>
    <mergeCell ref="L9:L11"/>
    <mergeCell ref="M9:M11"/>
    <mergeCell ref="N9:N11"/>
    <mergeCell ref="Q22:Q23"/>
    <mergeCell ref="R22:R23"/>
    <mergeCell ref="G2:G5"/>
    <mergeCell ref="G6:G8"/>
    <mergeCell ref="I6:I8"/>
    <mergeCell ref="J6:J8"/>
    <mergeCell ref="K6:K8"/>
    <mergeCell ref="L6:L7"/>
    <mergeCell ref="G9:G11"/>
    <mergeCell ref="K17:K21"/>
    <mergeCell ref="L17:L21"/>
    <mergeCell ref="H6:H8"/>
    <mergeCell ref="H9:H21"/>
    <mergeCell ref="I9:I21"/>
    <mergeCell ref="G12:G13"/>
    <mergeCell ref="G14:G16"/>
    <mergeCell ref="G17:G21"/>
    <mergeCell ref="J17:J21"/>
    <mergeCell ref="J9:J11"/>
    <mergeCell ref="K9:K11"/>
    <mergeCell ref="J12:J13"/>
    <mergeCell ref="K12:K13"/>
    <mergeCell ref="L12:L13"/>
    <mergeCell ref="H2:H5"/>
    <mergeCell ref="I2:I5"/>
    <mergeCell ref="J2:J5"/>
    <mergeCell ref="B9:B21"/>
    <mergeCell ref="C9:C21"/>
    <mergeCell ref="D9:D11"/>
    <mergeCell ref="E9:E11"/>
    <mergeCell ref="D2:D4"/>
    <mergeCell ref="D12:D13"/>
    <mergeCell ref="E12:E13"/>
    <mergeCell ref="F12:F13"/>
    <mergeCell ref="D14:D16"/>
    <mergeCell ref="E14:E16"/>
    <mergeCell ref="F14:F16"/>
    <mergeCell ref="D17:D21"/>
    <mergeCell ref="E17:E21"/>
    <mergeCell ref="F17:F21"/>
    <mergeCell ref="D6:D7"/>
    <mergeCell ref="E6:E7"/>
    <mergeCell ref="B2:B5"/>
    <mergeCell ref="F22:F23"/>
    <mergeCell ref="G22:G24"/>
    <mergeCell ref="H22:H24"/>
    <mergeCell ref="I22:I24"/>
    <mergeCell ref="J22:J23"/>
    <mergeCell ref="K22:K23"/>
    <mergeCell ref="L22:L23"/>
    <mergeCell ref="M12:M13"/>
    <mergeCell ref="N12:N13"/>
    <mergeCell ref="J14:J16"/>
    <mergeCell ref="K14:K16"/>
    <mergeCell ref="L14:L16"/>
    <mergeCell ref="M14:M16"/>
    <mergeCell ref="N14:N16"/>
    <mergeCell ref="M17:M21"/>
    <mergeCell ref="N17:N21"/>
    <mergeCell ref="N28:N29"/>
    <mergeCell ref="G25:G29"/>
    <mergeCell ref="H25:H29"/>
    <mergeCell ref="I25:I29"/>
    <mergeCell ref="K25:K26"/>
    <mergeCell ref="L25:L26"/>
    <mergeCell ref="M25:M26"/>
    <mergeCell ref="N25:N26"/>
    <mergeCell ref="M22:M23"/>
    <mergeCell ref="N22:N23"/>
    <mergeCell ref="L30:L31"/>
    <mergeCell ref="M30:M31"/>
    <mergeCell ref="K28:K29"/>
    <mergeCell ref="L28:L29"/>
    <mergeCell ref="G30:G34"/>
    <mergeCell ref="H30:H34"/>
    <mergeCell ref="I30:I34"/>
    <mergeCell ref="J30:J31"/>
    <mergeCell ref="K30:K31"/>
    <mergeCell ref="M28:M29"/>
  </mergeCells>
  <conditionalFormatting sqref="R2:R5">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2:R12 R14:R55">
    <cfRule type="colorScale" priority="3">
      <colorScale>
        <cfvo type="min"/>
        <cfvo type="percentile" val="50"/>
        <cfvo type="max"/>
        <color rgb="FFF8696B"/>
        <color rgb="FFFFEB84"/>
        <color rgb="FF63BE7B"/>
      </colorScale>
    </cfRule>
  </conditionalFormatting>
  <conditionalFormatting sqref="R2:R55">
    <cfRule type="colorScale" priority="4">
      <colorScale>
        <cfvo type="min"/>
        <cfvo type="percentile" val="50"/>
        <cfvo type="max"/>
        <color rgb="FFF8696B"/>
        <color rgb="FFFFEB84"/>
        <color rgb="FF63BE7B"/>
      </colorScale>
    </cfRule>
  </conditionalFormatting>
  <conditionalFormatting sqref="R8:R12 R6 R14 R22 R24:R29 R35:R43">
    <cfRule type="colorScale" priority="6">
      <colorScale>
        <cfvo type="min"/>
        <cfvo type="percentile" val="50"/>
        <cfvo type="max"/>
        <color rgb="FFF8696B"/>
        <color rgb="FFFFEB84"/>
        <color rgb="FF63BE7B"/>
      </colorScale>
    </cfRule>
  </conditionalFormatting>
  <conditionalFormatting sqref="R8:R12 R6 R14 R22:R29 R35:R44">
    <cfRule type="colorScale" priority="7">
      <colorScale>
        <cfvo type="min"/>
        <cfvo type="percentile" val="50"/>
        <cfvo type="max"/>
        <color rgb="FFF8696B"/>
        <color rgb="FFFFEB84"/>
        <color rgb="FF63BE7B"/>
      </colorScale>
    </cfRule>
  </conditionalFormatting>
  <conditionalFormatting sqref="R33:R34 R30">
    <cfRule type="colorScale" priority="5">
      <colorScale>
        <cfvo type="min"/>
        <cfvo type="percentile" val="50"/>
        <cfvo type="max"/>
        <color rgb="FFF8696B"/>
        <color rgb="FFFFEB84"/>
        <color rgb="FF63BE7B"/>
      </colorScale>
    </cfRule>
  </conditionalFormatting>
  <conditionalFormatting sqref="R45:R48 R51:R55">
    <cfRule type="colorScale" priority="9">
      <colorScale>
        <cfvo type="min"/>
        <cfvo type="percentile" val="50"/>
        <cfvo type="max"/>
        <color rgb="FFF8696B"/>
        <color rgb="FFFFEB84"/>
        <color rgb="FF63BE7B"/>
      </colorScale>
    </cfRule>
  </conditionalFormatting>
  <conditionalFormatting sqref="R45:R55">
    <cfRule type="colorScale" priority="8">
      <colorScale>
        <cfvo type="min"/>
        <cfvo type="percentile" val="50"/>
        <cfvo type="max"/>
        <color rgb="FFF8696B"/>
        <color rgb="FFFFEB84"/>
        <color rgb="FF63BE7B"/>
      </colorScale>
    </cfRule>
  </conditionalFormatting>
  <hyperlinks>
    <hyperlink ref="S5" r:id="rId1" xr:uid="{00000000-0004-0000-1400-000000000000}"/>
    <hyperlink ref="S9" r:id="rId2" xr:uid="{00000000-0004-0000-1400-000001000000}"/>
    <hyperlink ref="S11" r:id="rId3" xr:uid="{00000000-0004-0000-1400-000002000000}"/>
    <hyperlink ref="S18" r:id="rId4" xr:uid="{00000000-0004-0000-1400-000003000000}"/>
    <hyperlink ref="S20" r:id="rId5" xr:uid="{00000000-0004-0000-1400-000004000000}"/>
    <hyperlink ref="S21" r:id="rId6" xr:uid="{00000000-0004-0000-1400-000005000000}"/>
    <hyperlink ref="S22" r:id="rId7" xr:uid="{00000000-0004-0000-1400-000006000000}"/>
    <hyperlink ref="S24" r:id="rId8" location=":~:text=The%20minimum%20thickness%20for%20commercial,to%202.5%20psf%20of%20reinforcing). " xr:uid="{00000000-0004-0000-1400-000007000000}"/>
    <hyperlink ref="S31" r:id="rId9" xr:uid="{00000000-0004-0000-1400-000008000000}"/>
    <hyperlink ref="S34" r:id="rId10" location=":~:text=The%20most%20common%20type%20of,in%20exposed%20metal%20building%20applications. " xr:uid="{00000000-0004-0000-1400-000009000000}"/>
    <hyperlink ref="S36" r:id="rId11" xr:uid="{00000000-0004-0000-1400-00000A000000}"/>
    <hyperlink ref="S42" r:id="rId12" xr:uid="{00000000-0004-0000-1400-00000B000000}"/>
    <hyperlink ref="S44" r:id="rId13" xr:uid="{00000000-0004-0000-1400-00000C000000}"/>
    <hyperlink ref="S50" r:id="rId14" xr:uid="{00000000-0004-0000-1400-00000D000000}"/>
    <hyperlink ref="S53" r:id="rId15" xr:uid="{00000000-0004-0000-1400-00000E000000}"/>
  </hyperlinks>
  <pageMargins left="0.7" right="0.7" top="0.75" bottom="0.75" header="0" footer="0"/>
  <pageSetup orientation="portrait"/>
  <drawing r:id="rId16"/>
  <legacyDrawing r:id="rId17"/>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115</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1306</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1308</v>
      </c>
      <c r="B2" s="183" t="s">
        <v>53</v>
      </c>
      <c r="C2" s="183" t="s">
        <v>139</v>
      </c>
      <c r="D2" s="179" t="s">
        <v>140</v>
      </c>
      <c r="E2" s="179" t="s">
        <v>140</v>
      </c>
      <c r="F2" s="179" t="s">
        <v>140</v>
      </c>
      <c r="G2" s="182">
        <v>1</v>
      </c>
      <c r="H2" s="182">
        <v>750</v>
      </c>
      <c r="I2" s="183" t="s">
        <v>142</v>
      </c>
      <c r="J2" s="178">
        <v>0.5</v>
      </c>
      <c r="K2" s="178">
        <v>1.5</v>
      </c>
      <c r="L2" s="178">
        <v>150</v>
      </c>
      <c r="M2" s="179" t="s">
        <v>1311</v>
      </c>
      <c r="N2" s="188">
        <f>L2*K2*J2*H2</f>
        <v>84375</v>
      </c>
      <c r="O2" s="186">
        <v>16725</v>
      </c>
      <c r="P2" s="187" t="s">
        <v>1312</v>
      </c>
      <c r="Q2" s="175">
        <f>N2/O2</f>
        <v>5.0448430493273539</v>
      </c>
      <c r="R2" s="191">
        <v>4</v>
      </c>
      <c r="S2" s="14" t="s">
        <v>149</v>
      </c>
      <c r="T2" s="85" t="s">
        <v>150</v>
      </c>
      <c r="U2" s="85"/>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181"/>
      <c r="C3" s="181"/>
      <c r="D3" s="176"/>
      <c r="E3" s="176"/>
      <c r="F3" s="176"/>
      <c r="G3" s="181"/>
      <c r="H3" s="181"/>
      <c r="I3" s="181"/>
      <c r="J3" s="181"/>
      <c r="K3" s="181"/>
      <c r="L3" s="176"/>
      <c r="M3" s="176"/>
      <c r="N3" s="176"/>
      <c r="O3" s="181"/>
      <c r="P3" s="181"/>
      <c r="Q3" s="176"/>
      <c r="R3" s="176"/>
      <c r="S3" s="14" t="s">
        <v>401</v>
      </c>
      <c r="T3" s="85" t="s">
        <v>714</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76"/>
      <c r="C4" s="176"/>
      <c r="D4" s="14" t="s">
        <v>154</v>
      </c>
      <c r="E4" s="14" t="s">
        <v>155</v>
      </c>
      <c r="F4" s="14" t="s">
        <v>156</v>
      </c>
      <c r="G4" s="176"/>
      <c r="H4" s="176"/>
      <c r="I4" s="176"/>
      <c r="J4" s="176"/>
      <c r="K4" s="176"/>
      <c r="L4" s="14">
        <v>5.25</v>
      </c>
      <c r="M4" s="14" t="s">
        <v>1315</v>
      </c>
      <c r="N4" s="38">
        <f>L4*K2*J2*H2</f>
        <v>2953.125</v>
      </c>
      <c r="O4" s="181"/>
      <c r="P4" s="181"/>
      <c r="Q4" s="19">
        <f t="shared" ref="Q4:Q7" si="0">N4/$O$2</f>
        <v>0.17656950672645741</v>
      </c>
      <c r="R4" s="48">
        <v>4</v>
      </c>
      <c r="S4" s="40" t="s">
        <v>240</v>
      </c>
      <c r="T4" s="14" t="s">
        <v>405</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183" t="s">
        <v>164</v>
      </c>
      <c r="C5" s="183" t="s">
        <v>165</v>
      </c>
      <c r="D5" s="14" t="s">
        <v>140</v>
      </c>
      <c r="E5" s="41" t="s">
        <v>140</v>
      </c>
      <c r="F5" s="41" t="s">
        <v>140</v>
      </c>
      <c r="G5" s="182">
        <v>1</v>
      </c>
      <c r="H5" s="182">
        <v>14600</v>
      </c>
      <c r="I5" s="183" t="s">
        <v>166</v>
      </c>
      <c r="J5" s="175">
        <v>0.5</v>
      </c>
      <c r="K5" s="179" t="s">
        <v>27</v>
      </c>
      <c r="L5" s="14">
        <v>150</v>
      </c>
      <c r="M5" s="14" t="s">
        <v>1319</v>
      </c>
      <c r="N5" s="38">
        <f>L5*J5*H5</f>
        <v>1095000</v>
      </c>
      <c r="O5" s="181"/>
      <c r="P5" s="181"/>
      <c r="Q5" s="19">
        <f t="shared" si="0"/>
        <v>65.470852017937219</v>
      </c>
      <c r="R5" s="49">
        <v>5</v>
      </c>
      <c r="S5" s="14" t="s">
        <v>388</v>
      </c>
      <c r="T5" s="85"/>
      <c r="U5" s="85"/>
      <c r="V5" s="85"/>
      <c r="W5" s="85"/>
      <c r="X5" s="85"/>
      <c r="Y5" s="85"/>
      <c r="Z5" s="85"/>
      <c r="AA5" s="85"/>
      <c r="AB5" s="85"/>
      <c r="AC5" s="85"/>
      <c r="AD5" s="85"/>
      <c r="AE5" s="85"/>
      <c r="AF5" s="85"/>
      <c r="AG5" s="85"/>
      <c r="AH5" s="85"/>
      <c r="AI5" s="85"/>
      <c r="AJ5" s="85"/>
      <c r="AK5" s="85"/>
      <c r="AL5" s="85"/>
      <c r="AM5" s="85"/>
      <c r="AN5" s="85"/>
    </row>
    <row r="6" spans="1:40" ht="14.25" customHeight="1" x14ac:dyDescent="0.2">
      <c r="A6" s="181"/>
      <c r="B6" s="176"/>
      <c r="C6" s="176"/>
      <c r="D6" s="14" t="s">
        <v>154</v>
      </c>
      <c r="E6" s="41" t="s">
        <v>155</v>
      </c>
      <c r="F6" s="41" t="s">
        <v>156</v>
      </c>
      <c r="G6" s="176"/>
      <c r="H6" s="176"/>
      <c r="I6" s="176"/>
      <c r="J6" s="176"/>
      <c r="K6" s="176"/>
      <c r="L6" s="14">
        <v>6</v>
      </c>
      <c r="M6" s="14" t="s">
        <v>1321</v>
      </c>
      <c r="N6" s="38">
        <f>L6*J5*H5</f>
        <v>43800</v>
      </c>
      <c r="O6" s="181"/>
      <c r="P6" s="181"/>
      <c r="Q6" s="19">
        <f t="shared" si="0"/>
        <v>2.6188340807174888</v>
      </c>
      <c r="R6" s="49">
        <v>5</v>
      </c>
      <c r="S6" s="14" t="s">
        <v>174</v>
      </c>
      <c r="T6" s="85" t="s">
        <v>175</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183" t="s">
        <v>209</v>
      </c>
      <c r="C7" s="184" t="s">
        <v>786</v>
      </c>
      <c r="D7" s="179" t="s">
        <v>743</v>
      </c>
      <c r="E7" s="179" t="s">
        <v>92</v>
      </c>
      <c r="F7" s="179" t="s">
        <v>3</v>
      </c>
      <c r="G7" s="182">
        <v>1</v>
      </c>
      <c r="H7" s="182">
        <v>15696</v>
      </c>
      <c r="I7" s="183" t="s">
        <v>166</v>
      </c>
      <c r="J7" s="175">
        <v>3.6458333333333336E-2</v>
      </c>
      <c r="K7" s="179" t="s">
        <v>27</v>
      </c>
      <c r="L7" s="178">
        <v>1.44</v>
      </c>
      <c r="M7" s="179" t="s">
        <v>1325</v>
      </c>
      <c r="N7" s="195">
        <f>L7*H7</f>
        <v>22602.239999999998</v>
      </c>
      <c r="O7" s="181"/>
      <c r="P7" s="181"/>
      <c r="Q7" s="175">
        <f t="shared" si="0"/>
        <v>1.3514044843049327</v>
      </c>
      <c r="R7" s="190">
        <v>3</v>
      </c>
      <c r="S7" s="40" t="s">
        <v>365</v>
      </c>
      <c r="T7" s="85" t="s">
        <v>366</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181"/>
      <c r="C8" s="181"/>
      <c r="D8" s="181"/>
      <c r="E8" s="181"/>
      <c r="F8" s="181"/>
      <c r="G8" s="181"/>
      <c r="H8" s="181"/>
      <c r="I8" s="181"/>
      <c r="J8" s="181"/>
      <c r="K8" s="181"/>
      <c r="L8" s="181"/>
      <c r="M8" s="181"/>
      <c r="N8" s="181"/>
      <c r="O8" s="181"/>
      <c r="P8" s="181"/>
      <c r="Q8" s="181"/>
      <c r="R8" s="181"/>
      <c r="S8" s="14" t="s">
        <v>368</v>
      </c>
      <c r="T8" s="85" t="s">
        <v>369</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181"/>
      <c r="C9" s="181"/>
      <c r="D9" s="181"/>
      <c r="E9" s="181"/>
      <c r="F9" s="181"/>
      <c r="G9" s="181"/>
      <c r="H9" s="181"/>
      <c r="I9" s="181"/>
      <c r="J9" s="181"/>
      <c r="K9" s="181"/>
      <c r="L9" s="181"/>
      <c r="M9" s="181"/>
      <c r="N9" s="181"/>
      <c r="O9" s="181"/>
      <c r="P9" s="181"/>
      <c r="Q9" s="181"/>
      <c r="R9" s="181"/>
      <c r="S9" s="40" t="s">
        <v>370</v>
      </c>
      <c r="T9" s="85" t="s">
        <v>372</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181"/>
      <c r="C10" s="176"/>
      <c r="D10" s="176"/>
      <c r="E10" s="176"/>
      <c r="F10" s="176"/>
      <c r="G10" s="176"/>
      <c r="H10" s="181"/>
      <c r="I10" s="181"/>
      <c r="J10" s="176"/>
      <c r="K10" s="176"/>
      <c r="L10" s="176"/>
      <c r="M10" s="176"/>
      <c r="N10" s="176"/>
      <c r="O10" s="181"/>
      <c r="P10" s="181"/>
      <c r="Q10" s="176"/>
      <c r="R10" s="176"/>
      <c r="S10" s="40" t="s">
        <v>685</v>
      </c>
      <c r="T10" s="85" t="s">
        <v>686</v>
      </c>
      <c r="U10" s="85"/>
      <c r="V10" s="85"/>
      <c r="W10" s="85"/>
      <c r="X10" s="85"/>
      <c r="Y10" s="85"/>
      <c r="Z10" s="85"/>
      <c r="AA10" s="85"/>
      <c r="AB10" s="85"/>
      <c r="AC10" s="85"/>
      <c r="AD10" s="85"/>
      <c r="AE10" s="85"/>
      <c r="AF10" s="85"/>
      <c r="AG10" s="85"/>
      <c r="AH10" s="85"/>
      <c r="AI10" s="85"/>
      <c r="AJ10" s="85"/>
      <c r="AK10" s="85"/>
      <c r="AL10" s="85"/>
      <c r="AM10" s="85"/>
      <c r="AN10" s="85"/>
    </row>
    <row r="11" spans="1:40" ht="14.25" customHeight="1" x14ac:dyDescent="0.2">
      <c r="A11" s="181"/>
      <c r="B11" s="181"/>
      <c r="C11" s="184" t="s">
        <v>798</v>
      </c>
      <c r="D11" s="179" t="s">
        <v>753</v>
      </c>
      <c r="E11" s="179" t="s">
        <v>92</v>
      </c>
      <c r="F11" s="179" t="s">
        <v>4</v>
      </c>
      <c r="G11" s="182">
        <v>207</v>
      </c>
      <c r="H11" s="181"/>
      <c r="I11" s="181"/>
      <c r="J11" s="175" t="s">
        <v>1330</v>
      </c>
      <c r="K11" s="179" t="s">
        <v>1330</v>
      </c>
      <c r="L11" s="178" t="s">
        <v>1330</v>
      </c>
      <c r="M11" s="179" t="s">
        <v>376</v>
      </c>
      <c r="N11" s="180">
        <v>9248.3700000000008</v>
      </c>
      <c r="O11" s="181"/>
      <c r="P11" s="181"/>
      <c r="Q11" s="175">
        <f>N11/$O$2</f>
        <v>0.55296681614349785</v>
      </c>
      <c r="R11" s="190">
        <v>2</v>
      </c>
      <c r="S11" s="14" t="s">
        <v>579</v>
      </c>
      <c r="T11" s="14" t="s">
        <v>1332</v>
      </c>
      <c r="U11" s="85"/>
      <c r="V11" s="85"/>
      <c r="W11" s="85"/>
      <c r="X11" s="85"/>
      <c r="Y11" s="85"/>
      <c r="Z11" s="85"/>
      <c r="AA11" s="85"/>
      <c r="AB11" s="85"/>
      <c r="AC11" s="85"/>
      <c r="AD11" s="85"/>
      <c r="AE11" s="85"/>
      <c r="AF11" s="85"/>
      <c r="AG11" s="85"/>
      <c r="AH11" s="85"/>
      <c r="AI11" s="85"/>
      <c r="AJ11" s="85"/>
      <c r="AK11" s="85"/>
      <c r="AL11" s="85"/>
      <c r="AM11" s="85"/>
      <c r="AN11" s="85"/>
    </row>
    <row r="12" spans="1:40" ht="14.25" customHeight="1" x14ac:dyDescent="0.2">
      <c r="A12" s="181"/>
      <c r="B12" s="181"/>
      <c r="C12" s="181"/>
      <c r="D12" s="181"/>
      <c r="E12" s="181"/>
      <c r="F12" s="181"/>
      <c r="G12" s="181"/>
      <c r="H12" s="181"/>
      <c r="I12" s="181"/>
      <c r="J12" s="181"/>
      <c r="K12" s="181"/>
      <c r="L12" s="181"/>
      <c r="M12" s="181"/>
      <c r="N12" s="181"/>
      <c r="O12" s="181"/>
      <c r="P12" s="181"/>
      <c r="Q12" s="181"/>
      <c r="R12" s="181"/>
      <c r="S12" s="40" t="s">
        <v>758</v>
      </c>
      <c r="T12" s="14" t="s">
        <v>759</v>
      </c>
      <c r="U12" s="85"/>
      <c r="V12" s="85"/>
      <c r="W12" s="85"/>
      <c r="X12" s="85"/>
      <c r="Y12" s="85"/>
      <c r="Z12" s="85"/>
      <c r="AA12" s="85"/>
      <c r="AB12" s="85"/>
      <c r="AC12" s="85"/>
      <c r="AD12" s="85"/>
      <c r="AE12" s="85"/>
      <c r="AF12" s="85"/>
      <c r="AG12" s="85"/>
      <c r="AH12" s="85"/>
      <c r="AI12" s="85"/>
      <c r="AJ12" s="85"/>
      <c r="AK12" s="85"/>
      <c r="AL12" s="85"/>
      <c r="AM12" s="85"/>
      <c r="AN12" s="85"/>
    </row>
    <row r="13" spans="1:40" ht="14.25" customHeight="1" x14ac:dyDescent="0.2">
      <c r="A13" s="181"/>
      <c r="B13" s="181"/>
      <c r="C13" s="181"/>
      <c r="D13" s="181"/>
      <c r="E13" s="181"/>
      <c r="F13" s="181"/>
      <c r="G13" s="181"/>
      <c r="H13" s="181"/>
      <c r="I13" s="181"/>
      <c r="J13" s="181"/>
      <c r="K13" s="181"/>
      <c r="L13" s="181"/>
      <c r="M13" s="181"/>
      <c r="N13" s="181"/>
      <c r="O13" s="181"/>
      <c r="P13" s="181"/>
      <c r="Q13" s="181"/>
      <c r="R13" s="181"/>
      <c r="S13" s="40" t="s">
        <v>761</v>
      </c>
      <c r="T13" s="14" t="s">
        <v>762</v>
      </c>
      <c r="U13" s="85"/>
      <c r="V13" s="85"/>
      <c r="W13" s="85"/>
      <c r="X13" s="85"/>
      <c r="Y13" s="85"/>
      <c r="Z13" s="85"/>
      <c r="AA13" s="85"/>
      <c r="AB13" s="85"/>
      <c r="AC13" s="85"/>
      <c r="AD13" s="85"/>
      <c r="AE13" s="85"/>
      <c r="AF13" s="85"/>
      <c r="AG13" s="85"/>
      <c r="AH13" s="85"/>
      <c r="AI13" s="85"/>
      <c r="AJ13" s="85"/>
      <c r="AK13" s="85"/>
      <c r="AL13" s="85"/>
      <c r="AM13" s="85"/>
      <c r="AN13" s="85"/>
    </row>
    <row r="14" spans="1:40" ht="14.25" customHeight="1" x14ac:dyDescent="0.2">
      <c r="A14" s="181"/>
      <c r="B14" s="181"/>
      <c r="C14" s="181"/>
      <c r="D14" s="181"/>
      <c r="E14" s="181"/>
      <c r="F14" s="181"/>
      <c r="G14" s="181"/>
      <c r="H14" s="181"/>
      <c r="I14" s="181"/>
      <c r="J14" s="181"/>
      <c r="K14" s="181"/>
      <c r="L14" s="181"/>
      <c r="M14" s="181"/>
      <c r="N14" s="181"/>
      <c r="O14" s="181"/>
      <c r="P14" s="181"/>
      <c r="Q14" s="181"/>
      <c r="R14" s="181"/>
      <c r="S14" s="40" t="s">
        <v>1336</v>
      </c>
      <c r="T14" s="14" t="s">
        <v>1337</v>
      </c>
      <c r="U14" s="85"/>
      <c r="V14" s="85"/>
      <c r="W14" s="85"/>
      <c r="X14" s="85"/>
      <c r="Y14" s="85"/>
      <c r="Z14" s="85"/>
      <c r="AA14" s="85"/>
      <c r="AB14" s="85"/>
      <c r="AC14" s="85"/>
      <c r="AD14" s="85"/>
      <c r="AE14" s="85"/>
      <c r="AF14" s="85"/>
      <c r="AG14" s="85"/>
      <c r="AH14" s="85"/>
      <c r="AI14" s="85"/>
      <c r="AJ14" s="85"/>
      <c r="AK14" s="85"/>
      <c r="AL14" s="85"/>
      <c r="AM14" s="85"/>
      <c r="AN14" s="85"/>
    </row>
    <row r="15" spans="1:40" ht="14.25" customHeight="1" x14ac:dyDescent="0.2">
      <c r="A15" s="181"/>
      <c r="B15" s="181"/>
      <c r="C15" s="181"/>
      <c r="D15" s="181"/>
      <c r="E15" s="181"/>
      <c r="F15" s="181"/>
      <c r="G15" s="181"/>
      <c r="H15" s="181"/>
      <c r="I15" s="181"/>
      <c r="J15" s="181"/>
      <c r="K15" s="181"/>
      <c r="L15" s="181"/>
      <c r="M15" s="181"/>
      <c r="N15" s="181"/>
      <c r="O15" s="181"/>
      <c r="P15" s="181"/>
      <c r="Q15" s="181"/>
      <c r="R15" s="181"/>
      <c r="S15" s="40" t="s">
        <v>764</v>
      </c>
      <c r="T15" s="14" t="s">
        <v>1339</v>
      </c>
      <c r="U15" s="85"/>
      <c r="V15" s="85"/>
      <c r="W15" s="85"/>
      <c r="X15" s="85"/>
      <c r="Y15" s="85"/>
      <c r="Z15" s="85"/>
      <c r="AA15" s="85"/>
      <c r="AB15" s="85"/>
      <c r="AC15" s="85"/>
      <c r="AD15" s="85"/>
      <c r="AE15" s="85"/>
      <c r="AF15" s="85"/>
      <c r="AG15" s="85"/>
      <c r="AH15" s="85"/>
      <c r="AI15" s="85"/>
      <c r="AJ15" s="85"/>
      <c r="AK15" s="85"/>
      <c r="AL15" s="85"/>
      <c r="AM15" s="85"/>
      <c r="AN15" s="85"/>
    </row>
    <row r="16" spans="1:40" ht="14.25" customHeight="1" x14ac:dyDescent="0.2">
      <c r="A16" s="181"/>
      <c r="B16" s="181"/>
      <c r="C16" s="181"/>
      <c r="D16" s="181"/>
      <c r="E16" s="181"/>
      <c r="F16" s="181"/>
      <c r="G16" s="181"/>
      <c r="H16" s="181"/>
      <c r="I16" s="181"/>
      <c r="J16" s="181"/>
      <c r="K16" s="181"/>
      <c r="L16" s="181"/>
      <c r="M16" s="181"/>
      <c r="N16" s="181"/>
      <c r="O16" s="181"/>
      <c r="P16" s="181"/>
      <c r="Q16" s="181"/>
      <c r="R16" s="181"/>
      <c r="S16" s="14" t="s">
        <v>625</v>
      </c>
      <c r="T16" s="14" t="s">
        <v>1340</v>
      </c>
      <c r="U16" s="85"/>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181"/>
      <c r="C17" s="181"/>
      <c r="D17" s="181"/>
      <c r="E17" s="181"/>
      <c r="F17" s="181"/>
      <c r="G17" s="181"/>
      <c r="H17" s="181"/>
      <c r="I17" s="181"/>
      <c r="J17" s="181"/>
      <c r="K17" s="181"/>
      <c r="L17" s="181"/>
      <c r="M17" s="181"/>
      <c r="N17" s="181"/>
      <c r="O17" s="181"/>
      <c r="P17" s="181"/>
      <c r="Q17" s="181"/>
      <c r="R17" s="181"/>
      <c r="S17" s="14" t="s">
        <v>774</v>
      </c>
      <c r="T17" s="14" t="s">
        <v>775</v>
      </c>
      <c r="U17" s="85"/>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176"/>
      <c r="C18" s="176"/>
      <c r="D18" s="176"/>
      <c r="E18" s="176"/>
      <c r="F18" s="176"/>
      <c r="G18" s="176"/>
      <c r="H18" s="176"/>
      <c r="I18" s="176"/>
      <c r="J18" s="176"/>
      <c r="K18" s="176"/>
      <c r="L18" s="176"/>
      <c r="M18" s="176"/>
      <c r="N18" s="176"/>
      <c r="O18" s="181"/>
      <c r="P18" s="181"/>
      <c r="Q18" s="176"/>
      <c r="R18" s="176"/>
      <c r="S18" s="14" t="s">
        <v>695</v>
      </c>
      <c r="T18" s="14" t="s">
        <v>1342</v>
      </c>
      <c r="U18" s="85"/>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183" t="s">
        <v>209</v>
      </c>
      <c r="C19" s="184" t="s">
        <v>363</v>
      </c>
      <c r="D19" s="179" t="s">
        <v>239</v>
      </c>
      <c r="E19" s="179" t="s">
        <v>155</v>
      </c>
      <c r="F19" s="179" t="s">
        <v>7</v>
      </c>
      <c r="G19" s="182">
        <v>1</v>
      </c>
      <c r="H19" s="182">
        <v>15700</v>
      </c>
      <c r="I19" s="183" t="s">
        <v>166</v>
      </c>
      <c r="J19" s="175">
        <v>3.3333333333333335E-3</v>
      </c>
      <c r="K19" s="179" t="s">
        <v>27</v>
      </c>
      <c r="L19" s="178">
        <v>1.6559999999999999</v>
      </c>
      <c r="M19" s="179" t="s">
        <v>1344</v>
      </c>
      <c r="N19" s="195">
        <f>L19*H19</f>
        <v>25999.199999999997</v>
      </c>
      <c r="O19" s="181"/>
      <c r="P19" s="181"/>
      <c r="Q19" s="175">
        <f>N19/O2</f>
        <v>1.5545112107623316</v>
      </c>
      <c r="R19" s="190">
        <v>3</v>
      </c>
      <c r="S19" s="14" t="s">
        <v>243</v>
      </c>
      <c r="T19" s="14" t="s">
        <v>244</v>
      </c>
      <c r="U19" s="85"/>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181"/>
      <c r="C20" s="181"/>
      <c r="D20" s="181"/>
      <c r="E20" s="181"/>
      <c r="F20" s="181"/>
      <c r="G20" s="181"/>
      <c r="H20" s="181"/>
      <c r="I20" s="181"/>
      <c r="J20" s="181"/>
      <c r="K20" s="181"/>
      <c r="L20" s="181"/>
      <c r="M20" s="181"/>
      <c r="N20" s="181"/>
      <c r="O20" s="181"/>
      <c r="P20" s="181"/>
      <c r="Q20" s="181"/>
      <c r="R20" s="181"/>
      <c r="S20" s="40" t="s">
        <v>246</v>
      </c>
      <c r="T20" s="14" t="s">
        <v>247</v>
      </c>
      <c r="U20" s="85"/>
      <c r="V20" s="85"/>
      <c r="W20" s="85"/>
      <c r="X20" s="85"/>
      <c r="Y20" s="85"/>
      <c r="Z20" s="85"/>
      <c r="AA20" s="85"/>
      <c r="AB20" s="85"/>
      <c r="AC20" s="85"/>
      <c r="AD20" s="85"/>
      <c r="AE20" s="85"/>
      <c r="AF20" s="85"/>
      <c r="AG20" s="85"/>
      <c r="AH20" s="85"/>
      <c r="AI20" s="85"/>
      <c r="AJ20" s="85"/>
      <c r="AK20" s="85"/>
      <c r="AL20" s="85"/>
      <c r="AM20" s="85"/>
      <c r="AN20" s="85"/>
    </row>
    <row r="21" spans="1:40" ht="14.25" customHeight="1" x14ac:dyDescent="0.2">
      <c r="A21" s="181"/>
      <c r="B21" s="181"/>
      <c r="C21" s="181"/>
      <c r="D21" s="176"/>
      <c r="E21" s="176"/>
      <c r="F21" s="176"/>
      <c r="G21" s="176"/>
      <c r="H21" s="181"/>
      <c r="I21" s="181"/>
      <c r="J21" s="176"/>
      <c r="K21" s="176"/>
      <c r="L21" s="176"/>
      <c r="M21" s="176"/>
      <c r="N21" s="176"/>
      <c r="O21" s="181"/>
      <c r="P21" s="181"/>
      <c r="Q21" s="176"/>
      <c r="R21" s="176"/>
      <c r="S21" s="14" t="s">
        <v>249</v>
      </c>
      <c r="T21" s="14" t="s">
        <v>250</v>
      </c>
      <c r="U21" s="85"/>
      <c r="V21" s="85"/>
      <c r="W21" s="85"/>
      <c r="X21" s="85"/>
      <c r="Y21" s="85"/>
      <c r="Z21" s="85"/>
      <c r="AA21" s="85"/>
      <c r="AB21" s="85"/>
      <c r="AC21" s="85"/>
      <c r="AD21" s="85"/>
      <c r="AE21" s="85"/>
      <c r="AF21" s="85"/>
      <c r="AG21" s="85"/>
      <c r="AH21" s="85"/>
      <c r="AI21" s="85"/>
      <c r="AJ21" s="85"/>
      <c r="AK21" s="85"/>
      <c r="AL21" s="85"/>
      <c r="AM21" s="85"/>
      <c r="AN21" s="85"/>
    </row>
    <row r="22" spans="1:40" ht="14.25" customHeight="1" x14ac:dyDescent="0.2">
      <c r="A22" s="181"/>
      <c r="B22" s="181"/>
      <c r="C22" s="181"/>
      <c r="D22" s="179" t="s">
        <v>373</v>
      </c>
      <c r="E22" s="179" t="s">
        <v>155</v>
      </c>
      <c r="F22" s="179" t="s">
        <v>8</v>
      </c>
      <c r="G22" s="178">
        <v>12</v>
      </c>
      <c r="H22" s="181"/>
      <c r="I22" s="181"/>
      <c r="J22" s="175" t="s">
        <v>1349</v>
      </c>
      <c r="K22" s="179" t="s">
        <v>1350</v>
      </c>
      <c r="L22" s="178" t="s">
        <v>1351</v>
      </c>
      <c r="M22" s="179" t="s">
        <v>376</v>
      </c>
      <c r="N22" s="180">
        <v>26380</v>
      </c>
      <c r="O22" s="181"/>
      <c r="P22" s="181"/>
      <c r="Q22" s="175">
        <f>N22/O2</f>
        <v>1.5772795216741404</v>
      </c>
      <c r="R22" s="190">
        <v>2</v>
      </c>
      <c r="S22" s="14" t="s">
        <v>213</v>
      </c>
      <c r="T22" s="14" t="s">
        <v>1332</v>
      </c>
      <c r="U22" s="85"/>
      <c r="V22" s="85"/>
      <c r="W22" s="85"/>
      <c r="X22" s="85"/>
      <c r="Y22" s="85"/>
      <c r="Z22" s="85"/>
      <c r="AA22" s="85"/>
      <c r="AB22" s="85"/>
      <c r="AC22" s="85"/>
      <c r="AD22" s="85"/>
      <c r="AE22" s="85"/>
      <c r="AF22" s="85"/>
      <c r="AG22" s="85"/>
      <c r="AH22" s="85"/>
      <c r="AI22" s="85"/>
      <c r="AJ22" s="85"/>
      <c r="AK22" s="85"/>
      <c r="AL22" s="85"/>
      <c r="AM22" s="85"/>
      <c r="AN22" s="85"/>
    </row>
    <row r="23" spans="1:40" ht="14.25" customHeight="1" x14ac:dyDescent="0.2">
      <c r="A23" s="181"/>
      <c r="B23" s="181"/>
      <c r="C23" s="181"/>
      <c r="D23" s="176"/>
      <c r="E23" s="176"/>
      <c r="F23" s="176"/>
      <c r="G23" s="176"/>
      <c r="H23" s="181"/>
      <c r="I23" s="181"/>
      <c r="J23" s="176"/>
      <c r="K23" s="176"/>
      <c r="L23" s="176"/>
      <c r="M23" s="176"/>
      <c r="N23" s="176"/>
      <c r="O23" s="181"/>
      <c r="P23" s="181"/>
      <c r="Q23" s="181"/>
      <c r="R23" s="197"/>
      <c r="S23" s="40" t="s">
        <v>505</v>
      </c>
      <c r="T23" s="14" t="s">
        <v>1352</v>
      </c>
      <c r="U23" s="85"/>
      <c r="V23" s="85"/>
      <c r="W23" s="85"/>
      <c r="X23" s="85"/>
      <c r="Y23" s="85"/>
      <c r="Z23" s="85"/>
      <c r="AA23" s="85"/>
      <c r="AB23" s="85"/>
      <c r="AC23" s="85"/>
      <c r="AD23" s="85"/>
      <c r="AE23" s="85"/>
      <c r="AF23" s="85"/>
      <c r="AG23" s="85"/>
      <c r="AH23" s="85"/>
      <c r="AI23" s="85"/>
      <c r="AJ23" s="85"/>
      <c r="AK23" s="85"/>
      <c r="AL23" s="85"/>
      <c r="AM23" s="85"/>
      <c r="AN23" s="85"/>
    </row>
    <row r="24" spans="1:40" ht="14.25" customHeight="1" x14ac:dyDescent="0.2">
      <c r="A24" s="181"/>
      <c r="B24" s="181"/>
      <c r="C24" s="181"/>
      <c r="D24" s="179" t="s">
        <v>383</v>
      </c>
      <c r="E24" s="179" t="s">
        <v>155</v>
      </c>
      <c r="F24" s="179" t="s">
        <v>9</v>
      </c>
      <c r="G24" s="178">
        <v>93</v>
      </c>
      <c r="H24" s="181"/>
      <c r="I24" s="181"/>
      <c r="J24" s="175" t="s">
        <v>1353</v>
      </c>
      <c r="K24" s="179" t="s">
        <v>1354</v>
      </c>
      <c r="L24" s="178" t="s">
        <v>1355</v>
      </c>
      <c r="M24" s="179" t="s">
        <v>385</v>
      </c>
      <c r="N24" s="180">
        <v>56706</v>
      </c>
      <c r="O24" s="181"/>
      <c r="P24" s="181"/>
      <c r="Q24" s="175">
        <f>N24/O2</f>
        <v>3.3904932735426008</v>
      </c>
      <c r="R24" s="190">
        <v>2</v>
      </c>
      <c r="S24" s="14" t="s">
        <v>181</v>
      </c>
      <c r="T24" s="14" t="s">
        <v>387</v>
      </c>
      <c r="U24" s="85"/>
      <c r="V24" s="85"/>
      <c r="W24" s="85"/>
      <c r="X24" s="85"/>
      <c r="Y24" s="85"/>
      <c r="Z24" s="85"/>
      <c r="AA24" s="85"/>
      <c r="AB24" s="85"/>
      <c r="AC24" s="85"/>
      <c r="AD24" s="85"/>
      <c r="AE24" s="85"/>
      <c r="AF24" s="85"/>
      <c r="AG24" s="85"/>
      <c r="AH24" s="85"/>
      <c r="AI24" s="85"/>
      <c r="AJ24" s="85"/>
      <c r="AK24" s="85"/>
      <c r="AL24" s="85"/>
      <c r="AM24" s="85"/>
      <c r="AN24" s="85"/>
    </row>
    <row r="25" spans="1:40" ht="14.25" customHeight="1" x14ac:dyDescent="0.2">
      <c r="A25" s="181"/>
      <c r="B25" s="181"/>
      <c r="C25" s="181"/>
      <c r="D25" s="181"/>
      <c r="E25" s="181"/>
      <c r="F25" s="181"/>
      <c r="G25" s="181"/>
      <c r="H25" s="181"/>
      <c r="I25" s="181"/>
      <c r="J25" s="181"/>
      <c r="K25" s="181"/>
      <c r="L25" s="181"/>
      <c r="M25" s="181"/>
      <c r="N25" s="181"/>
      <c r="O25" s="181"/>
      <c r="P25" s="181"/>
      <c r="Q25" s="181"/>
      <c r="R25" s="181"/>
      <c r="S25" s="14" t="s">
        <v>1357</v>
      </c>
      <c r="T25" s="14" t="s">
        <v>1358</v>
      </c>
      <c r="U25" s="85"/>
      <c r="V25" s="85"/>
      <c r="W25" s="85"/>
      <c r="X25" s="85"/>
      <c r="Y25" s="85"/>
      <c r="Z25" s="85"/>
      <c r="AA25" s="85"/>
      <c r="AB25" s="85"/>
      <c r="AC25" s="85"/>
      <c r="AD25" s="85"/>
      <c r="AE25" s="85"/>
      <c r="AF25" s="85"/>
      <c r="AG25" s="85"/>
      <c r="AH25" s="85"/>
      <c r="AI25" s="85"/>
      <c r="AJ25" s="85"/>
      <c r="AK25" s="85"/>
      <c r="AL25" s="85"/>
      <c r="AM25" s="85"/>
      <c r="AN25" s="85"/>
    </row>
    <row r="26" spans="1:40" ht="14.25" customHeight="1" x14ac:dyDescent="0.2">
      <c r="A26" s="181"/>
      <c r="B26" s="181"/>
      <c r="C26" s="181"/>
      <c r="D26" s="181"/>
      <c r="E26" s="181"/>
      <c r="F26" s="181"/>
      <c r="G26" s="181"/>
      <c r="H26" s="181"/>
      <c r="I26" s="181"/>
      <c r="J26" s="181"/>
      <c r="K26" s="181"/>
      <c r="L26" s="181"/>
      <c r="M26" s="181"/>
      <c r="N26" s="181"/>
      <c r="O26" s="181"/>
      <c r="P26" s="181"/>
      <c r="Q26" s="181"/>
      <c r="R26" s="181"/>
      <c r="S26" s="14" t="s">
        <v>229</v>
      </c>
      <c r="T26" s="14" t="s">
        <v>1359</v>
      </c>
      <c r="U26" s="85"/>
      <c r="V26" s="85"/>
      <c r="W26" s="85"/>
      <c r="X26" s="85"/>
      <c r="Y26" s="85"/>
      <c r="Z26" s="85"/>
      <c r="AA26" s="85"/>
      <c r="AB26" s="85"/>
      <c r="AC26" s="85"/>
      <c r="AD26" s="85"/>
      <c r="AE26" s="85"/>
      <c r="AF26" s="85"/>
      <c r="AG26" s="85"/>
      <c r="AH26" s="85"/>
      <c r="AI26" s="85"/>
      <c r="AJ26" s="85"/>
      <c r="AK26" s="85"/>
      <c r="AL26" s="85"/>
      <c r="AM26" s="85"/>
      <c r="AN26" s="85"/>
    </row>
    <row r="27" spans="1:40" ht="14.25" customHeight="1" x14ac:dyDescent="0.2">
      <c r="A27" s="181"/>
      <c r="B27" s="181"/>
      <c r="C27" s="197"/>
      <c r="D27" s="176"/>
      <c r="E27" s="176"/>
      <c r="F27" s="176"/>
      <c r="G27" s="176"/>
      <c r="H27" s="181"/>
      <c r="I27" s="181"/>
      <c r="J27" s="176"/>
      <c r="K27" s="176"/>
      <c r="L27" s="176"/>
      <c r="M27" s="176"/>
      <c r="N27" s="176"/>
      <c r="O27" s="181"/>
      <c r="P27" s="181"/>
      <c r="Q27" s="176"/>
      <c r="R27" s="176"/>
      <c r="S27" s="40" t="s">
        <v>216</v>
      </c>
      <c r="T27" s="14" t="s">
        <v>217</v>
      </c>
      <c r="U27" s="85"/>
      <c r="V27" s="85"/>
      <c r="W27" s="85"/>
      <c r="X27" s="85"/>
      <c r="Y27" s="85"/>
      <c r="Z27" s="85"/>
      <c r="AA27" s="85"/>
      <c r="AB27" s="85"/>
      <c r="AC27" s="85"/>
      <c r="AD27" s="85"/>
      <c r="AE27" s="85"/>
      <c r="AF27" s="85"/>
      <c r="AG27" s="85"/>
      <c r="AH27" s="85"/>
      <c r="AI27" s="85"/>
      <c r="AJ27" s="85"/>
      <c r="AK27" s="85"/>
      <c r="AL27" s="85"/>
      <c r="AM27" s="85"/>
      <c r="AN27" s="85"/>
    </row>
    <row r="28" spans="1:40" ht="14.25" customHeight="1" x14ac:dyDescent="0.2">
      <c r="A28" s="181"/>
      <c r="B28" s="197"/>
      <c r="C28" s="148"/>
      <c r="D28" s="50" t="s">
        <v>197</v>
      </c>
      <c r="E28" s="50" t="s">
        <v>155</v>
      </c>
      <c r="F28" s="50" t="s">
        <v>8</v>
      </c>
      <c r="G28" s="53">
        <v>19</v>
      </c>
      <c r="H28" s="176"/>
      <c r="I28" s="176"/>
      <c r="J28" s="53" t="s">
        <v>1360</v>
      </c>
      <c r="K28" s="50">
        <v>36</v>
      </c>
      <c r="L28" s="53">
        <v>61</v>
      </c>
      <c r="M28" s="50" t="s">
        <v>385</v>
      </c>
      <c r="N28" s="149">
        <f>L28*K28*G28</f>
        <v>41724</v>
      </c>
      <c r="O28" s="181"/>
      <c r="P28" s="181"/>
      <c r="Q28" s="51">
        <f>N28/O2</f>
        <v>2.4947085201793722</v>
      </c>
      <c r="R28" s="56">
        <v>2</v>
      </c>
      <c r="S28" s="86" t="s">
        <v>1361</v>
      </c>
      <c r="T28" s="150" t="s">
        <v>1362</v>
      </c>
      <c r="U28" s="85"/>
      <c r="V28" s="85"/>
      <c r="W28" s="85"/>
      <c r="X28" s="85"/>
      <c r="Y28" s="85"/>
      <c r="Z28" s="85"/>
      <c r="AA28" s="85"/>
      <c r="AB28" s="85"/>
      <c r="AC28" s="85"/>
      <c r="AD28" s="85"/>
      <c r="AE28" s="85"/>
      <c r="AF28" s="85"/>
      <c r="AG28" s="85"/>
      <c r="AH28" s="85"/>
      <c r="AI28" s="85"/>
      <c r="AJ28" s="85"/>
      <c r="AK28" s="85"/>
      <c r="AL28" s="85"/>
      <c r="AM28" s="85"/>
      <c r="AN28" s="85"/>
    </row>
    <row r="29" spans="1:40" ht="15" customHeight="1" x14ac:dyDescent="0.2">
      <c r="A29" s="181"/>
      <c r="B29" s="183" t="s">
        <v>251</v>
      </c>
      <c r="C29" s="184" t="s">
        <v>841</v>
      </c>
      <c r="D29" s="179" t="s">
        <v>6</v>
      </c>
      <c r="E29" s="179" t="s">
        <v>712</v>
      </c>
      <c r="F29" s="179" t="s">
        <v>712</v>
      </c>
      <c r="G29" s="182">
        <v>1</v>
      </c>
      <c r="H29" s="182">
        <v>15100</v>
      </c>
      <c r="I29" s="183" t="s">
        <v>166</v>
      </c>
      <c r="J29" s="175">
        <v>8.3333333333333329E-2</v>
      </c>
      <c r="K29" s="179" t="s">
        <v>27</v>
      </c>
      <c r="L29" s="178">
        <v>11</v>
      </c>
      <c r="M29" s="179" t="s">
        <v>1363</v>
      </c>
      <c r="N29" s="180">
        <f>L29*H29</f>
        <v>166100</v>
      </c>
      <c r="O29" s="181"/>
      <c r="P29" s="181"/>
      <c r="Q29" s="230">
        <f>N29/$O$2</f>
        <v>9.9312406576980568</v>
      </c>
      <c r="R29" s="190">
        <v>5</v>
      </c>
      <c r="S29" s="14" t="s">
        <v>716</v>
      </c>
      <c r="T29" s="85" t="s">
        <v>717</v>
      </c>
      <c r="U29" s="61"/>
      <c r="V29" s="61"/>
      <c r="W29" s="61"/>
      <c r="X29" s="61"/>
      <c r="Y29" s="61"/>
      <c r="Z29" s="61"/>
      <c r="AA29" s="61"/>
      <c r="AB29" s="61"/>
      <c r="AC29" s="61"/>
      <c r="AD29" s="61"/>
      <c r="AE29" s="61"/>
      <c r="AF29" s="61"/>
      <c r="AG29" s="61"/>
      <c r="AH29" s="61"/>
      <c r="AI29" s="61"/>
      <c r="AJ29" s="61"/>
      <c r="AK29" s="61"/>
      <c r="AL29" s="61"/>
      <c r="AM29" s="85"/>
      <c r="AN29" s="85"/>
    </row>
    <row r="30" spans="1:40" ht="15" customHeight="1" x14ac:dyDescent="0.2">
      <c r="A30" s="181"/>
      <c r="B30" s="181"/>
      <c r="C30" s="181"/>
      <c r="D30" s="176"/>
      <c r="E30" s="176"/>
      <c r="F30" s="176"/>
      <c r="G30" s="181"/>
      <c r="H30" s="181"/>
      <c r="I30" s="181"/>
      <c r="J30" s="176"/>
      <c r="K30" s="176"/>
      <c r="L30" s="176"/>
      <c r="M30" s="176"/>
      <c r="N30" s="176"/>
      <c r="O30" s="181"/>
      <c r="P30" s="181"/>
      <c r="Q30" s="176"/>
      <c r="R30" s="176"/>
      <c r="S30" s="14" t="s">
        <v>718</v>
      </c>
      <c r="T30" s="208" t="s">
        <v>720</v>
      </c>
      <c r="U30" s="172"/>
      <c r="V30" s="172"/>
      <c r="W30" s="172"/>
      <c r="X30" s="172"/>
      <c r="Y30" s="172"/>
      <c r="Z30" s="172"/>
      <c r="AA30" s="172"/>
      <c r="AB30" s="172"/>
      <c r="AC30" s="173"/>
      <c r="AD30" s="61"/>
      <c r="AE30" s="61"/>
      <c r="AF30" s="61"/>
      <c r="AG30" s="61"/>
      <c r="AH30" s="61"/>
      <c r="AI30" s="61"/>
      <c r="AJ30" s="61"/>
      <c r="AK30" s="61"/>
      <c r="AL30" s="61"/>
      <c r="AM30" s="85"/>
      <c r="AN30" s="85"/>
    </row>
    <row r="31" spans="1:40" ht="15" customHeight="1" x14ac:dyDescent="0.2">
      <c r="A31" s="181"/>
      <c r="B31" s="181"/>
      <c r="C31" s="181"/>
      <c r="D31" s="50" t="s">
        <v>872</v>
      </c>
      <c r="E31" s="50" t="s">
        <v>279</v>
      </c>
      <c r="F31" s="50" t="s">
        <v>880</v>
      </c>
      <c r="G31" s="181"/>
      <c r="H31" s="181"/>
      <c r="I31" s="181"/>
      <c r="J31" s="51" t="s">
        <v>27</v>
      </c>
      <c r="K31" s="50" t="s">
        <v>27</v>
      </c>
      <c r="L31" s="53">
        <v>0.15</v>
      </c>
      <c r="M31" s="14" t="s">
        <v>1365</v>
      </c>
      <c r="N31" s="54">
        <f>L31*H29</f>
        <v>2265</v>
      </c>
      <c r="O31" s="181"/>
      <c r="P31" s="181"/>
      <c r="Q31" s="57">
        <f t="shared" ref="Q31:Q32" si="1">N31/$O$2</f>
        <v>0.13542600896860987</v>
      </c>
      <c r="R31" s="71">
        <v>3</v>
      </c>
      <c r="S31" s="14" t="s">
        <v>283</v>
      </c>
      <c r="T31" s="85" t="s">
        <v>284</v>
      </c>
      <c r="U31" s="61"/>
      <c r="V31" s="61"/>
      <c r="W31" s="61"/>
      <c r="X31" s="61"/>
      <c r="Y31" s="61"/>
      <c r="Z31" s="61"/>
      <c r="AA31" s="61"/>
      <c r="AB31" s="61"/>
      <c r="AC31" s="61"/>
      <c r="AD31" s="61"/>
      <c r="AE31" s="61"/>
      <c r="AF31" s="61"/>
      <c r="AG31" s="61"/>
      <c r="AH31" s="61"/>
      <c r="AI31" s="61"/>
      <c r="AJ31" s="61"/>
      <c r="AK31" s="61"/>
      <c r="AL31" s="61"/>
      <c r="AM31" s="85"/>
      <c r="AN31" s="85"/>
    </row>
    <row r="32" spans="1:40" ht="15" customHeight="1" x14ac:dyDescent="0.2">
      <c r="A32" s="181"/>
      <c r="B32" s="181"/>
      <c r="C32" s="181"/>
      <c r="D32" s="179" t="s">
        <v>293</v>
      </c>
      <c r="E32" s="179" t="s">
        <v>294</v>
      </c>
      <c r="F32" s="179" t="s">
        <v>12</v>
      </c>
      <c r="G32" s="181"/>
      <c r="H32" s="181"/>
      <c r="I32" s="181"/>
      <c r="J32" s="175">
        <v>4.1666666666666664E-2</v>
      </c>
      <c r="K32" s="179" t="s">
        <v>27</v>
      </c>
      <c r="L32" s="178">
        <v>1.9</v>
      </c>
      <c r="M32" s="179" t="s">
        <v>1366</v>
      </c>
      <c r="N32" s="180">
        <f>L32*H29</f>
        <v>28690</v>
      </c>
      <c r="O32" s="181"/>
      <c r="P32" s="181"/>
      <c r="Q32" s="230">
        <f t="shared" si="1"/>
        <v>1.7153961136023916</v>
      </c>
      <c r="R32" s="191">
        <v>4</v>
      </c>
      <c r="S32" s="14" t="s">
        <v>731</v>
      </c>
      <c r="T32" s="85" t="s">
        <v>732</v>
      </c>
      <c r="U32" s="85"/>
      <c r="V32" s="85"/>
      <c r="W32" s="85"/>
      <c r="X32" s="85"/>
      <c r="Y32" s="85"/>
      <c r="Z32" s="85"/>
      <c r="AA32" s="85"/>
      <c r="AB32" s="85"/>
      <c r="AC32" s="85"/>
      <c r="AD32" s="61"/>
      <c r="AE32" s="61"/>
      <c r="AF32" s="61"/>
      <c r="AG32" s="61"/>
      <c r="AH32" s="61"/>
      <c r="AI32" s="61"/>
      <c r="AJ32" s="61"/>
      <c r="AK32" s="61"/>
      <c r="AL32" s="61"/>
      <c r="AM32" s="85"/>
      <c r="AN32" s="85"/>
    </row>
    <row r="33" spans="1:40" ht="15" customHeight="1" x14ac:dyDescent="0.2">
      <c r="A33" s="181"/>
      <c r="B33" s="181"/>
      <c r="C33" s="181"/>
      <c r="D33" s="181"/>
      <c r="E33" s="181"/>
      <c r="F33" s="181"/>
      <c r="G33" s="181"/>
      <c r="H33" s="181"/>
      <c r="I33" s="181"/>
      <c r="J33" s="181"/>
      <c r="K33" s="181"/>
      <c r="L33" s="181"/>
      <c r="M33" s="181"/>
      <c r="N33" s="181"/>
      <c r="O33" s="181"/>
      <c r="P33" s="181"/>
      <c r="Q33" s="181"/>
      <c r="R33" s="181"/>
      <c r="S33" s="14" t="s">
        <v>734</v>
      </c>
      <c r="T33" s="85" t="s">
        <v>735</v>
      </c>
      <c r="U33" s="85"/>
      <c r="V33" s="85"/>
      <c r="W33" s="85"/>
      <c r="X33" s="85"/>
      <c r="Y33" s="85"/>
      <c r="Z33" s="85"/>
      <c r="AA33" s="85"/>
      <c r="AB33" s="85"/>
      <c r="AC33" s="85"/>
      <c r="AD33" s="61"/>
      <c r="AE33" s="61"/>
      <c r="AF33" s="61"/>
      <c r="AG33" s="61"/>
      <c r="AH33" s="61"/>
      <c r="AI33" s="61"/>
      <c r="AJ33" s="61"/>
      <c r="AK33" s="61"/>
      <c r="AL33" s="61"/>
      <c r="AM33" s="85"/>
      <c r="AN33" s="85"/>
    </row>
    <row r="34" spans="1:40" ht="15" customHeight="1" x14ac:dyDescent="0.2">
      <c r="A34" s="181"/>
      <c r="B34" s="176"/>
      <c r="C34" s="176"/>
      <c r="D34" s="176"/>
      <c r="E34" s="176"/>
      <c r="F34" s="176"/>
      <c r="G34" s="176"/>
      <c r="H34" s="176"/>
      <c r="I34" s="176"/>
      <c r="J34" s="176"/>
      <c r="K34" s="176"/>
      <c r="L34" s="176"/>
      <c r="M34" s="176"/>
      <c r="N34" s="176"/>
      <c r="O34" s="181"/>
      <c r="P34" s="181"/>
      <c r="Q34" s="176"/>
      <c r="R34" s="176"/>
      <c r="S34" s="14" t="s">
        <v>181</v>
      </c>
      <c r="T34" s="85" t="s">
        <v>739</v>
      </c>
      <c r="U34" s="61"/>
      <c r="V34" s="61"/>
      <c r="W34" s="61"/>
      <c r="X34" s="61"/>
      <c r="Y34" s="61"/>
      <c r="Z34" s="61"/>
      <c r="AA34" s="61"/>
      <c r="AB34" s="61"/>
      <c r="AC34" s="61"/>
      <c r="AD34" s="61"/>
      <c r="AE34" s="61"/>
      <c r="AF34" s="61"/>
      <c r="AG34" s="61"/>
      <c r="AH34" s="61"/>
      <c r="AI34" s="61"/>
      <c r="AJ34" s="61"/>
      <c r="AK34" s="61"/>
      <c r="AL34" s="61"/>
      <c r="AM34" s="85"/>
      <c r="AN34" s="85"/>
    </row>
    <row r="35" spans="1:40" ht="15" customHeight="1" x14ac:dyDescent="0.2">
      <c r="A35" s="181"/>
      <c r="B35" s="68" t="s">
        <v>463</v>
      </c>
      <c r="C35" s="68" t="s">
        <v>899</v>
      </c>
      <c r="D35" s="50" t="s">
        <v>1140</v>
      </c>
      <c r="E35" s="50" t="s">
        <v>27</v>
      </c>
      <c r="F35" s="50" t="s">
        <v>27</v>
      </c>
      <c r="G35" s="70">
        <v>9</v>
      </c>
      <c r="H35" s="53">
        <f>36/12*84/12</f>
        <v>21</v>
      </c>
      <c r="I35" s="50" t="s">
        <v>166</v>
      </c>
      <c r="J35" s="51" t="s">
        <v>27</v>
      </c>
      <c r="K35" s="50" t="s">
        <v>27</v>
      </c>
      <c r="L35" s="59" t="s">
        <v>27</v>
      </c>
      <c r="M35" s="50" t="s">
        <v>304</v>
      </c>
      <c r="N35" s="54">
        <f t="shared" ref="N35:N36" si="2">H35*G35</f>
        <v>189</v>
      </c>
      <c r="O35" s="181"/>
      <c r="P35" s="181"/>
      <c r="Q35" s="51">
        <f>N35/O2</f>
        <v>1.1300448430493274E-2</v>
      </c>
      <c r="R35" s="71">
        <v>4</v>
      </c>
      <c r="S35" s="40" t="s">
        <v>903</v>
      </c>
      <c r="T35" s="85" t="s">
        <v>905</v>
      </c>
      <c r="U35" s="85"/>
      <c r="V35" s="85"/>
      <c r="W35" s="85"/>
      <c r="X35" s="85"/>
      <c r="Y35" s="85"/>
      <c r="Z35" s="85"/>
      <c r="AA35" s="85"/>
      <c r="AB35" s="85"/>
      <c r="AC35" s="85"/>
      <c r="AD35" s="85"/>
      <c r="AE35" s="85"/>
      <c r="AF35" s="85"/>
      <c r="AG35" s="85"/>
      <c r="AH35" s="85"/>
      <c r="AI35" s="85"/>
      <c r="AJ35" s="85"/>
      <c r="AK35" s="85"/>
      <c r="AL35" s="85"/>
      <c r="AM35" s="85"/>
      <c r="AN35" s="85"/>
    </row>
    <row r="36" spans="1:40" ht="14.25" customHeight="1" x14ac:dyDescent="0.2">
      <c r="A36" s="181"/>
      <c r="B36" s="184" t="s">
        <v>463</v>
      </c>
      <c r="C36" s="184" t="s">
        <v>300</v>
      </c>
      <c r="D36" s="179" t="s">
        <v>301</v>
      </c>
      <c r="E36" s="179" t="s">
        <v>27</v>
      </c>
      <c r="F36" s="179" t="s">
        <v>27</v>
      </c>
      <c r="G36" s="182">
        <v>7</v>
      </c>
      <c r="H36" s="194">
        <v>21</v>
      </c>
      <c r="I36" s="178" t="s">
        <v>166</v>
      </c>
      <c r="J36" s="175" t="s">
        <v>27</v>
      </c>
      <c r="K36" s="178" t="s">
        <v>27</v>
      </c>
      <c r="L36" s="178" t="s">
        <v>27</v>
      </c>
      <c r="M36" s="179" t="s">
        <v>304</v>
      </c>
      <c r="N36" s="195">
        <f t="shared" si="2"/>
        <v>147</v>
      </c>
      <c r="O36" s="181"/>
      <c r="P36" s="181"/>
      <c r="Q36" s="175">
        <f>N36/O2</f>
        <v>8.7892376681614343E-3</v>
      </c>
      <c r="R36" s="191">
        <v>4</v>
      </c>
      <c r="S36" s="14" t="s">
        <v>305</v>
      </c>
      <c r="T36" s="85" t="s">
        <v>306</v>
      </c>
      <c r="U36" s="85"/>
      <c r="V36" s="85"/>
      <c r="W36" s="85"/>
      <c r="X36" s="85"/>
      <c r="Y36" s="85"/>
      <c r="Z36" s="85"/>
      <c r="AA36" s="85"/>
      <c r="AB36" s="85"/>
      <c r="AC36" s="85"/>
      <c r="AD36" s="85"/>
      <c r="AE36" s="85"/>
      <c r="AF36" s="85"/>
      <c r="AG36" s="85"/>
      <c r="AH36" s="85"/>
      <c r="AI36" s="85"/>
      <c r="AJ36" s="85"/>
      <c r="AK36" s="85"/>
      <c r="AL36" s="85"/>
      <c r="AM36" s="85"/>
      <c r="AN36" s="85"/>
    </row>
    <row r="37" spans="1:40" ht="14.25" customHeight="1" x14ac:dyDescent="0.2">
      <c r="A37" s="181"/>
      <c r="B37" s="176"/>
      <c r="C37" s="176"/>
      <c r="D37" s="176"/>
      <c r="E37" s="176"/>
      <c r="F37" s="176"/>
      <c r="G37" s="176"/>
      <c r="H37" s="176"/>
      <c r="I37" s="176"/>
      <c r="J37" s="176"/>
      <c r="K37" s="176"/>
      <c r="L37" s="176"/>
      <c r="M37" s="176"/>
      <c r="N37" s="176"/>
      <c r="O37" s="181"/>
      <c r="P37" s="181"/>
      <c r="Q37" s="176"/>
      <c r="R37" s="176"/>
      <c r="S37" s="40" t="s">
        <v>1375</v>
      </c>
      <c r="T37" s="85" t="s">
        <v>1377</v>
      </c>
      <c r="U37" s="85"/>
      <c r="V37" s="85"/>
      <c r="W37" s="85"/>
      <c r="X37" s="85"/>
      <c r="Y37" s="85"/>
      <c r="Z37" s="85"/>
      <c r="AA37" s="85"/>
      <c r="AB37" s="85"/>
      <c r="AC37" s="85"/>
      <c r="AD37" s="85"/>
      <c r="AE37" s="85"/>
      <c r="AF37" s="85"/>
      <c r="AG37" s="85"/>
      <c r="AH37" s="85"/>
      <c r="AI37" s="85"/>
      <c r="AJ37" s="85"/>
      <c r="AK37" s="85"/>
      <c r="AL37" s="85"/>
      <c r="AM37" s="85"/>
      <c r="AN37" s="85"/>
    </row>
    <row r="38" spans="1:40" ht="14.25" customHeight="1" x14ac:dyDescent="0.2">
      <c r="A38" s="181"/>
      <c r="B38" s="183" t="s">
        <v>417</v>
      </c>
      <c r="C38" s="183" t="s">
        <v>662</v>
      </c>
      <c r="D38" s="179" t="s">
        <v>663</v>
      </c>
      <c r="E38" s="179" t="s">
        <v>13</v>
      </c>
      <c r="F38" s="179" t="s">
        <v>13</v>
      </c>
      <c r="G38" s="182">
        <v>19</v>
      </c>
      <c r="H38" s="178">
        <v>25</v>
      </c>
      <c r="I38" s="179" t="s">
        <v>166</v>
      </c>
      <c r="J38" s="175" t="s">
        <v>27</v>
      </c>
      <c r="K38" s="179" t="s">
        <v>27</v>
      </c>
      <c r="L38" s="178">
        <v>1</v>
      </c>
      <c r="M38" s="179" t="s">
        <v>1379</v>
      </c>
      <c r="N38" s="180">
        <f>L38*G38*H38</f>
        <v>475</v>
      </c>
      <c r="O38" s="181"/>
      <c r="P38" s="181"/>
      <c r="Q38" s="175">
        <f>N38/$O$2</f>
        <v>2.8400597907324365E-2</v>
      </c>
      <c r="R38" s="190">
        <v>2</v>
      </c>
      <c r="S38" s="14" t="s">
        <v>623</v>
      </c>
      <c r="T38" s="85" t="s">
        <v>1015</v>
      </c>
      <c r="U38" s="85"/>
      <c r="V38" s="85"/>
      <c r="W38" s="85"/>
      <c r="X38" s="85"/>
      <c r="Y38" s="85"/>
      <c r="Z38" s="85"/>
      <c r="AA38" s="85"/>
      <c r="AB38" s="85"/>
      <c r="AC38" s="85"/>
      <c r="AD38" s="85"/>
      <c r="AE38" s="85"/>
      <c r="AF38" s="85"/>
      <c r="AG38" s="85"/>
      <c r="AH38" s="85"/>
      <c r="AI38" s="85"/>
      <c r="AJ38" s="85"/>
      <c r="AK38" s="85"/>
      <c r="AL38" s="85"/>
      <c r="AM38" s="85"/>
      <c r="AN38" s="85"/>
    </row>
    <row r="39" spans="1:40" ht="14.25" customHeight="1" x14ac:dyDescent="0.2">
      <c r="A39" s="181"/>
      <c r="B39" s="181"/>
      <c r="C39" s="181"/>
      <c r="D39" s="181"/>
      <c r="E39" s="181"/>
      <c r="F39" s="181"/>
      <c r="G39" s="181"/>
      <c r="H39" s="181"/>
      <c r="I39" s="181"/>
      <c r="J39" s="181"/>
      <c r="K39" s="181"/>
      <c r="L39" s="181"/>
      <c r="M39" s="181"/>
      <c r="N39" s="181"/>
      <c r="O39" s="181"/>
      <c r="P39" s="181"/>
      <c r="Q39" s="181"/>
      <c r="R39" s="181"/>
      <c r="S39" s="40" t="s">
        <v>667</v>
      </c>
      <c r="T39" s="85" t="s">
        <v>668</v>
      </c>
      <c r="U39" s="85"/>
      <c r="V39" s="85"/>
      <c r="W39" s="85"/>
      <c r="X39" s="85"/>
      <c r="Y39" s="85"/>
      <c r="Z39" s="85"/>
      <c r="AA39" s="85"/>
      <c r="AB39" s="85"/>
      <c r="AC39" s="85"/>
      <c r="AD39" s="85"/>
      <c r="AE39" s="85"/>
      <c r="AF39" s="85"/>
      <c r="AG39" s="85"/>
      <c r="AH39" s="85"/>
      <c r="AI39" s="85"/>
      <c r="AJ39" s="85"/>
      <c r="AK39" s="85"/>
      <c r="AL39" s="85"/>
      <c r="AM39" s="85"/>
      <c r="AN39" s="85"/>
    </row>
    <row r="40" spans="1:40" ht="14.25" customHeight="1" x14ac:dyDescent="0.2">
      <c r="A40" s="181"/>
      <c r="B40" s="181"/>
      <c r="C40" s="181"/>
      <c r="D40" s="181"/>
      <c r="E40" s="181"/>
      <c r="F40" s="181"/>
      <c r="G40" s="181"/>
      <c r="H40" s="181"/>
      <c r="I40" s="181"/>
      <c r="J40" s="181"/>
      <c r="K40" s="181"/>
      <c r="L40" s="181"/>
      <c r="M40" s="181"/>
      <c r="N40" s="181"/>
      <c r="O40" s="181"/>
      <c r="P40" s="181"/>
      <c r="Q40" s="181"/>
      <c r="R40" s="181"/>
      <c r="S40" s="14" t="s">
        <v>669</v>
      </c>
      <c r="T40" s="85" t="s">
        <v>670</v>
      </c>
      <c r="U40" s="85"/>
      <c r="V40" s="85"/>
      <c r="W40" s="85"/>
      <c r="X40" s="85"/>
      <c r="Y40" s="85"/>
      <c r="Z40" s="85"/>
      <c r="AA40" s="85"/>
      <c r="AB40" s="85"/>
      <c r="AC40" s="85"/>
      <c r="AD40" s="85"/>
      <c r="AE40" s="85"/>
      <c r="AF40" s="85"/>
      <c r="AG40" s="85"/>
      <c r="AH40" s="85"/>
      <c r="AI40" s="85"/>
      <c r="AJ40" s="85"/>
      <c r="AK40" s="85"/>
      <c r="AL40" s="85"/>
      <c r="AM40" s="85"/>
      <c r="AN40" s="85"/>
    </row>
    <row r="41" spans="1:40" ht="14.25" customHeight="1" x14ac:dyDescent="0.2">
      <c r="A41" s="181"/>
      <c r="B41" s="181"/>
      <c r="C41" s="181"/>
      <c r="D41" s="176"/>
      <c r="E41" s="176"/>
      <c r="F41" s="176"/>
      <c r="G41" s="181"/>
      <c r="H41" s="176"/>
      <c r="I41" s="176"/>
      <c r="J41" s="176"/>
      <c r="K41" s="176"/>
      <c r="L41" s="176"/>
      <c r="M41" s="176"/>
      <c r="N41" s="176"/>
      <c r="O41" s="181"/>
      <c r="P41" s="181"/>
      <c r="Q41" s="176"/>
      <c r="R41" s="176"/>
      <c r="S41" s="14" t="s">
        <v>671</v>
      </c>
      <c r="T41" s="85" t="s">
        <v>672</v>
      </c>
      <c r="U41" s="85"/>
      <c r="V41" s="85"/>
      <c r="W41" s="85"/>
      <c r="X41" s="85"/>
      <c r="Y41" s="85"/>
      <c r="Z41" s="85"/>
      <c r="AA41" s="85"/>
      <c r="AB41" s="85"/>
      <c r="AC41" s="85"/>
      <c r="AD41" s="85"/>
      <c r="AE41" s="85"/>
      <c r="AF41" s="85"/>
      <c r="AG41" s="85"/>
      <c r="AH41" s="85"/>
      <c r="AI41" s="85"/>
      <c r="AJ41" s="85"/>
      <c r="AK41" s="85"/>
      <c r="AL41" s="85"/>
      <c r="AM41" s="85"/>
      <c r="AN41" s="85"/>
    </row>
    <row r="42" spans="1:40" ht="14.25" customHeight="1" x14ac:dyDescent="0.2">
      <c r="A42" s="181"/>
      <c r="B42" s="181"/>
      <c r="C42" s="181"/>
      <c r="D42" s="179" t="s">
        <v>433</v>
      </c>
      <c r="E42" s="179" t="s">
        <v>434</v>
      </c>
      <c r="F42" s="179" t="s">
        <v>435</v>
      </c>
      <c r="G42" s="181"/>
      <c r="H42" s="178">
        <v>25</v>
      </c>
      <c r="I42" s="179" t="s">
        <v>166</v>
      </c>
      <c r="J42" s="175">
        <v>2.0833333333333332E-2</v>
      </c>
      <c r="K42" s="193" t="s">
        <v>27</v>
      </c>
      <c r="L42" s="194">
        <v>158</v>
      </c>
      <c r="M42" s="193" t="s">
        <v>1385</v>
      </c>
      <c r="N42" s="180">
        <f>L42*J42*H42*G38*2</f>
        <v>3127.083333333333</v>
      </c>
      <c r="O42" s="181"/>
      <c r="P42" s="181"/>
      <c r="Q42" s="175">
        <f>N42/$O$2</f>
        <v>0.18697060288988537</v>
      </c>
      <c r="R42" s="190">
        <v>2</v>
      </c>
      <c r="S42" s="14" t="s">
        <v>623</v>
      </c>
      <c r="T42" s="85" t="s">
        <v>922</v>
      </c>
      <c r="U42" s="85"/>
      <c r="V42" s="85"/>
      <c r="W42" s="85"/>
      <c r="X42" s="85"/>
      <c r="Y42" s="85"/>
      <c r="Z42" s="85"/>
      <c r="AA42" s="85"/>
      <c r="AB42" s="85"/>
      <c r="AC42" s="85"/>
      <c r="AD42" s="85"/>
      <c r="AE42" s="85"/>
      <c r="AF42" s="85"/>
      <c r="AG42" s="85"/>
      <c r="AH42" s="85"/>
      <c r="AI42" s="85"/>
      <c r="AJ42" s="85"/>
      <c r="AK42" s="85"/>
      <c r="AL42" s="85"/>
      <c r="AM42" s="85"/>
      <c r="AN42" s="85"/>
    </row>
    <row r="43" spans="1:40" ht="14.25" customHeight="1" x14ac:dyDescent="0.2">
      <c r="A43" s="181"/>
      <c r="B43" s="181"/>
      <c r="C43" s="181"/>
      <c r="D43" s="181"/>
      <c r="E43" s="181"/>
      <c r="F43" s="181"/>
      <c r="G43" s="181"/>
      <c r="H43" s="181"/>
      <c r="I43" s="181"/>
      <c r="J43" s="181"/>
      <c r="K43" s="181"/>
      <c r="L43" s="181"/>
      <c r="M43" s="181"/>
      <c r="N43" s="181"/>
      <c r="O43" s="181"/>
      <c r="P43" s="181"/>
      <c r="Q43" s="181"/>
      <c r="R43" s="181"/>
      <c r="S43" s="14" t="s">
        <v>443</v>
      </c>
      <c r="T43" s="85" t="s">
        <v>444</v>
      </c>
      <c r="U43" s="85"/>
      <c r="V43" s="85"/>
      <c r="W43" s="85"/>
      <c r="X43" s="85"/>
      <c r="Y43" s="85"/>
      <c r="Z43" s="85"/>
      <c r="AA43" s="85"/>
      <c r="AB43" s="85"/>
      <c r="AC43" s="85"/>
      <c r="AD43" s="85"/>
      <c r="AE43" s="85"/>
      <c r="AF43" s="85"/>
      <c r="AG43" s="85"/>
      <c r="AH43" s="85"/>
      <c r="AI43" s="85"/>
      <c r="AJ43" s="85"/>
      <c r="AK43" s="85"/>
      <c r="AL43" s="85"/>
      <c r="AM43" s="85"/>
      <c r="AN43" s="85"/>
    </row>
    <row r="44" spans="1:40" ht="14.25" customHeight="1" x14ac:dyDescent="0.2">
      <c r="A44" s="181"/>
      <c r="B44" s="181"/>
      <c r="C44" s="181"/>
      <c r="D44" s="181"/>
      <c r="E44" s="181"/>
      <c r="F44" s="181"/>
      <c r="G44" s="181"/>
      <c r="H44" s="181"/>
      <c r="I44" s="181"/>
      <c r="J44" s="181"/>
      <c r="K44" s="181"/>
      <c r="L44" s="181"/>
      <c r="M44" s="181"/>
      <c r="N44" s="181"/>
      <c r="O44" s="181"/>
      <c r="P44" s="181"/>
      <c r="Q44" s="181"/>
      <c r="R44" s="181"/>
      <c r="S44" s="14" t="s">
        <v>451</v>
      </c>
      <c r="T44" s="85" t="s">
        <v>452</v>
      </c>
      <c r="U44" s="85"/>
      <c r="V44" s="85"/>
      <c r="W44" s="85"/>
      <c r="X44" s="85"/>
      <c r="Y44" s="85"/>
      <c r="Z44" s="85"/>
      <c r="AA44" s="85"/>
      <c r="AB44" s="85"/>
      <c r="AC44" s="85"/>
      <c r="AD44" s="85"/>
      <c r="AE44" s="85"/>
      <c r="AF44" s="85"/>
      <c r="AG44" s="85"/>
      <c r="AH44" s="85"/>
      <c r="AI44" s="85"/>
      <c r="AJ44" s="85"/>
      <c r="AK44" s="85"/>
      <c r="AL44" s="85"/>
      <c r="AM44" s="85"/>
      <c r="AN44" s="85"/>
    </row>
    <row r="45" spans="1:40" ht="14.25" customHeight="1" x14ac:dyDescent="0.2">
      <c r="A45" s="181"/>
      <c r="B45" s="181"/>
      <c r="C45" s="181"/>
      <c r="D45" s="176"/>
      <c r="E45" s="176"/>
      <c r="F45" s="176"/>
      <c r="G45" s="181"/>
      <c r="H45" s="181"/>
      <c r="I45" s="181"/>
      <c r="J45" s="176"/>
      <c r="K45" s="176"/>
      <c r="L45" s="176"/>
      <c r="M45" s="176"/>
      <c r="N45" s="176"/>
      <c r="O45" s="181"/>
      <c r="P45" s="181"/>
      <c r="Q45" s="176"/>
      <c r="R45" s="176"/>
      <c r="S45" s="40" t="s">
        <v>447</v>
      </c>
      <c r="T45" s="85" t="s">
        <v>449</v>
      </c>
      <c r="U45" s="85"/>
      <c r="V45" s="85"/>
      <c r="W45" s="85"/>
      <c r="X45" s="85"/>
      <c r="Y45" s="85"/>
      <c r="Z45" s="85"/>
      <c r="AA45" s="85"/>
      <c r="AB45" s="85"/>
      <c r="AC45" s="85"/>
      <c r="AD45" s="85"/>
      <c r="AE45" s="85"/>
      <c r="AF45" s="85"/>
      <c r="AG45" s="85"/>
      <c r="AH45" s="85"/>
      <c r="AI45" s="85"/>
      <c r="AJ45" s="85"/>
      <c r="AK45" s="85"/>
      <c r="AL45" s="85"/>
      <c r="AM45" s="85"/>
      <c r="AN45" s="85"/>
    </row>
    <row r="46" spans="1:40" ht="17.25" customHeight="1" x14ac:dyDescent="0.2">
      <c r="A46" s="181"/>
      <c r="B46" s="181"/>
      <c r="C46" s="181"/>
      <c r="D46" s="179" t="s">
        <v>677</v>
      </c>
      <c r="E46" s="179" t="s">
        <v>287</v>
      </c>
      <c r="F46" s="179" t="s">
        <v>19</v>
      </c>
      <c r="G46" s="181"/>
      <c r="H46" s="181"/>
      <c r="I46" s="181"/>
      <c r="J46" s="175">
        <v>2.5000000000000001E-3</v>
      </c>
      <c r="K46" s="179" t="s">
        <v>27</v>
      </c>
      <c r="L46" s="178">
        <v>0.17</v>
      </c>
      <c r="M46" s="179" t="s">
        <v>1392</v>
      </c>
      <c r="N46" s="195">
        <f>L46*H42*G38*2</f>
        <v>161.5</v>
      </c>
      <c r="O46" s="181"/>
      <c r="P46" s="181"/>
      <c r="Q46" s="175">
        <f>N46/$O$2</f>
        <v>9.6562032884902841E-3</v>
      </c>
      <c r="R46" s="190">
        <v>2</v>
      </c>
      <c r="S46" s="14" t="s">
        <v>451</v>
      </c>
      <c r="T46" s="85" t="s">
        <v>452</v>
      </c>
      <c r="U46" s="85"/>
      <c r="V46" s="85"/>
      <c r="W46" s="85"/>
      <c r="X46" s="85"/>
      <c r="Y46" s="85"/>
      <c r="Z46" s="85"/>
      <c r="AA46" s="85"/>
      <c r="AB46" s="85"/>
      <c r="AC46" s="85"/>
      <c r="AD46" s="85"/>
      <c r="AE46" s="85"/>
      <c r="AF46" s="85"/>
      <c r="AG46" s="85"/>
      <c r="AH46" s="85"/>
      <c r="AI46" s="85"/>
      <c r="AJ46" s="85"/>
      <c r="AK46" s="85"/>
      <c r="AL46" s="85"/>
      <c r="AM46" s="85"/>
      <c r="AN46" s="85"/>
    </row>
    <row r="47" spans="1:40" ht="14.25" customHeight="1" x14ac:dyDescent="0.2">
      <c r="A47" s="181"/>
      <c r="B47" s="176"/>
      <c r="C47" s="176"/>
      <c r="D47" s="176"/>
      <c r="E47" s="176"/>
      <c r="F47" s="176"/>
      <c r="G47" s="176"/>
      <c r="H47" s="176"/>
      <c r="I47" s="176"/>
      <c r="J47" s="176"/>
      <c r="K47" s="176"/>
      <c r="L47" s="176"/>
      <c r="M47" s="176"/>
      <c r="N47" s="176"/>
      <c r="O47" s="181"/>
      <c r="P47" s="181"/>
      <c r="Q47" s="176"/>
      <c r="R47" s="176"/>
      <c r="S47" s="40" t="s">
        <v>460</v>
      </c>
      <c r="T47" s="85" t="s">
        <v>461</v>
      </c>
      <c r="U47" s="85"/>
      <c r="V47" s="85"/>
      <c r="W47" s="85"/>
      <c r="X47" s="85"/>
      <c r="Y47" s="85"/>
      <c r="Z47" s="85"/>
      <c r="AA47" s="85"/>
      <c r="AB47" s="85"/>
      <c r="AC47" s="85"/>
      <c r="AD47" s="85"/>
      <c r="AE47" s="85"/>
      <c r="AF47" s="85"/>
      <c r="AG47" s="85"/>
      <c r="AH47" s="85"/>
      <c r="AI47" s="85"/>
      <c r="AJ47" s="85"/>
      <c r="AK47" s="85"/>
      <c r="AL47" s="85"/>
      <c r="AM47" s="85"/>
      <c r="AN47" s="85"/>
    </row>
    <row r="48" spans="1:40" ht="14.25" customHeight="1" x14ac:dyDescent="0.2">
      <c r="A48" s="181"/>
      <c r="B48" s="183" t="s">
        <v>417</v>
      </c>
      <c r="C48" s="183" t="s">
        <v>1395</v>
      </c>
      <c r="D48" s="179" t="s">
        <v>1396</v>
      </c>
      <c r="E48" s="179" t="s">
        <v>92</v>
      </c>
      <c r="F48" s="179" t="s">
        <v>4</v>
      </c>
      <c r="G48" s="182">
        <v>140</v>
      </c>
      <c r="H48" s="178">
        <v>18.0625</v>
      </c>
      <c r="I48" s="179" t="s">
        <v>166</v>
      </c>
      <c r="J48" s="175" t="s">
        <v>27</v>
      </c>
      <c r="K48" s="179" t="s">
        <v>27</v>
      </c>
      <c r="L48" s="178">
        <v>16.399999999999999</v>
      </c>
      <c r="M48" s="179" t="s">
        <v>422</v>
      </c>
      <c r="N48" s="180">
        <f>L48*G48*H48</f>
        <v>41471.5</v>
      </c>
      <c r="O48" s="181"/>
      <c r="P48" s="181"/>
      <c r="Q48" s="175">
        <f>N48/$O$2</f>
        <v>2.4796113602391627</v>
      </c>
      <c r="R48" s="190">
        <v>2</v>
      </c>
      <c r="S48" s="14" t="s">
        <v>625</v>
      </c>
      <c r="T48" s="14" t="s">
        <v>1400</v>
      </c>
      <c r="U48" s="85"/>
      <c r="V48" s="85"/>
      <c r="W48" s="85"/>
      <c r="X48" s="85"/>
      <c r="Y48" s="85"/>
      <c r="Z48" s="85"/>
      <c r="AA48" s="85"/>
      <c r="AB48" s="85"/>
      <c r="AC48" s="85"/>
      <c r="AD48" s="85"/>
      <c r="AE48" s="85"/>
      <c r="AF48" s="85"/>
      <c r="AG48" s="85"/>
      <c r="AH48" s="85"/>
      <c r="AI48" s="85"/>
      <c r="AJ48" s="85"/>
      <c r="AK48" s="85"/>
      <c r="AL48" s="85"/>
      <c r="AM48" s="85"/>
      <c r="AN48" s="85"/>
    </row>
    <row r="49" spans="1:40" ht="14.25" customHeight="1" x14ac:dyDescent="0.2">
      <c r="A49" s="181"/>
      <c r="B49" s="181"/>
      <c r="C49" s="181"/>
      <c r="D49" s="181"/>
      <c r="E49" s="181"/>
      <c r="F49" s="181"/>
      <c r="G49" s="181"/>
      <c r="H49" s="181"/>
      <c r="I49" s="181"/>
      <c r="J49" s="181"/>
      <c r="K49" s="181"/>
      <c r="L49" s="181"/>
      <c r="M49" s="181"/>
      <c r="N49" s="181"/>
      <c r="O49" s="181"/>
      <c r="P49" s="181"/>
      <c r="Q49" s="181"/>
      <c r="R49" s="181"/>
      <c r="S49" s="14" t="s">
        <v>1402</v>
      </c>
      <c r="T49" s="14" t="s">
        <v>1403</v>
      </c>
      <c r="U49" s="85"/>
      <c r="V49" s="85"/>
      <c r="W49" s="85"/>
      <c r="X49" s="85"/>
      <c r="Y49" s="85"/>
      <c r="Z49" s="85"/>
      <c r="AA49" s="85"/>
      <c r="AB49" s="85"/>
      <c r="AC49" s="85"/>
      <c r="AD49" s="85"/>
      <c r="AE49" s="85"/>
      <c r="AF49" s="85"/>
      <c r="AG49" s="85"/>
      <c r="AH49" s="85"/>
      <c r="AI49" s="85"/>
      <c r="AJ49" s="85"/>
      <c r="AK49" s="85"/>
      <c r="AL49" s="85"/>
      <c r="AM49" s="85"/>
      <c r="AN49" s="85"/>
    </row>
    <row r="50" spans="1:40" ht="14.25" customHeight="1" x14ac:dyDescent="0.2">
      <c r="A50" s="181"/>
      <c r="B50" s="181"/>
      <c r="C50" s="181"/>
      <c r="D50" s="181"/>
      <c r="E50" s="181"/>
      <c r="F50" s="181"/>
      <c r="G50" s="181"/>
      <c r="H50" s="181"/>
      <c r="I50" s="181"/>
      <c r="J50" s="181"/>
      <c r="K50" s="181"/>
      <c r="L50" s="181"/>
      <c r="M50" s="181"/>
      <c r="N50" s="181"/>
      <c r="O50" s="181"/>
      <c r="P50" s="181"/>
      <c r="Q50" s="181"/>
      <c r="R50" s="181"/>
      <c r="S50" s="14" t="s">
        <v>1406</v>
      </c>
      <c r="T50" s="14" t="s">
        <v>1407</v>
      </c>
      <c r="U50" s="85"/>
      <c r="V50" s="85"/>
      <c r="W50" s="85"/>
      <c r="X50" s="85"/>
      <c r="Y50" s="85"/>
      <c r="Z50" s="85"/>
      <c r="AA50" s="85"/>
      <c r="AB50" s="85"/>
      <c r="AC50" s="85"/>
      <c r="AD50" s="85"/>
      <c r="AE50" s="85"/>
      <c r="AF50" s="85"/>
      <c r="AG50" s="85"/>
      <c r="AH50" s="85"/>
      <c r="AI50" s="85"/>
      <c r="AJ50" s="85"/>
      <c r="AK50" s="85"/>
      <c r="AL50" s="85"/>
      <c r="AM50" s="85"/>
      <c r="AN50" s="85"/>
    </row>
    <row r="51" spans="1:40" ht="14.25" customHeight="1" x14ac:dyDescent="0.2">
      <c r="A51" s="181"/>
      <c r="B51" s="181"/>
      <c r="C51" s="181"/>
      <c r="D51" s="176"/>
      <c r="E51" s="176"/>
      <c r="F51" s="176"/>
      <c r="G51" s="181"/>
      <c r="H51" s="176"/>
      <c r="I51" s="176"/>
      <c r="J51" s="176"/>
      <c r="K51" s="176"/>
      <c r="L51" s="176"/>
      <c r="M51" s="176"/>
      <c r="N51" s="176"/>
      <c r="O51" s="181"/>
      <c r="P51" s="181"/>
      <c r="Q51" s="176"/>
      <c r="R51" s="176"/>
      <c r="S51" s="14" t="s">
        <v>671</v>
      </c>
      <c r="T51" s="14" t="s">
        <v>672</v>
      </c>
      <c r="U51" s="85"/>
      <c r="V51" s="85"/>
      <c r="W51" s="85"/>
      <c r="X51" s="85"/>
      <c r="Y51" s="85"/>
      <c r="Z51" s="85"/>
      <c r="AA51" s="85"/>
      <c r="AB51" s="85"/>
      <c r="AC51" s="85"/>
      <c r="AD51" s="85"/>
      <c r="AE51" s="85"/>
      <c r="AF51" s="85"/>
      <c r="AG51" s="85"/>
      <c r="AH51" s="85"/>
      <c r="AI51" s="85"/>
      <c r="AJ51" s="85"/>
      <c r="AK51" s="85"/>
      <c r="AL51" s="85"/>
      <c r="AM51" s="85"/>
      <c r="AN51" s="85"/>
    </row>
    <row r="52" spans="1:40" ht="14.25" customHeight="1" x14ac:dyDescent="0.2">
      <c r="A52" s="181"/>
      <c r="B52" s="181"/>
      <c r="C52" s="181"/>
      <c r="D52" s="179" t="s">
        <v>433</v>
      </c>
      <c r="E52" s="179" t="s">
        <v>434</v>
      </c>
      <c r="F52" s="179" t="s">
        <v>435</v>
      </c>
      <c r="G52" s="181"/>
      <c r="H52" s="178">
        <v>18.0625</v>
      </c>
      <c r="I52" s="179" t="s">
        <v>166</v>
      </c>
      <c r="J52" s="175">
        <v>2.0833333333333332E-2</v>
      </c>
      <c r="K52" s="193" t="s">
        <v>27</v>
      </c>
      <c r="L52" s="194">
        <v>158</v>
      </c>
      <c r="M52" s="193" t="s">
        <v>1409</v>
      </c>
      <c r="N52" s="180">
        <f>L52*J52*H52*G48*2</f>
        <v>16647.604166666664</v>
      </c>
      <c r="O52" s="181"/>
      <c r="P52" s="181"/>
      <c r="Q52" s="175">
        <f>N52/$O$2</f>
        <v>0.99537244643746869</v>
      </c>
      <c r="R52" s="190">
        <v>2</v>
      </c>
      <c r="S52" s="14" t="s">
        <v>439</v>
      </c>
      <c r="T52" s="14" t="s">
        <v>440</v>
      </c>
      <c r="U52" s="85"/>
      <c r="V52" s="85"/>
      <c r="W52" s="85"/>
      <c r="X52" s="85"/>
      <c r="Y52" s="85"/>
      <c r="Z52" s="85"/>
      <c r="AA52" s="85"/>
      <c r="AB52" s="85"/>
      <c r="AC52" s="85"/>
      <c r="AD52" s="85"/>
      <c r="AE52" s="85"/>
      <c r="AF52" s="85"/>
      <c r="AG52" s="85"/>
      <c r="AH52" s="85"/>
      <c r="AI52" s="85"/>
      <c r="AJ52" s="85"/>
      <c r="AK52" s="85"/>
      <c r="AL52" s="85"/>
      <c r="AM52" s="85"/>
      <c r="AN52" s="85"/>
    </row>
    <row r="53" spans="1:40" ht="14.25" customHeight="1" x14ac:dyDescent="0.2">
      <c r="A53" s="181"/>
      <c r="B53" s="181"/>
      <c r="C53" s="181"/>
      <c r="D53" s="181"/>
      <c r="E53" s="181"/>
      <c r="F53" s="181"/>
      <c r="G53" s="181"/>
      <c r="H53" s="181"/>
      <c r="I53" s="181"/>
      <c r="J53" s="181"/>
      <c r="K53" s="181"/>
      <c r="L53" s="181"/>
      <c r="M53" s="181"/>
      <c r="N53" s="181"/>
      <c r="O53" s="181"/>
      <c r="P53" s="181"/>
      <c r="Q53" s="181"/>
      <c r="R53" s="181"/>
      <c r="S53" s="14" t="s">
        <v>443</v>
      </c>
      <c r="T53" s="14" t="s">
        <v>444</v>
      </c>
      <c r="U53" s="85"/>
      <c r="V53" s="85"/>
      <c r="W53" s="85"/>
      <c r="X53" s="85"/>
      <c r="Y53" s="85"/>
      <c r="Z53" s="85"/>
      <c r="AA53" s="85"/>
      <c r="AB53" s="85"/>
      <c r="AC53" s="85"/>
      <c r="AD53" s="85"/>
      <c r="AE53" s="85"/>
      <c r="AF53" s="85"/>
      <c r="AG53" s="85"/>
      <c r="AH53" s="85"/>
      <c r="AI53" s="85"/>
      <c r="AJ53" s="85"/>
      <c r="AK53" s="85"/>
      <c r="AL53" s="85"/>
      <c r="AM53" s="85"/>
      <c r="AN53" s="85"/>
    </row>
    <row r="54" spans="1:40" ht="14.25" customHeight="1" x14ac:dyDescent="0.2">
      <c r="A54" s="181"/>
      <c r="B54" s="181"/>
      <c r="C54" s="181"/>
      <c r="D54" s="181"/>
      <c r="E54" s="181"/>
      <c r="F54" s="181"/>
      <c r="G54" s="181"/>
      <c r="H54" s="181"/>
      <c r="I54" s="181"/>
      <c r="J54" s="181"/>
      <c r="K54" s="181"/>
      <c r="L54" s="181"/>
      <c r="M54" s="181"/>
      <c r="N54" s="181"/>
      <c r="O54" s="181"/>
      <c r="P54" s="181"/>
      <c r="Q54" s="181"/>
      <c r="R54" s="181"/>
      <c r="S54" s="14" t="s">
        <v>451</v>
      </c>
      <c r="T54" s="14" t="s">
        <v>452</v>
      </c>
      <c r="U54" s="85"/>
      <c r="V54" s="85"/>
      <c r="W54" s="85"/>
      <c r="X54" s="85"/>
      <c r="Y54" s="85"/>
      <c r="Z54" s="85"/>
      <c r="AA54" s="85"/>
      <c r="AB54" s="85"/>
      <c r="AC54" s="85"/>
      <c r="AD54" s="85"/>
      <c r="AE54" s="85"/>
      <c r="AF54" s="85"/>
      <c r="AG54" s="85"/>
      <c r="AH54" s="85"/>
      <c r="AI54" s="85"/>
      <c r="AJ54" s="85"/>
      <c r="AK54" s="85"/>
      <c r="AL54" s="85"/>
      <c r="AM54" s="85"/>
      <c r="AN54" s="85"/>
    </row>
    <row r="55" spans="1:40" ht="14.25" customHeight="1" x14ac:dyDescent="0.2">
      <c r="A55" s="181"/>
      <c r="B55" s="181"/>
      <c r="C55" s="181"/>
      <c r="D55" s="176"/>
      <c r="E55" s="176"/>
      <c r="F55" s="176"/>
      <c r="G55" s="181"/>
      <c r="H55" s="181"/>
      <c r="I55" s="181"/>
      <c r="J55" s="176"/>
      <c r="K55" s="176"/>
      <c r="L55" s="176"/>
      <c r="M55" s="176"/>
      <c r="N55" s="176"/>
      <c r="O55" s="181"/>
      <c r="P55" s="181"/>
      <c r="Q55" s="176"/>
      <c r="R55" s="176"/>
      <c r="S55" s="14"/>
      <c r="T55" s="85" t="s">
        <v>454</v>
      </c>
      <c r="U55" s="85"/>
      <c r="V55" s="85"/>
      <c r="W55" s="85"/>
      <c r="X55" s="85"/>
      <c r="Y55" s="85"/>
      <c r="Z55" s="85"/>
      <c r="AA55" s="85"/>
      <c r="AB55" s="85"/>
      <c r="AC55" s="85"/>
      <c r="AD55" s="85"/>
      <c r="AE55" s="85"/>
      <c r="AF55" s="85"/>
      <c r="AG55" s="85"/>
      <c r="AH55" s="85"/>
      <c r="AI55" s="85"/>
      <c r="AJ55" s="85"/>
      <c r="AK55" s="85"/>
      <c r="AL55" s="85"/>
      <c r="AM55" s="85"/>
      <c r="AN55" s="85"/>
    </row>
    <row r="56" spans="1:40" ht="17.25" customHeight="1" x14ac:dyDescent="0.2">
      <c r="A56" s="181"/>
      <c r="B56" s="181"/>
      <c r="C56" s="181"/>
      <c r="D56" s="179" t="s">
        <v>677</v>
      </c>
      <c r="E56" s="179" t="s">
        <v>287</v>
      </c>
      <c r="F56" s="179" t="s">
        <v>19</v>
      </c>
      <c r="G56" s="181"/>
      <c r="H56" s="181"/>
      <c r="I56" s="181"/>
      <c r="J56" s="175">
        <v>2.5000000000000001E-3</v>
      </c>
      <c r="K56" s="179" t="s">
        <v>27</v>
      </c>
      <c r="L56" s="178">
        <v>0.17</v>
      </c>
      <c r="M56" s="179" t="s">
        <v>1414</v>
      </c>
      <c r="N56" s="195">
        <f>L56*H52*G48*2</f>
        <v>859.77500000000009</v>
      </c>
      <c r="O56" s="181"/>
      <c r="P56" s="181"/>
      <c r="Q56" s="175">
        <f>N56/$O$2</f>
        <v>5.1406576980568018E-2</v>
      </c>
      <c r="R56" s="190">
        <v>2</v>
      </c>
      <c r="S56" s="40" t="s">
        <v>460</v>
      </c>
      <c r="T56" s="14" t="s">
        <v>461</v>
      </c>
      <c r="U56" s="85"/>
      <c r="V56" s="85"/>
      <c r="W56" s="85"/>
      <c r="X56" s="85"/>
      <c r="Y56" s="85"/>
      <c r="Z56" s="85"/>
      <c r="AA56" s="85"/>
      <c r="AB56" s="85"/>
      <c r="AC56" s="85"/>
      <c r="AD56" s="85"/>
      <c r="AE56" s="85"/>
      <c r="AF56" s="85"/>
      <c r="AG56" s="85"/>
      <c r="AH56" s="85"/>
      <c r="AI56" s="85"/>
      <c r="AJ56" s="85"/>
      <c r="AK56" s="85"/>
      <c r="AL56" s="85"/>
      <c r="AM56" s="85"/>
      <c r="AN56" s="85"/>
    </row>
    <row r="57" spans="1:40" ht="14.25" customHeight="1" x14ac:dyDescent="0.2">
      <c r="A57" s="181"/>
      <c r="B57" s="176"/>
      <c r="C57" s="176"/>
      <c r="D57" s="176"/>
      <c r="E57" s="176"/>
      <c r="F57" s="176"/>
      <c r="G57" s="176"/>
      <c r="H57" s="176"/>
      <c r="I57" s="176"/>
      <c r="J57" s="176"/>
      <c r="K57" s="176"/>
      <c r="L57" s="176"/>
      <c r="M57" s="176"/>
      <c r="N57" s="176"/>
      <c r="O57" s="181"/>
      <c r="P57" s="181"/>
      <c r="Q57" s="176"/>
      <c r="R57" s="176"/>
      <c r="S57" s="40" t="s">
        <v>447</v>
      </c>
      <c r="T57" s="14" t="s">
        <v>449</v>
      </c>
      <c r="U57" s="85"/>
      <c r="V57" s="85"/>
      <c r="W57" s="85"/>
      <c r="X57" s="85"/>
      <c r="Y57" s="85"/>
      <c r="Z57" s="85"/>
      <c r="AA57" s="85"/>
      <c r="AB57" s="85"/>
      <c r="AC57" s="85"/>
      <c r="AD57" s="85"/>
      <c r="AE57" s="85"/>
      <c r="AF57" s="85"/>
      <c r="AG57" s="85"/>
      <c r="AH57" s="85"/>
      <c r="AI57" s="85"/>
      <c r="AJ57" s="85"/>
      <c r="AK57" s="85"/>
      <c r="AL57" s="85"/>
      <c r="AM57" s="85"/>
      <c r="AN57" s="85"/>
    </row>
    <row r="58" spans="1:40" ht="14.25" customHeight="1" x14ac:dyDescent="0.2">
      <c r="A58" s="181"/>
      <c r="B58" s="183" t="s">
        <v>959</v>
      </c>
      <c r="C58" s="183" t="s">
        <v>961</v>
      </c>
      <c r="D58" s="179" t="s">
        <v>962</v>
      </c>
      <c r="E58" s="179" t="s">
        <v>434</v>
      </c>
      <c r="F58" s="179" t="s">
        <v>18</v>
      </c>
      <c r="G58" s="178">
        <v>2</v>
      </c>
      <c r="H58" s="182">
        <v>52</v>
      </c>
      <c r="I58" s="183" t="s">
        <v>166</v>
      </c>
      <c r="J58" s="175">
        <v>2.0833333333333332E-2</v>
      </c>
      <c r="K58" s="179" t="s">
        <v>27</v>
      </c>
      <c r="L58" s="178">
        <v>158</v>
      </c>
      <c r="M58" s="179" t="s">
        <v>956</v>
      </c>
      <c r="N58" s="180">
        <f>L58*J58*H58*G58</f>
        <v>342.33333333333331</v>
      </c>
      <c r="O58" s="181"/>
      <c r="P58" s="181"/>
      <c r="Q58" s="175">
        <f>N58/$O$2</f>
        <v>2.0468360737419034E-2</v>
      </c>
      <c r="R58" s="190">
        <v>5</v>
      </c>
      <c r="S58" s="14" t="s">
        <v>970</v>
      </c>
      <c r="T58" s="132" t="s">
        <v>971</v>
      </c>
      <c r="U58" s="85"/>
      <c r="V58" s="85"/>
      <c r="W58" s="85"/>
      <c r="X58" s="85"/>
      <c r="Y58" s="85"/>
      <c r="Z58" s="85"/>
      <c r="AA58" s="85"/>
      <c r="AB58" s="85"/>
      <c r="AC58" s="85"/>
      <c r="AD58" s="85"/>
      <c r="AE58" s="85"/>
      <c r="AF58" s="85"/>
      <c r="AG58" s="85"/>
      <c r="AH58" s="85"/>
      <c r="AI58" s="85"/>
      <c r="AJ58" s="85"/>
      <c r="AK58" s="85"/>
      <c r="AL58" s="85"/>
      <c r="AM58" s="85"/>
      <c r="AN58" s="85"/>
    </row>
    <row r="59" spans="1:40" ht="14.25" customHeight="1" x14ac:dyDescent="0.2">
      <c r="A59" s="181"/>
      <c r="B59" s="181"/>
      <c r="C59" s="181"/>
      <c r="D59" s="181"/>
      <c r="E59" s="181"/>
      <c r="F59" s="181"/>
      <c r="G59" s="181"/>
      <c r="H59" s="181"/>
      <c r="I59" s="181"/>
      <c r="J59" s="181"/>
      <c r="K59" s="181"/>
      <c r="L59" s="181"/>
      <c r="M59" s="181"/>
      <c r="N59" s="181"/>
      <c r="O59" s="181"/>
      <c r="P59" s="181"/>
      <c r="Q59" s="181"/>
      <c r="R59" s="181"/>
      <c r="S59" s="14" t="s">
        <v>451</v>
      </c>
      <c r="T59" s="210" t="s">
        <v>452</v>
      </c>
      <c r="U59" s="173"/>
      <c r="V59" s="85"/>
      <c r="W59" s="85"/>
      <c r="X59" s="85"/>
      <c r="Y59" s="85"/>
      <c r="Z59" s="85"/>
      <c r="AA59" s="85"/>
      <c r="AB59" s="85"/>
      <c r="AC59" s="85"/>
      <c r="AD59" s="85"/>
      <c r="AE59" s="85"/>
      <c r="AF59" s="85"/>
      <c r="AG59" s="85"/>
      <c r="AH59" s="85"/>
      <c r="AI59" s="85"/>
      <c r="AJ59" s="85"/>
      <c r="AK59" s="85"/>
      <c r="AL59" s="85"/>
      <c r="AM59" s="85"/>
      <c r="AN59" s="85"/>
    </row>
    <row r="60" spans="1:40" ht="14.25" customHeight="1" x14ac:dyDescent="0.2">
      <c r="A60" s="181"/>
      <c r="B60" s="181"/>
      <c r="C60" s="181"/>
      <c r="D60" s="181"/>
      <c r="E60" s="176"/>
      <c r="F60" s="176"/>
      <c r="G60" s="181"/>
      <c r="H60" s="181"/>
      <c r="I60" s="181"/>
      <c r="J60" s="176"/>
      <c r="K60" s="176"/>
      <c r="L60" s="176"/>
      <c r="M60" s="176"/>
      <c r="N60" s="176"/>
      <c r="O60" s="181"/>
      <c r="P60" s="181"/>
      <c r="Q60" s="176"/>
      <c r="R60" s="176"/>
      <c r="S60" s="14" t="s">
        <v>443</v>
      </c>
      <c r="T60" s="85" t="s">
        <v>444</v>
      </c>
      <c r="U60" s="85"/>
      <c r="V60" s="85"/>
      <c r="W60" s="85"/>
      <c r="X60" s="85"/>
      <c r="Y60" s="85"/>
      <c r="Z60" s="85"/>
      <c r="AA60" s="85"/>
      <c r="AB60" s="85"/>
      <c r="AC60" s="85"/>
      <c r="AD60" s="85"/>
      <c r="AE60" s="85"/>
      <c r="AF60" s="85"/>
      <c r="AG60" s="85"/>
      <c r="AH60" s="85"/>
      <c r="AI60" s="85"/>
      <c r="AJ60" s="85"/>
      <c r="AK60" s="85"/>
      <c r="AL60" s="85"/>
      <c r="AM60" s="85"/>
      <c r="AN60" s="85"/>
    </row>
    <row r="61" spans="1:40" ht="14.25" customHeight="1" x14ac:dyDescent="0.2">
      <c r="A61" s="181"/>
      <c r="B61" s="181"/>
      <c r="C61" s="181"/>
      <c r="D61" s="176"/>
      <c r="E61" s="50" t="s">
        <v>287</v>
      </c>
      <c r="F61" s="50" t="s">
        <v>19</v>
      </c>
      <c r="G61" s="176"/>
      <c r="H61" s="181"/>
      <c r="I61" s="181"/>
      <c r="J61" s="51">
        <v>2.5000000000000001E-3</v>
      </c>
      <c r="K61" s="50" t="s">
        <v>27</v>
      </c>
      <c r="L61" s="53">
        <v>0.17</v>
      </c>
      <c r="M61" s="14" t="s">
        <v>1430</v>
      </c>
      <c r="N61" s="54">
        <f>L61*H58*G58</f>
        <v>17.68</v>
      </c>
      <c r="O61" s="181"/>
      <c r="P61" s="181"/>
      <c r="Q61" s="51">
        <f t="shared" ref="Q61:Q62" si="3">N61/$O$2</f>
        <v>1.0571001494768311E-3</v>
      </c>
      <c r="R61" s="62">
        <v>5</v>
      </c>
      <c r="S61" s="40" t="s">
        <v>460</v>
      </c>
      <c r="T61" s="85" t="s">
        <v>461</v>
      </c>
      <c r="U61" s="85"/>
      <c r="V61" s="85"/>
      <c r="W61" s="85"/>
      <c r="X61" s="85"/>
      <c r="Y61" s="85"/>
      <c r="Z61" s="85"/>
      <c r="AA61" s="85"/>
      <c r="AB61" s="85"/>
      <c r="AC61" s="85"/>
      <c r="AD61" s="85"/>
      <c r="AE61" s="85"/>
      <c r="AF61" s="85"/>
      <c r="AG61" s="85"/>
      <c r="AH61" s="85"/>
      <c r="AI61" s="85"/>
      <c r="AJ61" s="85"/>
      <c r="AK61" s="85"/>
      <c r="AL61" s="85"/>
      <c r="AM61" s="85"/>
      <c r="AN61" s="85"/>
    </row>
    <row r="62" spans="1:40" ht="14.25" customHeight="1" x14ac:dyDescent="0.2">
      <c r="A62" s="181"/>
      <c r="B62" s="181"/>
      <c r="C62" s="181"/>
      <c r="D62" s="179" t="s">
        <v>1224</v>
      </c>
      <c r="E62" s="179" t="s">
        <v>13</v>
      </c>
      <c r="F62" s="179" t="s">
        <v>13</v>
      </c>
      <c r="G62" s="178">
        <v>2</v>
      </c>
      <c r="H62" s="181"/>
      <c r="I62" s="181"/>
      <c r="J62" s="175">
        <v>0.33333333333333331</v>
      </c>
      <c r="K62" s="179">
        <v>0.14583333333333334</v>
      </c>
      <c r="L62" s="178">
        <v>169</v>
      </c>
      <c r="M62" s="179" t="s">
        <v>1435</v>
      </c>
      <c r="N62" s="180">
        <v>197.16666666666663</v>
      </c>
      <c r="O62" s="181"/>
      <c r="P62" s="181"/>
      <c r="Q62" s="175">
        <f t="shared" si="3"/>
        <v>1.1788739412057795E-2</v>
      </c>
      <c r="R62" s="190">
        <v>2</v>
      </c>
      <c r="S62" s="14" t="s">
        <v>181</v>
      </c>
      <c r="T62" s="61" t="s">
        <v>1280</v>
      </c>
      <c r="U62" s="85"/>
      <c r="V62" s="85"/>
      <c r="W62" s="85"/>
      <c r="X62" s="85"/>
      <c r="Y62" s="85"/>
      <c r="Z62" s="85"/>
      <c r="AA62" s="85"/>
      <c r="AB62" s="85"/>
      <c r="AC62" s="85"/>
      <c r="AD62" s="85"/>
      <c r="AE62" s="85"/>
      <c r="AF62" s="85"/>
      <c r="AG62" s="85"/>
      <c r="AH62" s="85"/>
      <c r="AI62" s="85"/>
      <c r="AJ62" s="85"/>
      <c r="AK62" s="85"/>
      <c r="AL62" s="85"/>
      <c r="AM62" s="85"/>
      <c r="AN62" s="85"/>
    </row>
    <row r="63" spans="1:40" ht="14.25" customHeight="1" x14ac:dyDescent="0.2">
      <c r="A63" s="181"/>
      <c r="B63" s="176"/>
      <c r="C63" s="176"/>
      <c r="D63" s="176"/>
      <c r="E63" s="176"/>
      <c r="F63" s="176"/>
      <c r="G63" s="176"/>
      <c r="H63" s="176"/>
      <c r="I63" s="176"/>
      <c r="J63" s="176"/>
      <c r="K63" s="176"/>
      <c r="L63" s="176"/>
      <c r="M63" s="176"/>
      <c r="N63" s="176"/>
      <c r="O63" s="181"/>
      <c r="P63" s="181"/>
      <c r="Q63" s="176"/>
      <c r="R63" s="176"/>
      <c r="S63" s="40" t="s">
        <v>992</v>
      </c>
      <c r="T63" s="85" t="s">
        <v>993</v>
      </c>
      <c r="U63" s="85"/>
      <c r="V63" s="85"/>
      <c r="W63" s="85"/>
      <c r="X63" s="85"/>
      <c r="Y63" s="85"/>
      <c r="Z63" s="85"/>
      <c r="AA63" s="85"/>
      <c r="AB63" s="85"/>
      <c r="AC63" s="85"/>
      <c r="AD63" s="85"/>
      <c r="AE63" s="85"/>
      <c r="AF63" s="85"/>
      <c r="AG63" s="85"/>
      <c r="AH63" s="85"/>
      <c r="AI63" s="85"/>
      <c r="AJ63" s="85"/>
      <c r="AK63" s="85"/>
      <c r="AL63" s="85"/>
      <c r="AM63" s="85"/>
      <c r="AN63" s="85"/>
    </row>
    <row r="64" spans="1:40" ht="14.25" customHeight="1" x14ac:dyDescent="0.2">
      <c r="A64" s="181"/>
      <c r="B64" s="183" t="s">
        <v>321</v>
      </c>
      <c r="C64" s="184" t="s">
        <v>484</v>
      </c>
      <c r="D64" s="179" t="s">
        <v>286</v>
      </c>
      <c r="E64" s="179" t="s">
        <v>287</v>
      </c>
      <c r="F64" s="179" t="s">
        <v>10</v>
      </c>
      <c r="G64" s="178">
        <v>2</v>
      </c>
      <c r="H64" s="182">
        <v>9200</v>
      </c>
      <c r="I64" s="183" t="s">
        <v>166</v>
      </c>
      <c r="J64" s="175">
        <v>0.125</v>
      </c>
      <c r="K64" s="179" t="s">
        <v>27</v>
      </c>
      <c r="L64" s="178">
        <v>2.5</v>
      </c>
      <c r="M64" s="179" t="s">
        <v>1443</v>
      </c>
      <c r="N64" s="180">
        <f>H64*L64*(J64)*G64</f>
        <v>5750</v>
      </c>
      <c r="O64" s="181"/>
      <c r="P64" s="181"/>
      <c r="Q64" s="175">
        <f>N64/$O$2</f>
        <v>0.34379671150971597</v>
      </c>
      <c r="R64" s="192">
        <v>3</v>
      </c>
      <c r="S64" s="14" t="s">
        <v>347</v>
      </c>
      <c r="T64" s="85" t="s">
        <v>348</v>
      </c>
      <c r="U64" s="85"/>
      <c r="V64" s="85"/>
      <c r="W64" s="85"/>
      <c r="X64" s="85"/>
      <c r="Y64" s="85"/>
      <c r="Z64" s="85"/>
      <c r="AA64" s="85"/>
      <c r="AB64" s="85"/>
      <c r="AC64" s="85"/>
      <c r="AD64" s="85"/>
      <c r="AE64" s="85"/>
      <c r="AF64" s="85"/>
      <c r="AG64" s="85"/>
      <c r="AH64" s="85"/>
      <c r="AI64" s="85"/>
      <c r="AJ64" s="85"/>
      <c r="AK64" s="85"/>
      <c r="AL64" s="85"/>
      <c r="AM64" s="85"/>
      <c r="AN64" s="85"/>
    </row>
    <row r="65" spans="1:40" ht="14.25" customHeight="1" x14ac:dyDescent="0.2">
      <c r="A65" s="181"/>
      <c r="B65" s="181"/>
      <c r="C65" s="181"/>
      <c r="D65" s="181"/>
      <c r="E65" s="181"/>
      <c r="F65" s="181"/>
      <c r="G65" s="181"/>
      <c r="H65" s="181"/>
      <c r="I65" s="181"/>
      <c r="J65" s="181"/>
      <c r="K65" s="181"/>
      <c r="L65" s="181"/>
      <c r="M65" s="181"/>
      <c r="N65" s="181"/>
      <c r="O65" s="181"/>
      <c r="P65" s="181"/>
      <c r="Q65" s="181"/>
      <c r="R65" s="181"/>
      <c r="S65" s="14" t="s">
        <v>349</v>
      </c>
      <c r="T65" s="85" t="s">
        <v>350</v>
      </c>
      <c r="U65" s="85"/>
      <c r="V65" s="85"/>
      <c r="W65" s="85"/>
      <c r="X65" s="85"/>
      <c r="Y65" s="85"/>
      <c r="Z65" s="85"/>
      <c r="AA65" s="85"/>
      <c r="AB65" s="85"/>
      <c r="AC65" s="85"/>
      <c r="AD65" s="85"/>
      <c r="AE65" s="85"/>
      <c r="AF65" s="85"/>
      <c r="AG65" s="85"/>
      <c r="AH65" s="85"/>
      <c r="AI65" s="85"/>
      <c r="AJ65" s="85"/>
      <c r="AK65" s="85"/>
      <c r="AL65" s="85"/>
      <c r="AM65" s="85"/>
      <c r="AN65" s="85"/>
    </row>
    <row r="66" spans="1:40" ht="14.25" customHeight="1" x14ac:dyDescent="0.2">
      <c r="A66" s="181"/>
      <c r="B66" s="181"/>
      <c r="C66" s="181"/>
      <c r="D66" s="176"/>
      <c r="E66" s="176"/>
      <c r="F66" s="176"/>
      <c r="G66" s="176"/>
      <c r="H66" s="181"/>
      <c r="I66" s="181"/>
      <c r="J66" s="176"/>
      <c r="K66" s="176"/>
      <c r="L66" s="176"/>
      <c r="M66" s="176"/>
      <c r="N66" s="176"/>
      <c r="O66" s="181"/>
      <c r="P66" s="181"/>
      <c r="Q66" s="176"/>
      <c r="R66" s="176"/>
      <c r="S66" s="14" t="s">
        <v>494</v>
      </c>
      <c r="T66" s="85" t="s">
        <v>495</v>
      </c>
      <c r="U66" s="85"/>
      <c r="V66" s="85"/>
      <c r="W66" s="85"/>
      <c r="X66" s="85"/>
      <c r="Y66" s="85"/>
      <c r="Z66" s="85"/>
      <c r="AA66" s="85"/>
      <c r="AB66" s="85"/>
      <c r="AC66" s="85"/>
      <c r="AD66" s="85"/>
      <c r="AE66" s="85"/>
      <c r="AF66" s="85"/>
      <c r="AG66" s="85"/>
      <c r="AH66" s="85"/>
      <c r="AI66" s="85"/>
      <c r="AJ66" s="85"/>
      <c r="AK66" s="85"/>
      <c r="AL66" s="85"/>
      <c r="AM66" s="85"/>
      <c r="AN66" s="85"/>
    </row>
    <row r="67" spans="1:40" ht="14.25" customHeight="1" x14ac:dyDescent="0.2">
      <c r="A67" s="181"/>
      <c r="B67" s="181"/>
      <c r="C67" s="181"/>
      <c r="D67" s="179" t="s">
        <v>498</v>
      </c>
      <c r="E67" s="179" t="s">
        <v>294</v>
      </c>
      <c r="F67" s="196" t="s">
        <v>12</v>
      </c>
      <c r="G67" s="178">
        <v>1</v>
      </c>
      <c r="H67" s="181"/>
      <c r="I67" s="181"/>
      <c r="J67" s="193">
        <v>4.1666666666666664E-2</v>
      </c>
      <c r="K67" s="179" t="s">
        <v>27</v>
      </c>
      <c r="L67" s="178">
        <v>2</v>
      </c>
      <c r="M67" s="179" t="s">
        <v>1450</v>
      </c>
      <c r="N67" s="201">
        <f>H64*L67</f>
        <v>18400</v>
      </c>
      <c r="O67" s="181"/>
      <c r="P67" s="181"/>
      <c r="Q67" s="175">
        <f>N67/$O$2</f>
        <v>1.1001494768310911</v>
      </c>
      <c r="R67" s="191">
        <v>1</v>
      </c>
      <c r="S67" s="14" t="s">
        <v>503</v>
      </c>
      <c r="T67" s="85" t="s">
        <v>504</v>
      </c>
      <c r="U67" s="85"/>
      <c r="V67" s="85"/>
      <c r="W67" s="85"/>
      <c r="X67" s="85"/>
      <c r="Y67" s="85"/>
      <c r="Z67" s="85"/>
      <c r="AA67" s="85"/>
      <c r="AB67" s="85"/>
      <c r="AC67" s="85"/>
      <c r="AD67" s="85"/>
      <c r="AE67" s="85"/>
      <c r="AF67" s="85"/>
      <c r="AG67" s="85"/>
      <c r="AH67" s="85"/>
      <c r="AI67" s="85"/>
      <c r="AJ67" s="85"/>
      <c r="AK67" s="85"/>
      <c r="AL67" s="85"/>
      <c r="AM67" s="85"/>
      <c r="AN67" s="85"/>
    </row>
    <row r="68" spans="1:40" ht="14.25" customHeight="1" x14ac:dyDescent="0.2">
      <c r="A68" s="181"/>
      <c r="B68" s="181"/>
      <c r="C68" s="181"/>
      <c r="D68" s="181"/>
      <c r="E68" s="181"/>
      <c r="F68" s="181"/>
      <c r="G68" s="181"/>
      <c r="H68" s="181"/>
      <c r="I68" s="181"/>
      <c r="J68" s="181"/>
      <c r="K68" s="181"/>
      <c r="L68" s="181"/>
      <c r="M68" s="181"/>
      <c r="N68" s="181"/>
      <c r="O68" s="181"/>
      <c r="P68" s="181"/>
      <c r="Q68" s="181"/>
      <c r="R68" s="181"/>
      <c r="S68" s="14" t="s">
        <v>508</v>
      </c>
      <c r="T68" s="85" t="s">
        <v>509</v>
      </c>
      <c r="U68" s="85"/>
      <c r="V68" s="85"/>
      <c r="W68" s="85"/>
      <c r="X68" s="85"/>
      <c r="Y68" s="85"/>
      <c r="Z68" s="85"/>
      <c r="AA68" s="85"/>
      <c r="AB68" s="85"/>
      <c r="AC68" s="85"/>
      <c r="AD68" s="85"/>
      <c r="AE68" s="85"/>
      <c r="AF68" s="85"/>
      <c r="AG68" s="85"/>
      <c r="AH68" s="85"/>
      <c r="AI68" s="85"/>
      <c r="AJ68" s="85"/>
      <c r="AK68" s="85"/>
      <c r="AL68" s="85"/>
      <c r="AM68" s="85"/>
      <c r="AN68" s="85"/>
    </row>
    <row r="69" spans="1:40" ht="14.25" customHeight="1" x14ac:dyDescent="0.2">
      <c r="A69" s="181"/>
      <c r="B69" s="181"/>
      <c r="C69" s="181"/>
      <c r="D69" s="176"/>
      <c r="E69" s="176"/>
      <c r="F69" s="176"/>
      <c r="G69" s="176"/>
      <c r="H69" s="181"/>
      <c r="I69" s="181"/>
      <c r="J69" s="176"/>
      <c r="K69" s="176"/>
      <c r="L69" s="176"/>
      <c r="M69" s="176"/>
      <c r="N69" s="176"/>
      <c r="O69" s="181"/>
      <c r="P69" s="181"/>
      <c r="Q69" s="176"/>
      <c r="R69" s="176"/>
      <c r="S69" s="40" t="s">
        <v>510</v>
      </c>
      <c r="T69" s="85" t="s">
        <v>512</v>
      </c>
      <c r="U69" s="85"/>
      <c r="V69" s="85"/>
      <c r="W69" s="85"/>
      <c r="X69" s="85"/>
      <c r="Y69" s="85"/>
      <c r="Z69" s="85"/>
      <c r="AA69" s="85"/>
      <c r="AB69" s="85"/>
      <c r="AC69" s="85"/>
      <c r="AD69" s="85"/>
      <c r="AE69" s="85"/>
      <c r="AF69" s="85"/>
      <c r="AG69" s="85"/>
      <c r="AH69" s="85"/>
      <c r="AI69" s="85"/>
      <c r="AJ69" s="85"/>
      <c r="AK69" s="85"/>
      <c r="AL69" s="85"/>
      <c r="AM69" s="85"/>
      <c r="AN69" s="85"/>
    </row>
    <row r="70" spans="1:40" ht="15" customHeight="1" x14ac:dyDescent="0.2">
      <c r="A70" s="181"/>
      <c r="B70" s="181"/>
      <c r="C70" s="181"/>
      <c r="D70" s="179" t="s">
        <v>515</v>
      </c>
      <c r="E70" s="179" t="s">
        <v>516</v>
      </c>
      <c r="F70" s="179" t="s">
        <v>517</v>
      </c>
      <c r="G70" s="178">
        <v>1</v>
      </c>
      <c r="H70" s="181"/>
      <c r="I70" s="181"/>
      <c r="J70" s="175" t="s">
        <v>27</v>
      </c>
      <c r="K70" s="179" t="s">
        <v>27</v>
      </c>
      <c r="L70" s="178">
        <v>6.3</v>
      </c>
      <c r="M70" s="179" t="s">
        <v>1461</v>
      </c>
      <c r="N70" s="180">
        <f>L70*H64</f>
        <v>57960</v>
      </c>
      <c r="O70" s="181"/>
      <c r="P70" s="181"/>
      <c r="Q70" s="175">
        <f>N70/$O$2</f>
        <v>3.4654708520179374</v>
      </c>
      <c r="R70" s="191">
        <v>1</v>
      </c>
      <c r="S70" s="14" t="s">
        <v>521</v>
      </c>
      <c r="T70" s="85" t="s">
        <v>522</v>
      </c>
      <c r="U70" s="85"/>
      <c r="V70" s="85"/>
      <c r="W70" s="85"/>
      <c r="X70" s="85"/>
      <c r="Y70" s="85"/>
      <c r="Z70" s="85"/>
      <c r="AA70" s="85"/>
      <c r="AB70" s="85"/>
      <c r="AC70" s="85"/>
      <c r="AD70" s="85"/>
      <c r="AE70" s="85"/>
      <c r="AF70" s="85"/>
      <c r="AG70" s="85"/>
      <c r="AH70" s="85"/>
      <c r="AI70" s="85"/>
      <c r="AJ70" s="85"/>
      <c r="AK70" s="85"/>
      <c r="AL70" s="85"/>
      <c r="AM70" s="85"/>
      <c r="AN70" s="85"/>
    </row>
    <row r="71" spans="1:40" ht="14.25" customHeight="1" x14ac:dyDescent="0.2">
      <c r="A71" s="181"/>
      <c r="B71" s="181"/>
      <c r="C71" s="181"/>
      <c r="D71" s="176"/>
      <c r="E71" s="176"/>
      <c r="F71" s="176"/>
      <c r="G71" s="176"/>
      <c r="H71" s="181"/>
      <c r="I71" s="176"/>
      <c r="J71" s="176"/>
      <c r="K71" s="176"/>
      <c r="L71" s="176"/>
      <c r="M71" s="176"/>
      <c r="N71" s="176"/>
      <c r="O71" s="181"/>
      <c r="P71" s="181"/>
      <c r="Q71" s="176"/>
      <c r="R71" s="176"/>
      <c r="S71" s="14" t="s">
        <v>524</v>
      </c>
      <c r="T71" s="85" t="s">
        <v>525</v>
      </c>
      <c r="U71" s="85"/>
      <c r="V71" s="85"/>
      <c r="W71" s="85"/>
      <c r="X71" s="85"/>
      <c r="Y71" s="85"/>
      <c r="Z71" s="85"/>
      <c r="AA71" s="85"/>
      <c r="AB71" s="85"/>
      <c r="AC71" s="85"/>
      <c r="AD71" s="85"/>
      <c r="AE71" s="85"/>
      <c r="AF71" s="85"/>
      <c r="AG71" s="85"/>
      <c r="AH71" s="85"/>
      <c r="AI71" s="85"/>
      <c r="AJ71" s="85"/>
      <c r="AK71" s="85"/>
      <c r="AL71" s="85"/>
      <c r="AM71" s="85"/>
      <c r="AN71" s="85"/>
    </row>
    <row r="72" spans="1:40" ht="17.25" customHeight="1" x14ac:dyDescent="0.2">
      <c r="A72" s="181"/>
      <c r="B72" s="181"/>
      <c r="C72" s="181"/>
      <c r="D72" s="179" t="s">
        <v>526</v>
      </c>
      <c r="E72" s="179" t="s">
        <v>527</v>
      </c>
      <c r="F72" s="179" t="s">
        <v>23</v>
      </c>
      <c r="G72" s="182">
        <v>1</v>
      </c>
      <c r="H72" s="181"/>
      <c r="I72" s="183" t="s">
        <v>166</v>
      </c>
      <c r="J72" s="175" t="s">
        <v>27</v>
      </c>
      <c r="K72" s="179" t="s">
        <v>27</v>
      </c>
      <c r="L72" s="178">
        <v>1</v>
      </c>
      <c r="M72" s="179" t="s">
        <v>1466</v>
      </c>
      <c r="N72" s="180">
        <f>L72*H64</f>
        <v>9200</v>
      </c>
      <c r="O72" s="181"/>
      <c r="P72" s="181"/>
      <c r="Q72" s="175">
        <f>N72/$O$2</f>
        <v>0.55007473841554555</v>
      </c>
      <c r="R72" s="191">
        <v>1</v>
      </c>
      <c r="S72" s="40" t="s">
        <v>530</v>
      </c>
      <c r="T72" s="85" t="s">
        <v>531</v>
      </c>
      <c r="U72" s="85"/>
      <c r="V72" s="85"/>
      <c r="W72" s="85"/>
      <c r="X72" s="85"/>
      <c r="Y72" s="85"/>
      <c r="Z72" s="85"/>
      <c r="AA72" s="85"/>
      <c r="AB72" s="85"/>
      <c r="AC72" s="85"/>
      <c r="AD72" s="85"/>
      <c r="AE72" s="85"/>
      <c r="AF72" s="85"/>
      <c r="AG72" s="85"/>
      <c r="AH72" s="85"/>
      <c r="AI72" s="85"/>
      <c r="AJ72" s="85"/>
      <c r="AK72" s="85"/>
      <c r="AL72" s="85"/>
      <c r="AM72" s="85"/>
      <c r="AN72" s="85"/>
    </row>
    <row r="73" spans="1:40" ht="14.25" customHeight="1" x14ac:dyDescent="0.2">
      <c r="A73" s="181"/>
      <c r="B73" s="181"/>
      <c r="C73" s="181"/>
      <c r="D73" s="181"/>
      <c r="E73" s="181"/>
      <c r="F73" s="181"/>
      <c r="G73" s="181"/>
      <c r="H73" s="181"/>
      <c r="I73" s="181"/>
      <c r="J73" s="181"/>
      <c r="K73" s="181"/>
      <c r="L73" s="181"/>
      <c r="M73" s="181"/>
      <c r="N73" s="181"/>
      <c r="O73" s="181"/>
      <c r="P73" s="181"/>
      <c r="Q73" s="181"/>
      <c r="R73" s="181"/>
      <c r="S73" s="14" t="s">
        <v>947</v>
      </c>
      <c r="T73" s="85" t="s">
        <v>948</v>
      </c>
      <c r="U73" s="85"/>
      <c r="V73" s="85"/>
      <c r="W73" s="85"/>
      <c r="X73" s="85"/>
      <c r="Y73" s="85"/>
      <c r="Z73" s="85"/>
      <c r="AA73" s="85"/>
      <c r="AB73" s="85"/>
      <c r="AC73" s="85"/>
      <c r="AD73" s="85"/>
      <c r="AE73" s="85"/>
      <c r="AF73" s="85"/>
      <c r="AG73" s="85"/>
      <c r="AH73" s="85"/>
      <c r="AI73" s="85"/>
      <c r="AJ73" s="85"/>
      <c r="AK73" s="85"/>
      <c r="AL73" s="85"/>
      <c r="AM73" s="85"/>
      <c r="AN73" s="85"/>
    </row>
    <row r="74" spans="1:40" ht="14.25" customHeight="1" x14ac:dyDescent="0.2">
      <c r="A74" s="181"/>
      <c r="B74" s="176"/>
      <c r="C74" s="176"/>
      <c r="D74" s="176"/>
      <c r="E74" s="176"/>
      <c r="F74" s="176"/>
      <c r="G74" s="176"/>
      <c r="H74" s="176"/>
      <c r="I74" s="176"/>
      <c r="J74" s="176"/>
      <c r="K74" s="176"/>
      <c r="L74" s="176"/>
      <c r="M74" s="176"/>
      <c r="N74" s="176"/>
      <c r="O74" s="181"/>
      <c r="P74" s="181"/>
      <c r="Q74" s="176"/>
      <c r="R74" s="176"/>
      <c r="S74" s="14" t="s">
        <v>536</v>
      </c>
      <c r="T74" s="85" t="s">
        <v>537</v>
      </c>
      <c r="U74" s="85"/>
      <c r="V74" s="85"/>
      <c r="W74" s="85"/>
      <c r="X74" s="85"/>
      <c r="Y74" s="85"/>
      <c r="Z74" s="85"/>
      <c r="AA74" s="85"/>
      <c r="AB74" s="85"/>
      <c r="AC74" s="85"/>
      <c r="AD74" s="85"/>
      <c r="AE74" s="85"/>
      <c r="AF74" s="85"/>
      <c r="AG74" s="85"/>
      <c r="AH74" s="85"/>
      <c r="AI74" s="85"/>
      <c r="AJ74" s="85"/>
      <c r="AK74" s="85"/>
      <c r="AL74" s="85"/>
      <c r="AM74" s="85"/>
      <c r="AN74" s="85"/>
    </row>
    <row r="75" spans="1:40" ht="14.25" customHeight="1" x14ac:dyDescent="0.2">
      <c r="A75" s="181"/>
      <c r="B75" s="183" t="s">
        <v>321</v>
      </c>
      <c r="C75" s="183" t="s">
        <v>972</v>
      </c>
      <c r="D75" s="41" t="s">
        <v>24</v>
      </c>
      <c r="E75" s="135" t="s">
        <v>973</v>
      </c>
      <c r="F75" s="41" t="s">
        <v>24</v>
      </c>
      <c r="G75" s="15">
        <v>1</v>
      </c>
      <c r="H75" s="182">
        <v>10000</v>
      </c>
      <c r="I75" s="183" t="s">
        <v>166</v>
      </c>
      <c r="J75" s="41" t="s">
        <v>27</v>
      </c>
      <c r="K75" s="41" t="s">
        <v>27</v>
      </c>
      <c r="L75" s="41">
        <v>10.5</v>
      </c>
      <c r="M75" s="41" t="s">
        <v>1477</v>
      </c>
      <c r="N75" s="96">
        <f>H75*L75</f>
        <v>105000</v>
      </c>
      <c r="O75" s="181"/>
      <c r="P75" s="181"/>
      <c r="Q75" s="91">
        <f t="shared" ref="Q75:Q76" si="4">N75/$O$2</f>
        <v>6.2780269058295968</v>
      </c>
      <c r="R75" s="58">
        <v>5</v>
      </c>
      <c r="S75" s="40" t="s">
        <v>530</v>
      </c>
      <c r="T75" s="14" t="s">
        <v>603</v>
      </c>
    </row>
    <row r="76" spans="1:40" ht="14.25" customHeight="1" x14ac:dyDescent="0.2">
      <c r="A76" s="181"/>
      <c r="B76" s="181"/>
      <c r="C76" s="181"/>
      <c r="D76" s="179" t="s">
        <v>978</v>
      </c>
      <c r="E76" s="179" t="s">
        <v>92</v>
      </c>
      <c r="F76" s="179" t="s">
        <v>4</v>
      </c>
      <c r="G76" s="182">
        <v>135</v>
      </c>
      <c r="H76" s="181"/>
      <c r="I76" s="181"/>
      <c r="J76" s="178" t="s">
        <v>27</v>
      </c>
      <c r="K76" s="179" t="s">
        <v>1478</v>
      </c>
      <c r="L76" s="178">
        <v>4</v>
      </c>
      <c r="M76" s="179" t="s">
        <v>376</v>
      </c>
      <c r="N76" s="180">
        <v>42870.405658326417</v>
      </c>
      <c r="O76" s="181"/>
      <c r="P76" s="181"/>
      <c r="Q76" s="175">
        <f t="shared" si="4"/>
        <v>2.5632529541600251</v>
      </c>
      <c r="R76" s="177">
        <v>1</v>
      </c>
      <c r="S76" s="14" t="s">
        <v>997</v>
      </c>
      <c r="T76" s="14" t="s">
        <v>998</v>
      </c>
    </row>
    <row r="77" spans="1:40" ht="14.25" customHeight="1" x14ac:dyDescent="0.2">
      <c r="A77" s="181"/>
      <c r="B77" s="181"/>
      <c r="C77" s="181"/>
      <c r="D77" s="181"/>
      <c r="E77" s="181"/>
      <c r="F77" s="181"/>
      <c r="G77" s="181"/>
      <c r="H77" s="181"/>
      <c r="I77" s="181"/>
      <c r="J77" s="181"/>
      <c r="K77" s="181"/>
      <c r="L77" s="181"/>
      <c r="M77" s="181"/>
      <c r="N77" s="181"/>
      <c r="O77" s="181"/>
      <c r="P77" s="181"/>
      <c r="Q77" s="181"/>
      <c r="R77" s="181"/>
      <c r="S77" s="14" t="s">
        <v>1000</v>
      </c>
      <c r="T77" s="14" t="s">
        <v>1001</v>
      </c>
    </row>
    <row r="78" spans="1:40" ht="14.25" customHeight="1" x14ac:dyDescent="0.2">
      <c r="A78" s="181"/>
      <c r="B78" s="181"/>
      <c r="C78" s="181"/>
      <c r="D78" s="176"/>
      <c r="E78" s="176"/>
      <c r="F78" s="176"/>
      <c r="G78" s="176"/>
      <c r="H78" s="181"/>
      <c r="I78" s="181"/>
      <c r="J78" s="176"/>
      <c r="K78" s="176"/>
      <c r="L78" s="176"/>
      <c r="M78" s="176"/>
      <c r="N78" s="176"/>
      <c r="O78" s="181"/>
      <c r="P78" s="181"/>
      <c r="Q78" s="176"/>
      <c r="R78" s="176"/>
      <c r="S78" s="14" t="s">
        <v>623</v>
      </c>
      <c r="T78" s="14" t="s">
        <v>1482</v>
      </c>
    </row>
    <row r="79" spans="1:40" ht="14.25" customHeight="1" x14ac:dyDescent="0.2">
      <c r="A79" s="181"/>
      <c r="B79" s="181"/>
      <c r="C79" s="181"/>
      <c r="D79" s="179" t="s">
        <v>25</v>
      </c>
      <c r="E79" s="179" t="s">
        <v>527</v>
      </c>
      <c r="F79" s="179" t="s">
        <v>25</v>
      </c>
      <c r="G79" s="182">
        <v>1</v>
      </c>
      <c r="H79" s="181"/>
      <c r="I79" s="181"/>
      <c r="J79" s="175" t="s">
        <v>27</v>
      </c>
      <c r="K79" s="179" t="s">
        <v>27</v>
      </c>
      <c r="L79" s="178">
        <v>2</v>
      </c>
      <c r="M79" s="179" t="s">
        <v>1484</v>
      </c>
      <c r="N79" s="180">
        <f>L79*H75</f>
        <v>20000</v>
      </c>
      <c r="O79" s="181"/>
      <c r="P79" s="181"/>
      <c r="Q79" s="175">
        <f>N79/$O$2</f>
        <v>1.195814648729447</v>
      </c>
      <c r="R79" s="177">
        <v>5</v>
      </c>
      <c r="S79" s="14" t="s">
        <v>1004</v>
      </c>
      <c r="T79" s="14" t="s">
        <v>1005</v>
      </c>
    </row>
    <row r="80" spans="1:40" ht="14.25" customHeight="1" x14ac:dyDescent="0.2">
      <c r="A80" s="181"/>
      <c r="B80" s="181"/>
      <c r="C80" s="181"/>
      <c r="D80" s="181"/>
      <c r="E80" s="181"/>
      <c r="F80" s="181"/>
      <c r="G80" s="181"/>
      <c r="H80" s="181"/>
      <c r="I80" s="181"/>
      <c r="J80" s="181"/>
      <c r="K80" s="181"/>
      <c r="L80" s="181"/>
      <c r="M80" s="181"/>
      <c r="N80" s="181"/>
      <c r="O80" s="181"/>
      <c r="P80" s="181"/>
      <c r="Q80" s="181"/>
      <c r="R80" s="181"/>
      <c r="S80" s="14" t="s">
        <v>1006</v>
      </c>
      <c r="T80" s="14" t="s">
        <v>1007</v>
      </c>
    </row>
    <row r="81" spans="1:20" ht="14.25" customHeight="1" x14ac:dyDescent="0.2">
      <c r="A81" s="181"/>
      <c r="B81" s="181"/>
      <c r="C81" s="181"/>
      <c r="D81" s="181"/>
      <c r="E81" s="181"/>
      <c r="F81" s="181"/>
      <c r="G81" s="181"/>
      <c r="H81" s="181"/>
      <c r="I81" s="181"/>
      <c r="J81" s="181"/>
      <c r="K81" s="181"/>
      <c r="L81" s="181"/>
      <c r="M81" s="181"/>
      <c r="N81" s="181"/>
      <c r="O81" s="181"/>
      <c r="P81" s="181"/>
      <c r="Q81" s="181"/>
      <c r="R81" s="181"/>
      <c r="S81" s="14" t="s">
        <v>1008</v>
      </c>
      <c r="T81" s="137" t="s">
        <v>1009</v>
      </c>
    </row>
    <row r="82" spans="1:20" ht="14.25" customHeight="1" x14ac:dyDescent="0.2">
      <c r="A82" s="181"/>
      <c r="B82" s="181"/>
      <c r="C82" s="181"/>
      <c r="D82" s="176"/>
      <c r="E82" s="176"/>
      <c r="F82" s="176"/>
      <c r="G82" s="176"/>
      <c r="H82" s="181"/>
      <c r="I82" s="181"/>
      <c r="J82" s="176"/>
      <c r="K82" s="176"/>
      <c r="L82" s="176"/>
      <c r="M82" s="176"/>
      <c r="N82" s="176"/>
      <c r="O82" s="181"/>
      <c r="P82" s="181"/>
      <c r="Q82" s="176"/>
      <c r="R82" s="176"/>
      <c r="S82" s="14" t="s">
        <v>1010</v>
      </c>
      <c r="T82" s="137" t="s">
        <v>1011</v>
      </c>
    </row>
    <row r="83" spans="1:20" ht="14.25" customHeight="1" x14ac:dyDescent="0.2">
      <c r="A83" s="176"/>
      <c r="B83" s="176"/>
      <c r="C83" s="176"/>
      <c r="D83" s="154" t="s">
        <v>793</v>
      </c>
      <c r="E83" s="123" t="s">
        <v>92</v>
      </c>
      <c r="F83" s="50" t="s">
        <v>5</v>
      </c>
      <c r="G83" s="70">
        <v>0</v>
      </c>
      <c r="H83" s="176"/>
      <c r="I83" s="176"/>
      <c r="J83" s="53">
        <f>1/2/12</f>
        <v>4.1666666666666664E-2</v>
      </c>
      <c r="K83" s="50"/>
      <c r="L83" s="53">
        <v>1.42</v>
      </c>
      <c r="M83" s="41" t="s">
        <v>1486</v>
      </c>
      <c r="N83" s="54">
        <f>L83*H75*G83</f>
        <v>0</v>
      </c>
      <c r="O83" s="176"/>
      <c r="P83" s="176"/>
      <c r="Q83" s="91">
        <f>N83/$O$2</f>
        <v>0</v>
      </c>
      <c r="R83" s="58">
        <v>2</v>
      </c>
      <c r="S83" s="14" t="s">
        <v>738</v>
      </c>
      <c r="T83" s="14" t="s">
        <v>795</v>
      </c>
    </row>
    <row r="84" spans="1:20" ht="14.25" customHeight="1" x14ac:dyDescent="0.2">
      <c r="T84" s="84"/>
    </row>
    <row r="85" spans="1:20" ht="14.25" customHeight="1" x14ac:dyDescent="0.2">
      <c r="T85" s="84"/>
    </row>
    <row r="86" spans="1:20" ht="14.25" customHeight="1" x14ac:dyDescent="0.2">
      <c r="F86" s="28" t="s">
        <v>309</v>
      </c>
      <c r="G86" s="28" t="s">
        <v>128</v>
      </c>
      <c r="H86" s="28" t="s">
        <v>1488</v>
      </c>
      <c r="T86" s="84"/>
    </row>
    <row r="87" spans="1:20" ht="14.25" customHeight="1" x14ac:dyDescent="0.2">
      <c r="F87" s="50" t="s">
        <v>140</v>
      </c>
      <c r="G87" s="72">
        <f t="shared" ref="G87:G105" si="5">SUMIF($F$2:$F$83,F87,N$2:N$83)</f>
        <v>1179375</v>
      </c>
      <c r="H87" s="73">
        <f t="shared" ref="H87:H105" si="6">SUMIF($F$2:$F$83,F87,Q$2:Q$83)</f>
        <v>70.515695067264573</v>
      </c>
      <c r="T87" s="84"/>
    </row>
    <row r="88" spans="1:20" ht="14.25" customHeight="1" x14ac:dyDescent="0.2">
      <c r="F88" s="14" t="s">
        <v>156</v>
      </c>
      <c r="G88" s="72">
        <f t="shared" si="5"/>
        <v>46753.125</v>
      </c>
      <c r="H88" s="73">
        <f t="shared" si="6"/>
        <v>2.7954035874439462</v>
      </c>
      <c r="T88" s="84"/>
    </row>
    <row r="89" spans="1:20" ht="14.25" customHeight="1" x14ac:dyDescent="0.2">
      <c r="F89" s="50" t="s">
        <v>3</v>
      </c>
      <c r="G89" s="72">
        <f t="shared" si="5"/>
        <v>22602.239999999998</v>
      </c>
      <c r="H89" s="73">
        <f t="shared" si="6"/>
        <v>1.3514044843049327</v>
      </c>
      <c r="T89" s="84"/>
    </row>
    <row r="90" spans="1:20" ht="14.25" customHeight="1" x14ac:dyDescent="0.2">
      <c r="F90" s="50" t="s">
        <v>4</v>
      </c>
      <c r="G90" s="72">
        <f t="shared" si="5"/>
        <v>93590.275658326427</v>
      </c>
      <c r="H90" s="73">
        <f t="shared" si="6"/>
        <v>5.5958311305426855</v>
      </c>
      <c r="T90" s="84"/>
    </row>
    <row r="91" spans="1:20" ht="14.25" customHeight="1" x14ac:dyDescent="0.2">
      <c r="F91" s="50" t="s">
        <v>7</v>
      </c>
      <c r="G91" s="72">
        <f t="shared" si="5"/>
        <v>25999.199999999997</v>
      </c>
      <c r="H91" s="73">
        <f t="shared" si="6"/>
        <v>1.5545112107623316</v>
      </c>
      <c r="T91" s="84"/>
    </row>
    <row r="92" spans="1:20" ht="14.25" customHeight="1" x14ac:dyDescent="0.2">
      <c r="F92" s="50" t="s">
        <v>8</v>
      </c>
      <c r="G92" s="72">
        <f t="shared" si="5"/>
        <v>68104</v>
      </c>
      <c r="H92" s="73">
        <f t="shared" si="6"/>
        <v>4.0719880418535128</v>
      </c>
      <c r="T92" s="84"/>
    </row>
    <row r="93" spans="1:20" ht="14.25" customHeight="1" x14ac:dyDescent="0.2">
      <c r="F93" s="50" t="s">
        <v>9</v>
      </c>
      <c r="G93" s="72">
        <f t="shared" si="5"/>
        <v>56706</v>
      </c>
      <c r="H93" s="73">
        <f t="shared" si="6"/>
        <v>3.3904932735426008</v>
      </c>
      <c r="T93" s="84"/>
    </row>
    <row r="94" spans="1:20" ht="14.25" customHeight="1" x14ac:dyDescent="0.2">
      <c r="F94" s="50" t="s">
        <v>712</v>
      </c>
      <c r="G94" s="72">
        <f t="shared" si="5"/>
        <v>166100</v>
      </c>
      <c r="H94" s="73">
        <f t="shared" si="6"/>
        <v>9.9312406576980568</v>
      </c>
      <c r="T94" s="84"/>
    </row>
    <row r="95" spans="1:20" ht="14.25" customHeight="1" x14ac:dyDescent="0.2">
      <c r="F95" s="50" t="s">
        <v>880</v>
      </c>
      <c r="G95" s="72">
        <f t="shared" si="5"/>
        <v>2265</v>
      </c>
      <c r="H95" s="73">
        <f t="shared" si="6"/>
        <v>0.13542600896860987</v>
      </c>
      <c r="T95" s="84"/>
    </row>
    <row r="96" spans="1:20" ht="14.25" customHeight="1" x14ac:dyDescent="0.2">
      <c r="F96" s="50" t="s">
        <v>12</v>
      </c>
      <c r="G96" s="72">
        <f t="shared" si="5"/>
        <v>47090</v>
      </c>
      <c r="H96" s="73">
        <f t="shared" si="6"/>
        <v>2.8155455904334827</v>
      </c>
      <c r="T96" s="84"/>
    </row>
    <row r="97" spans="6:20" ht="14.25" customHeight="1" x14ac:dyDescent="0.2">
      <c r="F97" s="50" t="s">
        <v>13</v>
      </c>
      <c r="G97" s="72">
        <f t="shared" si="5"/>
        <v>672.16666666666663</v>
      </c>
      <c r="H97" s="73">
        <f t="shared" si="6"/>
        <v>4.0189337319382158E-2</v>
      </c>
      <c r="T97" s="84"/>
    </row>
    <row r="98" spans="6:20" ht="14.25" customHeight="1" x14ac:dyDescent="0.2">
      <c r="F98" s="50" t="s">
        <v>435</v>
      </c>
      <c r="G98" s="72">
        <f t="shared" si="5"/>
        <v>20117.020833333328</v>
      </c>
      <c r="H98" s="73">
        <f t="shared" si="6"/>
        <v>1.2028114100647731</v>
      </c>
      <c r="T98" s="84"/>
    </row>
    <row r="99" spans="6:20" ht="14.25" customHeight="1" x14ac:dyDescent="0.2">
      <c r="F99" s="50" t="s">
        <v>19</v>
      </c>
      <c r="G99" s="72">
        <f t="shared" si="5"/>
        <v>1038.9550000000002</v>
      </c>
      <c r="H99" s="73">
        <f t="shared" si="6"/>
        <v>6.2119880418535132E-2</v>
      </c>
      <c r="T99" s="84"/>
    </row>
    <row r="100" spans="6:20" ht="14.25" customHeight="1" x14ac:dyDescent="0.2">
      <c r="F100" s="50" t="s">
        <v>10</v>
      </c>
      <c r="G100" s="72">
        <f t="shared" si="5"/>
        <v>5750</v>
      </c>
      <c r="H100" s="73">
        <f t="shared" si="6"/>
        <v>0.34379671150971597</v>
      </c>
      <c r="T100" s="84"/>
    </row>
    <row r="101" spans="6:20" ht="14.25" customHeight="1" x14ac:dyDescent="0.2">
      <c r="F101" s="50" t="s">
        <v>517</v>
      </c>
      <c r="G101" s="72">
        <f t="shared" si="5"/>
        <v>57960</v>
      </c>
      <c r="H101" s="73">
        <f t="shared" si="6"/>
        <v>3.4654708520179374</v>
      </c>
      <c r="T101" s="84"/>
    </row>
    <row r="102" spans="6:20" ht="14.25" customHeight="1" x14ac:dyDescent="0.2">
      <c r="F102" s="50" t="s">
        <v>23</v>
      </c>
      <c r="G102" s="72">
        <f t="shared" si="5"/>
        <v>9200</v>
      </c>
      <c r="H102" s="73">
        <f t="shared" si="6"/>
        <v>0.55007473841554555</v>
      </c>
      <c r="T102" s="84"/>
    </row>
    <row r="103" spans="6:20" ht="14.25" customHeight="1" x14ac:dyDescent="0.2">
      <c r="F103" s="41" t="s">
        <v>24</v>
      </c>
      <c r="G103" s="72">
        <f t="shared" si="5"/>
        <v>105000</v>
      </c>
      <c r="H103" s="73">
        <f t="shared" si="6"/>
        <v>6.2780269058295968</v>
      </c>
      <c r="T103" s="84"/>
    </row>
    <row r="104" spans="6:20" ht="14.25" customHeight="1" x14ac:dyDescent="0.2">
      <c r="F104" s="50" t="s">
        <v>25</v>
      </c>
      <c r="G104" s="72">
        <f t="shared" si="5"/>
        <v>20000</v>
      </c>
      <c r="H104" s="73">
        <f t="shared" si="6"/>
        <v>1.195814648729447</v>
      </c>
      <c r="T104" s="84"/>
    </row>
    <row r="105" spans="6:20" ht="14.25" customHeight="1" x14ac:dyDescent="0.2">
      <c r="F105" s="50" t="s">
        <v>5</v>
      </c>
      <c r="G105" s="72">
        <f t="shared" si="5"/>
        <v>0</v>
      </c>
      <c r="H105" s="73">
        <f t="shared" si="6"/>
        <v>0</v>
      </c>
      <c r="T105" s="84"/>
    </row>
    <row r="106" spans="6:20" ht="14.25" customHeight="1" x14ac:dyDescent="0.2">
      <c r="G106" s="75"/>
      <c r="H106" s="111"/>
      <c r="T106" s="84"/>
    </row>
    <row r="107" spans="6:20" ht="14.25" customHeight="1" x14ac:dyDescent="0.2">
      <c r="G107" s="75"/>
      <c r="T107" s="84"/>
    </row>
    <row r="108" spans="6:20" ht="14.25" customHeight="1" x14ac:dyDescent="0.2">
      <c r="F108" s="93" t="s">
        <v>631</v>
      </c>
      <c r="G108" s="28" t="s">
        <v>128</v>
      </c>
      <c r="H108" s="28" t="s">
        <v>1496</v>
      </c>
      <c r="T108" s="84"/>
    </row>
    <row r="109" spans="6:20" ht="14.25" customHeight="1" x14ac:dyDescent="0.2">
      <c r="F109" s="50" t="s">
        <v>140</v>
      </c>
      <c r="G109" s="72">
        <f t="shared" ref="G109:G120" si="7">SUMIF($E$2:$E$83,F109,N$2:N$83)</f>
        <v>1179375</v>
      </c>
      <c r="H109" s="73">
        <f t="shared" ref="H109:H120" si="8">SUMIF($E$2:$E$83,F109,Q$2:Q$83)</f>
        <v>70.515695067264573</v>
      </c>
      <c r="T109" s="84"/>
    </row>
    <row r="110" spans="6:20" ht="14.25" customHeight="1" x14ac:dyDescent="0.2">
      <c r="F110" s="14" t="s">
        <v>155</v>
      </c>
      <c r="G110" s="72">
        <f t="shared" si="7"/>
        <v>197562.32500000001</v>
      </c>
      <c r="H110" s="73">
        <f t="shared" si="8"/>
        <v>11.812396113602391</v>
      </c>
      <c r="T110" s="84"/>
    </row>
    <row r="111" spans="6:20" ht="14.25" customHeight="1" x14ac:dyDescent="0.2">
      <c r="F111" s="50" t="s">
        <v>92</v>
      </c>
      <c r="G111" s="72">
        <f t="shared" si="7"/>
        <v>116192.51565832642</v>
      </c>
      <c r="H111" s="73">
        <f t="shared" si="8"/>
        <v>6.9472356148476182</v>
      </c>
      <c r="T111" s="84"/>
    </row>
    <row r="112" spans="6:20" ht="14.25" customHeight="1" x14ac:dyDescent="0.2">
      <c r="F112" s="50" t="s">
        <v>712</v>
      </c>
      <c r="G112" s="72">
        <f t="shared" si="7"/>
        <v>166100</v>
      </c>
      <c r="H112" s="73">
        <f t="shared" si="8"/>
        <v>9.9312406576980568</v>
      </c>
      <c r="T112" s="84"/>
    </row>
    <row r="113" spans="6:20" ht="14.25" customHeight="1" x14ac:dyDescent="0.2">
      <c r="F113" s="50" t="s">
        <v>279</v>
      </c>
      <c r="G113" s="72">
        <f t="shared" si="7"/>
        <v>2265</v>
      </c>
      <c r="H113" s="73">
        <f t="shared" si="8"/>
        <v>0.13542600896860987</v>
      </c>
      <c r="T113" s="84"/>
    </row>
    <row r="114" spans="6:20" ht="14.25" customHeight="1" x14ac:dyDescent="0.2">
      <c r="F114" s="50" t="s">
        <v>294</v>
      </c>
      <c r="G114" s="72">
        <f t="shared" si="7"/>
        <v>47090</v>
      </c>
      <c r="H114" s="73">
        <f t="shared" si="8"/>
        <v>2.8155455904334827</v>
      </c>
      <c r="T114" s="84"/>
    </row>
    <row r="115" spans="6:20" ht="14.25" customHeight="1" x14ac:dyDescent="0.2">
      <c r="F115" s="50" t="s">
        <v>13</v>
      </c>
      <c r="G115" s="72">
        <f t="shared" si="7"/>
        <v>672.16666666666663</v>
      </c>
      <c r="H115" s="73">
        <f t="shared" si="8"/>
        <v>4.0189337319382158E-2</v>
      </c>
      <c r="T115" s="84"/>
    </row>
    <row r="116" spans="6:20" ht="14.25" customHeight="1" x14ac:dyDescent="0.2">
      <c r="F116" s="50" t="s">
        <v>434</v>
      </c>
      <c r="G116" s="72">
        <f t="shared" si="7"/>
        <v>20117.020833333328</v>
      </c>
      <c r="H116" s="73">
        <f t="shared" si="8"/>
        <v>1.2028114100647731</v>
      </c>
      <c r="T116" s="84"/>
    </row>
    <row r="117" spans="6:20" ht="14.25" customHeight="1" x14ac:dyDescent="0.2">
      <c r="F117" s="50" t="s">
        <v>287</v>
      </c>
      <c r="G117" s="72">
        <f t="shared" si="7"/>
        <v>6788.9549999999999</v>
      </c>
      <c r="H117" s="73">
        <f t="shared" si="8"/>
        <v>0.40591659192825108</v>
      </c>
      <c r="T117" s="84"/>
    </row>
    <row r="118" spans="6:20" ht="14.25" customHeight="1" x14ac:dyDescent="0.2">
      <c r="F118" s="50" t="s">
        <v>516</v>
      </c>
      <c r="G118" s="72">
        <f t="shared" si="7"/>
        <v>57960</v>
      </c>
      <c r="H118" s="73">
        <f t="shared" si="8"/>
        <v>3.4654708520179374</v>
      </c>
      <c r="T118" s="84"/>
    </row>
    <row r="119" spans="6:20" ht="14.25" customHeight="1" x14ac:dyDescent="0.2">
      <c r="F119" s="50" t="s">
        <v>527</v>
      </c>
      <c r="G119" s="72">
        <f t="shared" si="7"/>
        <v>29200</v>
      </c>
      <c r="H119" s="73">
        <f t="shared" si="8"/>
        <v>1.7458893871449925</v>
      </c>
      <c r="T119" s="84"/>
    </row>
    <row r="120" spans="6:20" ht="14.25" customHeight="1" x14ac:dyDescent="0.2">
      <c r="F120" s="41" t="s">
        <v>973</v>
      </c>
      <c r="G120" s="72">
        <f t="shared" si="7"/>
        <v>105000</v>
      </c>
      <c r="H120" s="73">
        <f t="shared" si="8"/>
        <v>6.2780269058295968</v>
      </c>
      <c r="T120" s="84"/>
    </row>
    <row r="121" spans="6:20" ht="14.25" customHeight="1" x14ac:dyDescent="0.2">
      <c r="T121" s="84"/>
    </row>
    <row r="122" spans="6:20" ht="14.25" customHeight="1" x14ac:dyDescent="0.2">
      <c r="T122" s="84"/>
    </row>
    <row r="123" spans="6:20" ht="14.25" customHeight="1" x14ac:dyDescent="0.2">
      <c r="T123" s="84"/>
    </row>
    <row r="124" spans="6:20" ht="14.25" customHeight="1" x14ac:dyDescent="0.2">
      <c r="T124" s="84"/>
    </row>
    <row r="125" spans="6:20" ht="14.25" customHeight="1" x14ac:dyDescent="0.2">
      <c r="T125" s="84"/>
    </row>
    <row r="126" spans="6:20" ht="14.25" customHeight="1" x14ac:dyDescent="0.2">
      <c r="T126" s="84"/>
    </row>
    <row r="127" spans="6:20" ht="14.25" customHeight="1" x14ac:dyDescent="0.2">
      <c r="T127" s="84"/>
    </row>
    <row r="128" spans="6: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306">
    <mergeCell ref="C7:C10"/>
    <mergeCell ref="D7:D10"/>
    <mergeCell ref="H19:H28"/>
    <mergeCell ref="I19:I28"/>
    <mergeCell ref="K19:K21"/>
    <mergeCell ref="L19:L21"/>
    <mergeCell ref="L22:L23"/>
    <mergeCell ref="D11:D18"/>
    <mergeCell ref="M7:M10"/>
    <mergeCell ref="E11:E18"/>
    <mergeCell ref="F11:F18"/>
    <mergeCell ref="J7:J10"/>
    <mergeCell ref="J11:J18"/>
    <mergeCell ref="K11:K18"/>
    <mergeCell ref="L11:L18"/>
    <mergeCell ref="M11:M18"/>
    <mergeCell ref="E7:E10"/>
    <mergeCell ref="F7:F10"/>
    <mergeCell ref="H7:H18"/>
    <mergeCell ref="I7:I18"/>
    <mergeCell ref="K7:K10"/>
    <mergeCell ref="L7:L10"/>
    <mergeCell ref="G11:G18"/>
    <mergeCell ref="Q2:Q3"/>
    <mergeCell ref="R2:R3"/>
    <mergeCell ref="Q7:Q10"/>
    <mergeCell ref="R7:R10"/>
    <mergeCell ref="Q11:Q18"/>
    <mergeCell ref="R11:R18"/>
    <mergeCell ref="R19:R21"/>
    <mergeCell ref="J22:J23"/>
    <mergeCell ref="K22:K23"/>
    <mergeCell ref="J19:J21"/>
    <mergeCell ref="N7:N10"/>
    <mergeCell ref="N11:N18"/>
    <mergeCell ref="T30:AC30"/>
    <mergeCell ref="K32:K34"/>
    <mergeCell ref="L32:L34"/>
    <mergeCell ref="M32:M34"/>
    <mergeCell ref="N32:N34"/>
    <mergeCell ref="Q32:Q34"/>
    <mergeCell ref="R32:R34"/>
    <mergeCell ref="Q19:Q21"/>
    <mergeCell ref="Q22:Q23"/>
    <mergeCell ref="Q24:Q27"/>
    <mergeCell ref="K24:K27"/>
    <mergeCell ref="L24:L27"/>
    <mergeCell ref="M19:M21"/>
    <mergeCell ref="N19:N21"/>
    <mergeCell ref="M22:M23"/>
    <mergeCell ref="N22:N23"/>
    <mergeCell ref="M24:M27"/>
    <mergeCell ref="N24:N27"/>
    <mergeCell ref="H29:H34"/>
    <mergeCell ref="M36:M37"/>
    <mergeCell ref="N36:N37"/>
    <mergeCell ref="I29:I34"/>
    <mergeCell ref="J29:J30"/>
    <mergeCell ref="J32:J34"/>
    <mergeCell ref="M29:M30"/>
    <mergeCell ref="N29:N30"/>
    <mergeCell ref="J24:J27"/>
    <mergeCell ref="Q36:Q37"/>
    <mergeCell ref="R36:R37"/>
    <mergeCell ref="K29:K30"/>
    <mergeCell ref="L29:L30"/>
    <mergeCell ref="Q29:Q30"/>
    <mergeCell ref="R29:R30"/>
    <mergeCell ref="H36:H37"/>
    <mergeCell ref="I36:I37"/>
    <mergeCell ref="J36:J37"/>
    <mergeCell ref="D32:D34"/>
    <mergeCell ref="E32:E34"/>
    <mergeCell ref="G24:G27"/>
    <mergeCell ref="B29:B34"/>
    <mergeCell ref="C29:C34"/>
    <mergeCell ref="D29:D30"/>
    <mergeCell ref="E29:E30"/>
    <mergeCell ref="F29:F30"/>
    <mergeCell ref="G29:G34"/>
    <mergeCell ref="F32:F34"/>
    <mergeCell ref="B19:B28"/>
    <mergeCell ref="C19:C27"/>
    <mergeCell ref="D19:D21"/>
    <mergeCell ref="D22:D23"/>
    <mergeCell ref="D24:D27"/>
    <mergeCell ref="E19:E21"/>
    <mergeCell ref="F19:F21"/>
    <mergeCell ref="G19:G21"/>
    <mergeCell ref="E22:E23"/>
    <mergeCell ref="F22:F23"/>
    <mergeCell ref="G22:G23"/>
    <mergeCell ref="E24:E27"/>
    <mergeCell ref="F24:F27"/>
    <mergeCell ref="N64:N66"/>
    <mergeCell ref="Q64:Q66"/>
    <mergeCell ref="R64:R66"/>
    <mergeCell ref="L67:L69"/>
    <mergeCell ref="M67:M69"/>
    <mergeCell ref="N67:N69"/>
    <mergeCell ref="B36:B37"/>
    <mergeCell ref="C36:C37"/>
    <mergeCell ref="D36:D37"/>
    <mergeCell ref="E36:E37"/>
    <mergeCell ref="F36:F37"/>
    <mergeCell ref="E38:E41"/>
    <mergeCell ref="E42:E45"/>
    <mergeCell ref="K36:K37"/>
    <mergeCell ref="L36:L37"/>
    <mergeCell ref="F38:F41"/>
    <mergeCell ref="G38:G47"/>
    <mergeCell ref="H38:H41"/>
    <mergeCell ref="I38:I41"/>
    <mergeCell ref="L38:L41"/>
    <mergeCell ref="G36:G37"/>
    <mergeCell ref="B38:B47"/>
    <mergeCell ref="F42:F45"/>
    <mergeCell ref="D46:D47"/>
    <mergeCell ref="M70:M71"/>
    <mergeCell ref="N70:N71"/>
    <mergeCell ref="Q70:Q71"/>
    <mergeCell ref="R70:R71"/>
    <mergeCell ref="J72:J74"/>
    <mergeCell ref="K72:K74"/>
    <mergeCell ref="L72:L74"/>
    <mergeCell ref="M72:M74"/>
    <mergeCell ref="N72:N74"/>
    <mergeCell ref="Q72:Q74"/>
    <mergeCell ref="R72:R74"/>
    <mergeCell ref="O2:O83"/>
    <mergeCell ref="P2:P83"/>
    <mergeCell ref="N79:N82"/>
    <mergeCell ref="Q79:Q82"/>
    <mergeCell ref="R79:R82"/>
    <mergeCell ref="M38:M41"/>
    <mergeCell ref="N38:N41"/>
    <mergeCell ref="Q38:Q41"/>
    <mergeCell ref="R38:R41"/>
    <mergeCell ref="R46:R47"/>
    <mergeCell ref="Q67:Q69"/>
    <mergeCell ref="R67:R69"/>
    <mergeCell ref="M64:M66"/>
    <mergeCell ref="A2:A83"/>
    <mergeCell ref="D2:D3"/>
    <mergeCell ref="E2:E3"/>
    <mergeCell ref="F2:F3"/>
    <mergeCell ref="G2:G4"/>
    <mergeCell ref="G5:G6"/>
    <mergeCell ref="G7:G10"/>
    <mergeCell ref="D70:D71"/>
    <mergeCell ref="E70:E71"/>
    <mergeCell ref="F70:F71"/>
    <mergeCell ref="G70:G71"/>
    <mergeCell ref="D72:D74"/>
    <mergeCell ref="E72:E74"/>
    <mergeCell ref="F72:F74"/>
    <mergeCell ref="G72:G74"/>
    <mergeCell ref="B75:B83"/>
    <mergeCell ref="C75:C83"/>
    <mergeCell ref="D76:D78"/>
    <mergeCell ref="E76:E78"/>
    <mergeCell ref="F76:F78"/>
    <mergeCell ref="G76:G78"/>
    <mergeCell ref="D79:D82"/>
    <mergeCell ref="E46:E47"/>
    <mergeCell ref="F46:F47"/>
    <mergeCell ref="E79:E82"/>
    <mergeCell ref="J79:J82"/>
    <mergeCell ref="K79:K82"/>
    <mergeCell ref="L79:L82"/>
    <mergeCell ref="M79:M82"/>
    <mergeCell ref="I72:I74"/>
    <mergeCell ref="H75:H83"/>
    <mergeCell ref="I75:I83"/>
    <mergeCell ref="J76:J78"/>
    <mergeCell ref="K76:K78"/>
    <mergeCell ref="L76:L78"/>
    <mergeCell ref="M76:M78"/>
    <mergeCell ref="F79:F82"/>
    <mergeCell ref="G79:G82"/>
    <mergeCell ref="H2:H4"/>
    <mergeCell ref="I2:I4"/>
    <mergeCell ref="J2:J4"/>
    <mergeCell ref="K2:K4"/>
    <mergeCell ref="L2:L3"/>
    <mergeCell ref="M2:M3"/>
    <mergeCell ref="N2:N3"/>
    <mergeCell ref="B5:B6"/>
    <mergeCell ref="C5:C6"/>
    <mergeCell ref="H5:H6"/>
    <mergeCell ref="I5:I6"/>
    <mergeCell ref="J5:J6"/>
    <mergeCell ref="K5:K6"/>
    <mergeCell ref="B2:B4"/>
    <mergeCell ref="B7:B18"/>
    <mergeCell ref="C2:C4"/>
    <mergeCell ref="C11:C18"/>
    <mergeCell ref="C38:C47"/>
    <mergeCell ref="D38:D41"/>
    <mergeCell ref="D42:D45"/>
    <mergeCell ref="R22:R23"/>
    <mergeCell ref="R24:R27"/>
    <mergeCell ref="N76:N78"/>
    <mergeCell ref="Q76:Q78"/>
    <mergeCell ref="R76:R78"/>
    <mergeCell ref="K42:K45"/>
    <mergeCell ref="L42:L45"/>
    <mergeCell ref="M42:M45"/>
    <mergeCell ref="N42:N45"/>
    <mergeCell ref="Q42:Q45"/>
    <mergeCell ref="R42:R45"/>
    <mergeCell ref="J46:J47"/>
    <mergeCell ref="K46:K47"/>
    <mergeCell ref="L46:L47"/>
    <mergeCell ref="M46:M47"/>
    <mergeCell ref="N46:N47"/>
    <mergeCell ref="Q46:Q47"/>
    <mergeCell ref="K38:K41"/>
    <mergeCell ref="H52:H57"/>
    <mergeCell ref="I52:I57"/>
    <mergeCell ref="J52:J55"/>
    <mergeCell ref="K52:K55"/>
    <mergeCell ref="L52:L55"/>
    <mergeCell ref="J56:J57"/>
    <mergeCell ref="K56:K57"/>
    <mergeCell ref="L56:L57"/>
    <mergeCell ref="J38:J41"/>
    <mergeCell ref="J42:J45"/>
    <mergeCell ref="H48:H51"/>
    <mergeCell ref="I48:I51"/>
    <mergeCell ref="J48:J51"/>
    <mergeCell ref="K48:K51"/>
    <mergeCell ref="L48:L51"/>
    <mergeCell ref="H42:H47"/>
    <mergeCell ref="I42:I47"/>
    <mergeCell ref="M52:M55"/>
    <mergeCell ref="M56:M57"/>
    <mergeCell ref="N56:N57"/>
    <mergeCell ref="M48:M51"/>
    <mergeCell ref="N48:N51"/>
    <mergeCell ref="Q48:Q51"/>
    <mergeCell ref="R48:R51"/>
    <mergeCell ref="N52:N55"/>
    <mergeCell ref="Q52:Q55"/>
    <mergeCell ref="R52:R55"/>
    <mergeCell ref="Q56:Q57"/>
    <mergeCell ref="R56:R57"/>
    <mergeCell ref="B48:B57"/>
    <mergeCell ref="C48:C57"/>
    <mergeCell ref="D48:D51"/>
    <mergeCell ref="E48:E51"/>
    <mergeCell ref="F48:F51"/>
    <mergeCell ref="G48:G57"/>
    <mergeCell ref="F52:F55"/>
    <mergeCell ref="F56:F57"/>
    <mergeCell ref="D52:D55"/>
    <mergeCell ref="E52:E55"/>
    <mergeCell ref="D56:D57"/>
    <mergeCell ref="E56:E57"/>
    <mergeCell ref="M58:M60"/>
    <mergeCell ref="N58:N60"/>
    <mergeCell ref="Q58:Q60"/>
    <mergeCell ref="R58:R60"/>
    <mergeCell ref="T59:U59"/>
    <mergeCell ref="J62:J63"/>
    <mergeCell ref="K62:K63"/>
    <mergeCell ref="L62:L63"/>
    <mergeCell ref="M62:M63"/>
    <mergeCell ref="N62:N63"/>
    <mergeCell ref="Q62:Q63"/>
    <mergeCell ref="J58:J60"/>
    <mergeCell ref="R62:R63"/>
    <mergeCell ref="G62:G63"/>
    <mergeCell ref="B64:B74"/>
    <mergeCell ref="C64:C74"/>
    <mergeCell ref="D64:D66"/>
    <mergeCell ref="E64:E66"/>
    <mergeCell ref="F64:F66"/>
    <mergeCell ref="G64:G66"/>
    <mergeCell ref="D67:D69"/>
    <mergeCell ref="E67:E69"/>
    <mergeCell ref="F67:F69"/>
    <mergeCell ref="G67:G69"/>
    <mergeCell ref="B58:B63"/>
    <mergeCell ref="C58:C63"/>
    <mergeCell ref="D58:D61"/>
    <mergeCell ref="E58:E60"/>
    <mergeCell ref="F58:F60"/>
    <mergeCell ref="G58:G61"/>
    <mergeCell ref="D62:D63"/>
    <mergeCell ref="E62:E63"/>
    <mergeCell ref="F62:F63"/>
    <mergeCell ref="J67:J69"/>
    <mergeCell ref="K67:K69"/>
    <mergeCell ref="K58:K60"/>
    <mergeCell ref="L58:L60"/>
    <mergeCell ref="H64:H74"/>
    <mergeCell ref="I64:I71"/>
    <mergeCell ref="J64:J66"/>
    <mergeCell ref="K64:K66"/>
    <mergeCell ref="L64:L66"/>
    <mergeCell ref="H58:H63"/>
    <mergeCell ref="I58:I63"/>
    <mergeCell ref="J70:J71"/>
    <mergeCell ref="K70:K71"/>
    <mergeCell ref="L70:L71"/>
  </mergeCells>
  <conditionalFormatting sqref="R2:R9 R11 R29 R31:R32 R35 R38:R46 R64:R67 R70:R74">
    <cfRule type="colorScale" priority="9">
      <colorScale>
        <cfvo type="min"/>
        <cfvo type="percentile" val="50"/>
        <cfvo type="max"/>
        <color rgb="FFF8696B"/>
        <color rgb="FFFFEB84"/>
        <color rgb="FF63BE7B"/>
      </colorScale>
    </cfRule>
  </conditionalFormatting>
  <conditionalFormatting sqref="R2:R11 R29:R32 R35:R36 R38:R47 R58 R61:R62 R64:R74">
    <cfRule type="colorScale" priority="8">
      <colorScale>
        <cfvo type="min"/>
        <cfvo type="percentile" val="50"/>
        <cfvo type="max"/>
        <color rgb="FFF8696B"/>
        <color rgb="FFFFEB84"/>
        <color rgb="FF63BE7B"/>
      </colorScale>
    </cfRule>
  </conditionalFormatting>
  <conditionalFormatting sqref="R2:R83">
    <cfRule type="colorScale" priority="1">
      <colorScale>
        <cfvo type="min"/>
        <cfvo type="percentile" val="50"/>
        <cfvo type="max"/>
        <color rgb="FFF8696B"/>
        <color rgb="FFFFEB84"/>
        <color rgb="FF63BE7B"/>
      </colorScale>
    </cfRule>
  </conditionalFormatting>
  <conditionalFormatting sqref="R19:R22">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conditionalFormatting sqref="R19:R28">
    <cfRule type="colorScale" priority="4">
      <colorScale>
        <cfvo type="min"/>
        <cfvo type="percentile" val="50"/>
        <cfvo type="max"/>
        <color rgb="FFF8696B"/>
        <color rgb="FFFFEB84"/>
        <color rgb="FF63BE7B"/>
      </colorScale>
    </cfRule>
  </conditionalFormatting>
  <conditionalFormatting sqref="R36">
    <cfRule type="colorScale" priority="5">
      <colorScale>
        <cfvo type="min"/>
        <cfvo type="percentile" val="50"/>
        <cfvo type="max"/>
        <color rgb="FFF8696B"/>
        <color rgb="FFFFEB84"/>
        <color rgb="FF63BE7B"/>
      </colorScale>
    </cfRule>
  </conditionalFormatting>
  <conditionalFormatting sqref="R48:R56">
    <cfRule type="colorScale" priority="6">
      <colorScale>
        <cfvo type="min"/>
        <cfvo type="percentile" val="50"/>
        <cfvo type="max"/>
        <color rgb="FFF8696B"/>
        <color rgb="FFFFEB84"/>
        <color rgb="FF63BE7B"/>
      </colorScale>
    </cfRule>
  </conditionalFormatting>
  <conditionalFormatting sqref="R48:R57">
    <cfRule type="colorScale" priority="7">
      <colorScale>
        <cfvo type="min"/>
        <cfvo type="percentile" val="50"/>
        <cfvo type="max"/>
        <color rgb="FFF8696B"/>
        <color rgb="FFFFEB84"/>
        <color rgb="FF63BE7B"/>
      </colorScale>
    </cfRule>
  </conditionalFormatting>
  <conditionalFormatting sqref="R75 R79 R83">
    <cfRule type="colorScale" priority="10">
      <colorScale>
        <cfvo type="min"/>
        <cfvo type="percentile" val="50"/>
        <cfvo type="max"/>
        <color rgb="FFF8696B"/>
        <color rgb="FFFFEB84"/>
        <color rgb="FF63BE7B"/>
      </colorScale>
    </cfRule>
  </conditionalFormatting>
  <conditionalFormatting sqref="R75:R83">
    <cfRule type="colorScale" priority="11">
      <colorScale>
        <cfvo type="min"/>
        <cfvo type="percentile" val="50"/>
        <cfvo type="max"/>
        <color rgb="FFF8696B"/>
        <color rgb="FFFFEB84"/>
        <color rgb="FF63BE7B"/>
      </colorScale>
    </cfRule>
  </conditionalFormatting>
  <conditionalFormatting sqref="R76">
    <cfRule type="colorScale" priority="12">
      <colorScale>
        <cfvo type="min"/>
        <cfvo type="percentile" val="50"/>
        <cfvo type="max"/>
        <color rgb="FFF8696B"/>
        <color rgb="FFFFEB84"/>
        <color rgb="FF63BE7B"/>
      </colorScale>
    </cfRule>
  </conditionalFormatting>
  <hyperlinks>
    <hyperlink ref="S4" r:id="rId1" xr:uid="{00000000-0004-0000-1500-000000000000}"/>
    <hyperlink ref="S7" r:id="rId2" xr:uid="{00000000-0004-0000-1500-000001000000}"/>
    <hyperlink ref="S9" r:id="rId3" xr:uid="{00000000-0004-0000-1500-000002000000}"/>
    <hyperlink ref="S12" r:id="rId4" xr:uid="{00000000-0004-0000-1500-000003000000}"/>
    <hyperlink ref="S15" r:id="rId5" xr:uid="{00000000-0004-0000-1500-000004000000}"/>
    <hyperlink ref="S20" r:id="rId6" xr:uid="{00000000-0004-0000-1500-000005000000}"/>
    <hyperlink ref="S27" r:id="rId7" xr:uid="{00000000-0004-0000-1500-000006000000}"/>
    <hyperlink ref="S28" r:id="rId8" xr:uid="{00000000-0004-0000-1500-000007000000}"/>
    <hyperlink ref="S35" r:id="rId9" xr:uid="{00000000-0004-0000-1500-000008000000}"/>
    <hyperlink ref="S39" r:id="rId10" xr:uid="{00000000-0004-0000-1500-000009000000}"/>
    <hyperlink ref="S45" r:id="rId11" xr:uid="{00000000-0004-0000-1500-00000A000000}"/>
    <hyperlink ref="S47" r:id="rId12" xr:uid="{00000000-0004-0000-1500-00000B000000}"/>
    <hyperlink ref="S56" r:id="rId13" xr:uid="{00000000-0004-0000-1500-00000C000000}"/>
    <hyperlink ref="S57" r:id="rId14" xr:uid="{00000000-0004-0000-1500-00000D000000}"/>
    <hyperlink ref="S61" r:id="rId15" xr:uid="{00000000-0004-0000-1500-00000E000000}"/>
    <hyperlink ref="S63" r:id="rId16" xr:uid="{00000000-0004-0000-1500-00000F000000}"/>
    <hyperlink ref="S69" r:id="rId17" xr:uid="{00000000-0004-0000-1500-000010000000}"/>
    <hyperlink ref="S72" r:id="rId18" xr:uid="{00000000-0004-0000-1500-000011000000}"/>
    <hyperlink ref="S75" r:id="rId19" xr:uid="{00000000-0004-0000-1500-000012000000}"/>
  </hyperlinks>
  <pageMargins left="0.7" right="0.7" top="0.75" bottom="0.75" header="0" footer="0"/>
  <pageSetup orientation="portrait"/>
  <drawing r:id="rId20"/>
  <legacyDrawing r:id="rId2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N1000"/>
  <sheetViews>
    <sheetView workbookViewId="0"/>
  </sheetViews>
  <sheetFormatPr baseColWidth="10" defaultColWidth="14.5" defaultRowHeight="15" customHeight="1" x14ac:dyDescent="0.2"/>
  <cols>
    <col min="1" max="1" width="25.5" customWidth="1"/>
    <col min="2" max="2" width="29" customWidth="1"/>
    <col min="3" max="3" width="30.5" customWidth="1"/>
    <col min="4" max="4" width="44" customWidth="1"/>
    <col min="5" max="5" width="26.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1309</v>
      </c>
      <c r="R1" s="28" t="s">
        <v>133</v>
      </c>
      <c r="S1" s="28" t="s">
        <v>134</v>
      </c>
      <c r="T1" s="31"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1310</v>
      </c>
      <c r="B2" s="183" t="s">
        <v>53</v>
      </c>
      <c r="C2" s="183" t="s">
        <v>139</v>
      </c>
      <c r="D2" s="179" t="s">
        <v>140</v>
      </c>
      <c r="E2" s="179" t="s">
        <v>140</v>
      </c>
      <c r="F2" s="179" t="s">
        <v>140</v>
      </c>
      <c r="G2" s="182">
        <v>1</v>
      </c>
      <c r="H2" s="182">
        <v>574</v>
      </c>
      <c r="I2" s="183" t="s">
        <v>142</v>
      </c>
      <c r="J2" s="178">
        <v>0.5</v>
      </c>
      <c r="K2" s="178">
        <v>1.5</v>
      </c>
      <c r="L2" s="178">
        <v>150</v>
      </c>
      <c r="M2" s="179" t="s">
        <v>1314</v>
      </c>
      <c r="N2" s="201">
        <f>L2*K2*J2*H2</f>
        <v>64575</v>
      </c>
      <c r="O2" s="186">
        <v>9672</v>
      </c>
      <c r="P2" s="183" t="s">
        <v>356</v>
      </c>
      <c r="Q2" s="175">
        <f>N2/O2</f>
        <v>6.6764888337468982</v>
      </c>
      <c r="R2" s="191">
        <v>4</v>
      </c>
      <c r="S2" s="14" t="s">
        <v>149</v>
      </c>
      <c r="T2" s="85" t="s">
        <v>150</v>
      </c>
      <c r="U2" s="85"/>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181"/>
      <c r="C3" s="181"/>
      <c r="D3" s="176"/>
      <c r="E3" s="176"/>
      <c r="F3" s="176"/>
      <c r="G3" s="181"/>
      <c r="H3" s="181"/>
      <c r="I3" s="181"/>
      <c r="J3" s="181"/>
      <c r="K3" s="181"/>
      <c r="L3" s="176"/>
      <c r="M3" s="176"/>
      <c r="N3" s="176"/>
      <c r="O3" s="181"/>
      <c r="P3" s="181"/>
      <c r="Q3" s="176"/>
      <c r="R3" s="176"/>
      <c r="S3" s="14" t="s">
        <v>401</v>
      </c>
      <c r="T3" s="85" t="s">
        <v>714</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76"/>
      <c r="C4" s="176"/>
      <c r="D4" s="41" t="s">
        <v>154</v>
      </c>
      <c r="E4" s="41" t="s">
        <v>155</v>
      </c>
      <c r="F4" s="41" t="s">
        <v>156</v>
      </c>
      <c r="G4" s="176"/>
      <c r="H4" s="176"/>
      <c r="I4" s="176"/>
      <c r="J4" s="176"/>
      <c r="K4" s="176"/>
      <c r="L4" s="41">
        <v>5.25</v>
      </c>
      <c r="M4" s="41" t="s">
        <v>1316</v>
      </c>
      <c r="N4" s="96">
        <f>L4*K2*J2*H2</f>
        <v>2260.125</v>
      </c>
      <c r="O4" s="181"/>
      <c r="P4" s="181"/>
      <c r="Q4" s="91">
        <f>N4/$O$2</f>
        <v>0.23367710918114143</v>
      </c>
      <c r="R4" s="71">
        <v>4</v>
      </c>
      <c r="S4" s="86" t="s">
        <v>240</v>
      </c>
      <c r="T4" s="44" t="s">
        <v>1318</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183" t="s">
        <v>164</v>
      </c>
      <c r="C5" s="183" t="s">
        <v>165</v>
      </c>
      <c r="D5" s="41" t="s">
        <v>140</v>
      </c>
      <c r="E5" s="41" t="s">
        <v>140</v>
      </c>
      <c r="F5" s="41" t="s">
        <v>140</v>
      </c>
      <c r="G5" s="182">
        <v>1</v>
      </c>
      <c r="H5" s="182">
        <v>9550</v>
      </c>
      <c r="I5" s="183" t="s">
        <v>166</v>
      </c>
      <c r="J5" s="178">
        <f>6/12</f>
        <v>0.5</v>
      </c>
      <c r="K5" s="179" t="s">
        <v>27</v>
      </c>
      <c r="L5" s="41">
        <v>150</v>
      </c>
      <c r="M5" s="41" t="s">
        <v>1320</v>
      </c>
      <c r="N5" s="96">
        <f>L5*J5*H5</f>
        <v>716250</v>
      </c>
      <c r="O5" s="181"/>
      <c r="P5" s="181"/>
      <c r="Q5" s="91">
        <f>N5/O2</f>
        <v>74.053970223325067</v>
      </c>
      <c r="R5" s="58">
        <v>4</v>
      </c>
      <c r="S5" s="14" t="s">
        <v>388</v>
      </c>
      <c r="T5" s="14"/>
    </row>
    <row r="6" spans="1:40" ht="14.25" customHeight="1" x14ac:dyDescent="0.2">
      <c r="A6" s="181"/>
      <c r="B6" s="176"/>
      <c r="C6" s="176"/>
      <c r="D6" s="41" t="s">
        <v>154</v>
      </c>
      <c r="E6" s="41" t="s">
        <v>155</v>
      </c>
      <c r="F6" s="41" t="s">
        <v>156</v>
      </c>
      <c r="G6" s="176"/>
      <c r="H6" s="176"/>
      <c r="I6" s="176"/>
      <c r="J6" s="176"/>
      <c r="K6" s="176"/>
      <c r="L6" s="41">
        <v>6</v>
      </c>
      <c r="M6" s="41" t="s">
        <v>1322</v>
      </c>
      <c r="N6" s="96">
        <f>L6*J5*H5</f>
        <v>28650</v>
      </c>
      <c r="O6" s="181"/>
      <c r="P6" s="181"/>
      <c r="Q6" s="91">
        <f>N6/O2</f>
        <v>2.9621588089330024</v>
      </c>
      <c r="R6" s="58">
        <v>4</v>
      </c>
      <c r="S6" s="14" t="s">
        <v>174</v>
      </c>
      <c r="T6" s="14" t="s">
        <v>175</v>
      </c>
    </row>
    <row r="7" spans="1:40" ht="16.5" customHeight="1" x14ac:dyDescent="0.2">
      <c r="A7" s="181"/>
      <c r="B7" s="184" t="s">
        <v>209</v>
      </c>
      <c r="C7" s="184" t="s">
        <v>680</v>
      </c>
      <c r="D7" s="179" t="s">
        <v>239</v>
      </c>
      <c r="E7" s="179" t="s">
        <v>92</v>
      </c>
      <c r="F7" s="179" t="s">
        <v>3</v>
      </c>
      <c r="G7" s="182">
        <v>1</v>
      </c>
      <c r="H7" s="182">
        <v>9850</v>
      </c>
      <c r="I7" s="183" t="s">
        <v>166</v>
      </c>
      <c r="J7" s="175">
        <v>3.6458333333333336E-2</v>
      </c>
      <c r="K7" s="179" t="s">
        <v>27</v>
      </c>
      <c r="L7" s="178">
        <v>1.44</v>
      </c>
      <c r="M7" s="179" t="s">
        <v>1324</v>
      </c>
      <c r="N7" s="180">
        <f>L7*H7</f>
        <v>14184</v>
      </c>
      <c r="O7" s="181"/>
      <c r="P7" s="181"/>
      <c r="Q7" s="175">
        <f>N7/O2</f>
        <v>1.466501240694789</v>
      </c>
      <c r="R7" s="177">
        <v>5</v>
      </c>
      <c r="S7" s="40" t="s">
        <v>365</v>
      </c>
      <c r="T7" s="14" t="s">
        <v>366</v>
      </c>
    </row>
    <row r="8" spans="1:40" ht="14.25" customHeight="1" x14ac:dyDescent="0.2">
      <c r="A8" s="181"/>
      <c r="B8" s="181"/>
      <c r="C8" s="181"/>
      <c r="D8" s="181"/>
      <c r="E8" s="181"/>
      <c r="F8" s="181"/>
      <c r="G8" s="181"/>
      <c r="H8" s="181"/>
      <c r="I8" s="181"/>
      <c r="J8" s="181"/>
      <c r="K8" s="181"/>
      <c r="L8" s="181"/>
      <c r="M8" s="181"/>
      <c r="N8" s="181"/>
      <c r="O8" s="181"/>
      <c r="P8" s="181"/>
      <c r="Q8" s="181"/>
      <c r="R8" s="181"/>
      <c r="S8" s="40" t="s">
        <v>370</v>
      </c>
      <c r="T8" s="14" t="s">
        <v>372</v>
      </c>
    </row>
    <row r="9" spans="1:40" ht="14.25" customHeight="1" x14ac:dyDescent="0.2">
      <c r="A9" s="181"/>
      <c r="B9" s="181"/>
      <c r="C9" s="181"/>
      <c r="D9" s="181"/>
      <c r="E9" s="181"/>
      <c r="F9" s="181"/>
      <c r="G9" s="181"/>
      <c r="H9" s="181"/>
      <c r="I9" s="181"/>
      <c r="J9" s="181"/>
      <c r="K9" s="181"/>
      <c r="L9" s="181"/>
      <c r="M9" s="181"/>
      <c r="N9" s="181"/>
      <c r="O9" s="181"/>
      <c r="P9" s="181"/>
      <c r="Q9" s="181"/>
      <c r="R9" s="181"/>
      <c r="S9" s="40" t="s">
        <v>685</v>
      </c>
      <c r="T9" s="14" t="s">
        <v>686</v>
      </c>
    </row>
    <row r="10" spans="1:40" ht="14.25" customHeight="1" x14ac:dyDescent="0.2">
      <c r="A10" s="181"/>
      <c r="B10" s="181"/>
      <c r="C10" s="181"/>
      <c r="D10" s="176"/>
      <c r="E10" s="176"/>
      <c r="F10" s="176"/>
      <c r="G10" s="176"/>
      <c r="H10" s="181"/>
      <c r="I10" s="181"/>
      <c r="J10" s="176"/>
      <c r="K10" s="176"/>
      <c r="L10" s="176"/>
      <c r="M10" s="176"/>
      <c r="N10" s="176"/>
      <c r="O10" s="181"/>
      <c r="P10" s="181"/>
      <c r="Q10" s="176"/>
      <c r="R10" s="176"/>
      <c r="S10" s="40" t="s">
        <v>687</v>
      </c>
      <c r="T10" s="14" t="s">
        <v>688</v>
      </c>
    </row>
    <row r="11" spans="1:40" ht="14.25" customHeight="1" x14ac:dyDescent="0.2">
      <c r="A11" s="181"/>
      <c r="B11" s="181"/>
      <c r="C11" s="181"/>
      <c r="D11" s="179" t="s">
        <v>689</v>
      </c>
      <c r="E11" s="179" t="s">
        <v>92</v>
      </c>
      <c r="F11" s="179" t="s">
        <v>4</v>
      </c>
      <c r="G11" s="178">
        <v>330</v>
      </c>
      <c r="H11" s="181"/>
      <c r="I11" s="181"/>
      <c r="J11" s="178" t="s">
        <v>854</v>
      </c>
      <c r="K11" s="179">
        <v>22.5</v>
      </c>
      <c r="L11" s="178">
        <v>3.0830000000000002</v>
      </c>
      <c r="M11" s="179" t="s">
        <v>693</v>
      </c>
      <c r="N11" s="180">
        <f>L11*K11*G11</f>
        <v>22891.275000000001</v>
      </c>
      <c r="O11" s="181"/>
      <c r="P11" s="181"/>
      <c r="Q11" s="175">
        <f>N11/O2</f>
        <v>2.3667571339950375</v>
      </c>
      <c r="R11" s="177">
        <v>3</v>
      </c>
      <c r="S11" s="14" t="s">
        <v>695</v>
      </c>
      <c r="T11" s="14" t="s">
        <v>696</v>
      </c>
    </row>
    <row r="12" spans="1:40" ht="14.25" customHeight="1" x14ac:dyDescent="0.2">
      <c r="A12" s="181"/>
      <c r="B12" s="181"/>
      <c r="C12" s="181"/>
      <c r="D12" s="181"/>
      <c r="E12" s="181"/>
      <c r="F12" s="181"/>
      <c r="G12" s="181"/>
      <c r="H12" s="181"/>
      <c r="I12" s="181"/>
      <c r="J12" s="181"/>
      <c r="K12" s="181"/>
      <c r="L12" s="181"/>
      <c r="M12" s="181"/>
      <c r="N12" s="181"/>
      <c r="O12" s="181"/>
      <c r="P12" s="181"/>
      <c r="Q12" s="181"/>
      <c r="R12" s="181"/>
      <c r="S12" s="40" t="s">
        <v>697</v>
      </c>
      <c r="T12" s="14" t="s">
        <v>698</v>
      </c>
    </row>
    <row r="13" spans="1:40" ht="14.25" customHeight="1" x14ac:dyDescent="0.2">
      <c r="A13" s="181"/>
      <c r="B13" s="181"/>
      <c r="C13" s="181"/>
      <c r="D13" s="176"/>
      <c r="E13" s="176"/>
      <c r="F13" s="176"/>
      <c r="G13" s="176"/>
      <c r="H13" s="181"/>
      <c r="I13" s="181"/>
      <c r="J13" s="176"/>
      <c r="K13" s="176"/>
      <c r="L13" s="176"/>
      <c r="M13" s="176"/>
      <c r="N13" s="176"/>
      <c r="O13" s="181"/>
      <c r="P13" s="181"/>
      <c r="Q13" s="176"/>
      <c r="R13" s="176"/>
      <c r="S13" s="14" t="s">
        <v>368</v>
      </c>
      <c r="T13" s="14" t="s">
        <v>369</v>
      </c>
    </row>
    <row r="14" spans="1:40" ht="14.25" customHeight="1" x14ac:dyDescent="0.2">
      <c r="A14" s="181"/>
      <c r="B14" s="181"/>
      <c r="C14" s="181"/>
      <c r="D14" s="50" t="s">
        <v>700</v>
      </c>
      <c r="E14" s="50" t="s">
        <v>92</v>
      </c>
      <c r="F14" s="50" t="s">
        <v>4</v>
      </c>
      <c r="G14" s="53">
        <v>330</v>
      </c>
      <c r="H14" s="181"/>
      <c r="I14" s="181"/>
      <c r="J14" s="35" t="s">
        <v>186</v>
      </c>
      <c r="K14" s="34">
        <v>22.5</v>
      </c>
      <c r="L14" s="35">
        <v>2.42</v>
      </c>
      <c r="M14" s="34" t="s">
        <v>693</v>
      </c>
      <c r="N14" s="47">
        <f t="shared" ref="N14:N16" si="0">L14*K14*G14</f>
        <v>17968.5</v>
      </c>
      <c r="O14" s="181"/>
      <c r="P14" s="181"/>
      <c r="Q14" s="36">
        <f t="shared" ref="Q14:Q16" si="1">N14/$O$2</f>
        <v>1.8577853598014888</v>
      </c>
      <c r="R14" s="58">
        <v>3</v>
      </c>
      <c r="S14" s="14" t="s">
        <v>695</v>
      </c>
      <c r="T14" s="14" t="s">
        <v>1327</v>
      </c>
    </row>
    <row r="15" spans="1:40" ht="14.25" customHeight="1" x14ac:dyDescent="0.2">
      <c r="A15" s="181"/>
      <c r="B15" s="181"/>
      <c r="C15" s="181"/>
      <c r="D15" s="50" t="s">
        <v>911</v>
      </c>
      <c r="E15" s="50" t="s">
        <v>92</v>
      </c>
      <c r="F15" s="50" t="s">
        <v>4</v>
      </c>
      <c r="G15" s="53">
        <v>165</v>
      </c>
      <c r="H15" s="181"/>
      <c r="I15" s="181"/>
      <c r="J15" s="35" t="s">
        <v>706</v>
      </c>
      <c r="K15" s="34">
        <v>14</v>
      </c>
      <c r="L15" s="35">
        <v>1.833</v>
      </c>
      <c r="M15" s="34" t="s">
        <v>693</v>
      </c>
      <c r="N15" s="47">
        <f t="shared" si="0"/>
        <v>4234.2299999999996</v>
      </c>
      <c r="O15" s="181"/>
      <c r="P15" s="181"/>
      <c r="Q15" s="36">
        <f t="shared" si="1"/>
        <v>0.43778225806451609</v>
      </c>
      <c r="R15" s="58">
        <v>1</v>
      </c>
      <c r="S15" s="14" t="s">
        <v>181</v>
      </c>
      <c r="T15" s="14" t="s">
        <v>1329</v>
      </c>
    </row>
    <row r="16" spans="1:40" ht="14.25" customHeight="1" x14ac:dyDescent="0.2">
      <c r="A16" s="181"/>
      <c r="B16" s="176"/>
      <c r="C16" s="176"/>
      <c r="D16" s="50" t="s">
        <v>705</v>
      </c>
      <c r="E16" s="50" t="s">
        <v>92</v>
      </c>
      <c r="F16" s="50" t="s">
        <v>4</v>
      </c>
      <c r="G16" s="53">
        <v>430</v>
      </c>
      <c r="H16" s="176"/>
      <c r="I16" s="176"/>
      <c r="J16" s="35" t="s">
        <v>706</v>
      </c>
      <c r="K16" s="34">
        <v>14</v>
      </c>
      <c r="L16" s="35">
        <v>1.833</v>
      </c>
      <c r="M16" s="34" t="s">
        <v>693</v>
      </c>
      <c r="N16" s="47">
        <f t="shared" si="0"/>
        <v>11034.66</v>
      </c>
      <c r="O16" s="181"/>
      <c r="P16" s="181"/>
      <c r="Q16" s="36">
        <f t="shared" si="1"/>
        <v>1.1408870967741935</v>
      </c>
      <c r="R16" s="58">
        <v>3</v>
      </c>
      <c r="S16" s="40" t="s">
        <v>708</v>
      </c>
      <c r="T16" s="14" t="s">
        <v>1331</v>
      </c>
    </row>
    <row r="17" spans="1:38" ht="16.5" customHeight="1" x14ac:dyDescent="0.2">
      <c r="A17" s="181"/>
      <c r="B17" s="183" t="s">
        <v>710</v>
      </c>
      <c r="C17" s="183" t="s">
        <v>711</v>
      </c>
      <c r="D17" s="179" t="s">
        <v>6</v>
      </c>
      <c r="E17" s="179" t="s">
        <v>712</v>
      </c>
      <c r="F17" s="179" t="s">
        <v>6</v>
      </c>
      <c r="G17" s="182">
        <v>1</v>
      </c>
      <c r="H17" s="182">
        <v>5200</v>
      </c>
      <c r="I17" s="183" t="s">
        <v>166</v>
      </c>
      <c r="J17" s="175">
        <f>1/12</f>
        <v>8.3333333333333329E-2</v>
      </c>
      <c r="K17" s="179" t="s">
        <v>27</v>
      </c>
      <c r="L17" s="178">
        <v>11</v>
      </c>
      <c r="M17" s="179" t="s">
        <v>1333</v>
      </c>
      <c r="N17" s="180">
        <f>H17*L17</f>
        <v>57200</v>
      </c>
      <c r="O17" s="181"/>
      <c r="P17" s="181"/>
      <c r="Q17" s="175">
        <f>N17/O2</f>
        <v>5.913978494623656</v>
      </c>
      <c r="R17" s="177">
        <v>5</v>
      </c>
      <c r="S17" s="14" t="s">
        <v>716</v>
      </c>
      <c r="T17" s="14" t="s">
        <v>717</v>
      </c>
    </row>
    <row r="18" spans="1:38" ht="15" customHeight="1" x14ac:dyDescent="0.2">
      <c r="A18" s="181"/>
      <c r="B18" s="181"/>
      <c r="C18" s="181"/>
      <c r="D18" s="176"/>
      <c r="E18" s="176"/>
      <c r="F18" s="176"/>
      <c r="G18" s="181"/>
      <c r="H18" s="181"/>
      <c r="I18" s="181"/>
      <c r="J18" s="176"/>
      <c r="K18" s="176"/>
      <c r="L18" s="176"/>
      <c r="M18" s="176"/>
      <c r="N18" s="176"/>
      <c r="O18" s="181"/>
      <c r="P18" s="181"/>
      <c r="Q18" s="176"/>
      <c r="R18" s="176"/>
      <c r="S18" s="14" t="s">
        <v>718</v>
      </c>
      <c r="T18" s="61" t="s">
        <v>720</v>
      </c>
      <c r="U18" s="63"/>
      <c r="V18" s="63"/>
      <c r="W18" s="63"/>
      <c r="X18" s="63"/>
      <c r="Y18" s="63"/>
      <c r="Z18" s="63"/>
      <c r="AA18" s="63"/>
      <c r="AB18" s="63"/>
      <c r="AC18" s="63"/>
      <c r="AD18" s="63"/>
      <c r="AE18" s="63"/>
      <c r="AF18" s="63"/>
      <c r="AG18" s="63"/>
      <c r="AH18" s="63"/>
      <c r="AI18" s="63"/>
      <c r="AJ18" s="63"/>
      <c r="AK18" s="63"/>
      <c r="AL18" s="63"/>
    </row>
    <row r="19" spans="1:38" ht="14.25" customHeight="1" x14ac:dyDescent="0.2">
      <c r="A19" s="181"/>
      <c r="B19" s="181"/>
      <c r="C19" s="181"/>
      <c r="D19" s="41" t="s">
        <v>643</v>
      </c>
      <c r="E19" s="41" t="s">
        <v>279</v>
      </c>
      <c r="F19" s="41" t="s">
        <v>644</v>
      </c>
      <c r="G19" s="181"/>
      <c r="H19" s="181"/>
      <c r="I19" s="181"/>
      <c r="J19" s="51" t="s">
        <v>27</v>
      </c>
      <c r="K19" s="50" t="s">
        <v>27</v>
      </c>
      <c r="L19" s="41">
        <f>15/100</f>
        <v>0.15</v>
      </c>
      <c r="M19" s="41" t="s">
        <v>1335</v>
      </c>
      <c r="N19" s="96">
        <f>L19*H17</f>
        <v>780</v>
      </c>
      <c r="O19" s="181"/>
      <c r="P19" s="181"/>
      <c r="Q19" s="91">
        <f>N19/O2</f>
        <v>8.0645161290322578E-2</v>
      </c>
      <c r="R19" s="58">
        <v>3</v>
      </c>
      <c r="S19" s="14" t="s">
        <v>283</v>
      </c>
      <c r="T19" s="14" t="s">
        <v>284</v>
      </c>
      <c r="U19" s="14"/>
      <c r="V19" s="14"/>
      <c r="W19" s="14"/>
      <c r="X19" s="14"/>
      <c r="Y19" s="14"/>
      <c r="Z19" s="14"/>
      <c r="AA19" s="14"/>
      <c r="AB19" s="14"/>
      <c r="AC19" s="14"/>
      <c r="AD19" s="14"/>
      <c r="AE19" s="14"/>
      <c r="AF19" s="14"/>
      <c r="AG19" s="14"/>
    </row>
    <row r="20" spans="1:38" ht="14.25" customHeight="1" x14ac:dyDescent="0.2">
      <c r="A20" s="181"/>
      <c r="B20" s="181"/>
      <c r="C20" s="181"/>
      <c r="D20" s="179" t="s">
        <v>726</v>
      </c>
      <c r="E20" s="179" t="s">
        <v>294</v>
      </c>
      <c r="F20" s="179" t="s">
        <v>12</v>
      </c>
      <c r="G20" s="181"/>
      <c r="H20" s="181"/>
      <c r="I20" s="181"/>
      <c r="J20" s="175">
        <f>0.5/12</f>
        <v>4.1666666666666664E-2</v>
      </c>
      <c r="K20" s="179" t="s">
        <v>27</v>
      </c>
      <c r="L20" s="178">
        <v>1.9</v>
      </c>
      <c r="M20" s="179" t="s">
        <v>1338</v>
      </c>
      <c r="N20" s="180">
        <f>L20*H17</f>
        <v>9880</v>
      </c>
      <c r="O20" s="181"/>
      <c r="P20" s="181"/>
      <c r="Q20" s="175">
        <f>N20/O2</f>
        <v>1.021505376344086</v>
      </c>
      <c r="R20" s="177">
        <v>3</v>
      </c>
      <c r="S20" s="14" t="s">
        <v>731</v>
      </c>
      <c r="T20" s="14" t="s">
        <v>732</v>
      </c>
      <c r="U20" s="14"/>
      <c r="V20" s="14"/>
      <c r="W20" s="14"/>
      <c r="X20" s="14"/>
      <c r="Y20" s="14"/>
      <c r="Z20" s="14"/>
      <c r="AA20" s="14"/>
      <c r="AB20" s="14"/>
      <c r="AC20" s="14"/>
      <c r="AD20" s="14"/>
      <c r="AE20" s="14"/>
      <c r="AF20" s="14"/>
      <c r="AG20" s="14"/>
    </row>
    <row r="21" spans="1:38" ht="14.25" customHeight="1" x14ac:dyDescent="0.2">
      <c r="A21" s="181"/>
      <c r="B21" s="181"/>
      <c r="C21" s="181"/>
      <c r="D21" s="181"/>
      <c r="E21" s="181"/>
      <c r="F21" s="181"/>
      <c r="G21" s="181"/>
      <c r="H21" s="181"/>
      <c r="I21" s="181"/>
      <c r="J21" s="181"/>
      <c r="K21" s="181"/>
      <c r="L21" s="181"/>
      <c r="M21" s="181"/>
      <c r="N21" s="181"/>
      <c r="O21" s="181"/>
      <c r="P21" s="181"/>
      <c r="Q21" s="181"/>
      <c r="R21" s="181"/>
      <c r="S21" s="14" t="s">
        <v>734</v>
      </c>
      <c r="T21" s="14" t="s">
        <v>735</v>
      </c>
      <c r="U21" s="14"/>
      <c r="V21" s="14"/>
      <c r="W21" s="14"/>
      <c r="X21" s="14"/>
      <c r="Y21" s="14"/>
      <c r="Z21" s="14"/>
      <c r="AA21" s="14"/>
      <c r="AB21" s="14"/>
      <c r="AC21" s="14"/>
      <c r="AD21" s="14"/>
      <c r="AE21" s="14"/>
      <c r="AF21" s="14"/>
      <c r="AG21" s="14"/>
    </row>
    <row r="22" spans="1:38" ht="14.25" customHeight="1" x14ac:dyDescent="0.2">
      <c r="A22" s="181"/>
      <c r="B22" s="176"/>
      <c r="C22" s="176"/>
      <c r="D22" s="176"/>
      <c r="E22" s="176"/>
      <c r="F22" s="176"/>
      <c r="G22" s="176"/>
      <c r="H22" s="176"/>
      <c r="I22" s="176"/>
      <c r="J22" s="176"/>
      <c r="K22" s="176"/>
      <c r="L22" s="176"/>
      <c r="M22" s="176"/>
      <c r="N22" s="176"/>
      <c r="O22" s="181"/>
      <c r="P22" s="181"/>
      <c r="Q22" s="176"/>
      <c r="R22" s="176"/>
      <c r="S22" s="14" t="s">
        <v>181</v>
      </c>
      <c r="T22" s="14" t="s">
        <v>739</v>
      </c>
      <c r="U22" s="14"/>
      <c r="V22" s="14"/>
      <c r="W22" s="14"/>
      <c r="X22" s="14"/>
      <c r="Y22" s="14"/>
      <c r="Z22" s="14"/>
      <c r="AA22" s="14"/>
      <c r="AB22" s="14"/>
      <c r="AC22" s="14"/>
      <c r="AD22" s="14"/>
      <c r="AE22" s="14"/>
      <c r="AF22" s="14"/>
      <c r="AG22" s="14"/>
    </row>
    <row r="23" spans="1:38" ht="14.25" customHeight="1" x14ac:dyDescent="0.2">
      <c r="A23" s="181"/>
      <c r="B23" s="183" t="s">
        <v>251</v>
      </c>
      <c r="C23" s="184" t="s">
        <v>1341</v>
      </c>
      <c r="D23" s="179" t="s">
        <v>929</v>
      </c>
      <c r="E23" s="179" t="s">
        <v>929</v>
      </c>
      <c r="F23" s="179" t="s">
        <v>21</v>
      </c>
      <c r="G23" s="179">
        <v>6750</v>
      </c>
      <c r="H23" s="183">
        <v>1000</v>
      </c>
      <c r="I23" s="183" t="s">
        <v>166</v>
      </c>
      <c r="J23" s="175" t="s">
        <v>27</v>
      </c>
      <c r="K23" s="179" t="s">
        <v>27</v>
      </c>
      <c r="L23" s="179">
        <v>4.8</v>
      </c>
      <c r="M23" s="179" t="s">
        <v>1343</v>
      </c>
      <c r="N23" s="195">
        <f>L23*G23</f>
        <v>32400</v>
      </c>
      <c r="O23" s="181"/>
      <c r="P23" s="181"/>
      <c r="Q23" s="175">
        <f>N23/$O$2</f>
        <v>3.3498759305210917</v>
      </c>
      <c r="R23" s="177">
        <v>4</v>
      </c>
      <c r="S23" s="14" t="s">
        <v>938</v>
      </c>
      <c r="T23" s="14" t="s">
        <v>939</v>
      </c>
      <c r="U23" s="14"/>
      <c r="V23" s="14"/>
      <c r="W23" s="14"/>
      <c r="X23" s="14"/>
      <c r="Y23" s="14"/>
      <c r="Z23" s="14"/>
      <c r="AA23" s="14"/>
      <c r="AB23" s="14"/>
      <c r="AC23" s="14"/>
      <c r="AD23" s="14"/>
      <c r="AE23" s="14"/>
      <c r="AF23" s="14"/>
      <c r="AG23" s="14"/>
    </row>
    <row r="24" spans="1:38" ht="14.25" customHeight="1" x14ac:dyDescent="0.2">
      <c r="A24" s="181"/>
      <c r="B24" s="181"/>
      <c r="C24" s="181"/>
      <c r="D24" s="181"/>
      <c r="E24" s="181"/>
      <c r="F24" s="181"/>
      <c r="G24" s="181"/>
      <c r="H24" s="181"/>
      <c r="I24" s="181"/>
      <c r="J24" s="181"/>
      <c r="K24" s="181"/>
      <c r="L24" s="181"/>
      <c r="M24" s="181"/>
      <c r="N24" s="181"/>
      <c r="O24" s="181"/>
      <c r="P24" s="181"/>
      <c r="Q24" s="181"/>
      <c r="R24" s="181"/>
      <c r="S24" s="14" t="s">
        <v>940</v>
      </c>
      <c r="T24" s="61" t="s">
        <v>941</v>
      </c>
      <c r="U24" s="14"/>
      <c r="V24" s="14"/>
      <c r="W24" s="14"/>
      <c r="X24" s="14"/>
      <c r="Y24" s="14"/>
      <c r="Z24" s="14"/>
      <c r="AA24" s="14"/>
      <c r="AB24" s="14"/>
      <c r="AC24" s="14"/>
      <c r="AD24" s="14"/>
      <c r="AE24" s="14"/>
      <c r="AF24" s="14"/>
      <c r="AG24" s="14"/>
    </row>
    <row r="25" spans="1:38" ht="14.25" customHeight="1" x14ac:dyDescent="0.2">
      <c r="A25" s="181"/>
      <c r="B25" s="181"/>
      <c r="C25" s="181"/>
      <c r="D25" s="181"/>
      <c r="E25" s="181"/>
      <c r="F25" s="181"/>
      <c r="G25" s="181"/>
      <c r="H25" s="181"/>
      <c r="I25" s="181"/>
      <c r="J25" s="181"/>
      <c r="K25" s="181"/>
      <c r="L25" s="181"/>
      <c r="M25" s="181"/>
      <c r="N25" s="181"/>
      <c r="O25" s="181"/>
      <c r="P25" s="181"/>
      <c r="Q25" s="181"/>
      <c r="R25" s="181"/>
      <c r="S25" s="40" t="s">
        <v>1345</v>
      </c>
      <c r="T25" s="137" t="s">
        <v>1346</v>
      </c>
      <c r="U25" s="14"/>
      <c r="V25" s="14"/>
      <c r="W25" s="14"/>
      <c r="X25" s="14"/>
      <c r="Y25" s="14"/>
      <c r="Z25" s="14"/>
      <c r="AA25" s="14"/>
      <c r="AB25" s="14"/>
      <c r="AC25" s="14"/>
      <c r="AD25" s="14"/>
      <c r="AE25" s="14"/>
      <c r="AF25" s="14"/>
      <c r="AG25" s="14"/>
    </row>
    <row r="26" spans="1:38" ht="14.25" customHeight="1" x14ac:dyDescent="0.2">
      <c r="A26" s="181"/>
      <c r="B26" s="181"/>
      <c r="C26" s="181"/>
      <c r="D26" s="181"/>
      <c r="E26" s="181"/>
      <c r="F26" s="181"/>
      <c r="G26" s="181"/>
      <c r="H26" s="181"/>
      <c r="I26" s="181"/>
      <c r="J26" s="181"/>
      <c r="K26" s="181"/>
      <c r="L26" s="181"/>
      <c r="M26" s="181"/>
      <c r="N26" s="181"/>
      <c r="O26" s="181"/>
      <c r="P26" s="181"/>
      <c r="Q26" s="181"/>
      <c r="R26" s="181"/>
      <c r="S26" s="14" t="s">
        <v>1347</v>
      </c>
      <c r="T26" s="14" t="s">
        <v>1348</v>
      </c>
      <c r="U26" s="14"/>
      <c r="V26" s="14"/>
      <c r="W26" s="14"/>
      <c r="X26" s="14"/>
      <c r="Y26" s="14"/>
      <c r="Z26" s="14"/>
      <c r="AA26" s="14"/>
      <c r="AB26" s="14"/>
      <c r="AC26" s="14"/>
      <c r="AD26" s="14"/>
      <c r="AE26" s="14"/>
      <c r="AF26" s="14"/>
      <c r="AG26" s="14"/>
    </row>
    <row r="27" spans="1:38" ht="14.25" customHeight="1" x14ac:dyDescent="0.2">
      <c r="A27" s="181"/>
      <c r="B27" s="181"/>
      <c r="C27" s="181"/>
      <c r="D27" s="181"/>
      <c r="E27" s="181"/>
      <c r="F27" s="181"/>
      <c r="G27" s="181"/>
      <c r="H27" s="181"/>
      <c r="I27" s="181"/>
      <c r="J27" s="181"/>
      <c r="K27" s="181"/>
      <c r="L27" s="181"/>
      <c r="M27" s="181"/>
      <c r="N27" s="181"/>
      <c r="O27" s="181"/>
      <c r="P27" s="181"/>
      <c r="Q27" s="181"/>
      <c r="R27" s="181"/>
      <c r="S27" s="40" t="s">
        <v>945</v>
      </c>
      <c r="T27" s="137" t="s">
        <v>949</v>
      </c>
      <c r="U27" s="14"/>
      <c r="V27" s="14"/>
      <c r="W27" s="14"/>
      <c r="X27" s="14"/>
      <c r="Y27" s="14"/>
      <c r="Z27" s="14"/>
      <c r="AA27" s="14"/>
      <c r="AB27" s="14"/>
      <c r="AC27" s="14"/>
      <c r="AD27" s="14"/>
      <c r="AE27" s="14"/>
      <c r="AF27" s="14"/>
      <c r="AG27" s="14"/>
    </row>
    <row r="28" spans="1:38" ht="14.25" customHeight="1" x14ac:dyDescent="0.2">
      <c r="A28" s="181"/>
      <c r="B28" s="181"/>
      <c r="C28" s="181"/>
      <c r="D28" s="176"/>
      <c r="E28" s="176"/>
      <c r="F28" s="176"/>
      <c r="G28" s="176"/>
      <c r="H28" s="181"/>
      <c r="I28" s="181"/>
      <c r="J28" s="176"/>
      <c r="K28" s="176"/>
      <c r="L28" s="176"/>
      <c r="M28" s="176"/>
      <c r="N28" s="176"/>
      <c r="O28" s="181"/>
      <c r="P28" s="181"/>
      <c r="Q28" s="176"/>
      <c r="R28" s="176"/>
      <c r="S28" s="14" t="s">
        <v>954</v>
      </c>
      <c r="T28" s="14" t="s">
        <v>955</v>
      </c>
      <c r="U28" s="14"/>
      <c r="V28" s="14"/>
      <c r="W28" s="14"/>
      <c r="X28" s="14"/>
      <c r="Y28" s="14"/>
      <c r="Z28" s="14"/>
      <c r="AA28" s="14"/>
      <c r="AB28" s="14"/>
      <c r="AC28" s="14"/>
      <c r="AD28" s="14"/>
      <c r="AE28" s="14"/>
      <c r="AF28" s="14"/>
      <c r="AG28" s="14"/>
    </row>
    <row r="29" spans="1:38" ht="14.25" customHeight="1" x14ac:dyDescent="0.2">
      <c r="A29" s="181"/>
      <c r="B29" s="181"/>
      <c r="C29" s="181"/>
      <c r="D29" s="179" t="s">
        <v>958</v>
      </c>
      <c r="E29" s="179" t="s">
        <v>958</v>
      </c>
      <c r="F29" s="179" t="s">
        <v>22</v>
      </c>
      <c r="G29" s="178" t="s">
        <v>27</v>
      </c>
      <c r="H29" s="181"/>
      <c r="I29" s="181"/>
      <c r="J29" s="179">
        <v>0.33333333333333331</v>
      </c>
      <c r="K29" s="179">
        <v>3.125E-2</v>
      </c>
      <c r="L29" s="179">
        <v>0.64</v>
      </c>
      <c r="M29" s="179" t="s">
        <v>935</v>
      </c>
      <c r="N29" s="195">
        <f>L29*G23</f>
        <v>4320</v>
      </c>
      <c r="O29" s="181"/>
      <c r="P29" s="181"/>
      <c r="Q29" s="175">
        <f>N29/$O$2</f>
        <v>0.4466501240694789</v>
      </c>
      <c r="R29" s="177">
        <v>2</v>
      </c>
      <c r="S29" s="14" t="s">
        <v>966</v>
      </c>
      <c r="T29" s="14" t="s">
        <v>968</v>
      </c>
      <c r="U29" s="14"/>
      <c r="V29" s="14"/>
      <c r="W29" s="14"/>
      <c r="X29" s="14"/>
      <c r="Y29" s="14"/>
      <c r="Z29" s="14"/>
      <c r="AA29" s="14"/>
      <c r="AB29" s="14"/>
      <c r="AC29" s="14"/>
      <c r="AD29" s="14"/>
      <c r="AE29" s="14"/>
      <c r="AF29" s="14"/>
      <c r="AG29" s="14"/>
    </row>
    <row r="30" spans="1:38" ht="14.25" customHeight="1" x14ac:dyDescent="0.2">
      <c r="A30" s="181"/>
      <c r="B30" s="181"/>
      <c r="C30" s="181"/>
      <c r="D30" s="181"/>
      <c r="E30" s="181"/>
      <c r="F30" s="181"/>
      <c r="G30" s="181"/>
      <c r="H30" s="181"/>
      <c r="I30" s="181"/>
      <c r="J30" s="181"/>
      <c r="K30" s="181"/>
      <c r="L30" s="181"/>
      <c r="M30" s="181"/>
      <c r="N30" s="181"/>
      <c r="O30" s="181"/>
      <c r="P30" s="181"/>
      <c r="Q30" s="181"/>
      <c r="R30" s="181"/>
      <c r="S30" s="40" t="s">
        <v>974</v>
      </c>
      <c r="T30" s="14" t="s">
        <v>975</v>
      </c>
      <c r="U30" s="14"/>
      <c r="V30" s="14"/>
      <c r="W30" s="14"/>
      <c r="X30" s="14"/>
      <c r="Y30" s="14"/>
      <c r="Z30" s="14"/>
      <c r="AA30" s="14"/>
      <c r="AB30" s="14"/>
      <c r="AC30" s="14"/>
      <c r="AD30" s="14"/>
      <c r="AE30" s="14"/>
      <c r="AF30" s="14"/>
      <c r="AG30" s="14"/>
    </row>
    <row r="31" spans="1:38" ht="14.25" customHeight="1" x14ac:dyDescent="0.2">
      <c r="A31" s="181"/>
      <c r="B31" s="181"/>
      <c r="C31" s="181"/>
      <c r="D31" s="181"/>
      <c r="E31" s="181"/>
      <c r="F31" s="181"/>
      <c r="G31" s="181"/>
      <c r="H31" s="181"/>
      <c r="I31" s="181"/>
      <c r="J31" s="181"/>
      <c r="K31" s="181"/>
      <c r="L31" s="181"/>
      <c r="M31" s="181"/>
      <c r="N31" s="181"/>
      <c r="O31" s="181"/>
      <c r="P31" s="181"/>
      <c r="Q31" s="181"/>
      <c r="R31" s="181"/>
      <c r="S31" s="14" t="s">
        <v>979</v>
      </c>
      <c r="T31" s="14" t="s">
        <v>980</v>
      </c>
      <c r="U31" s="14"/>
      <c r="V31" s="14"/>
      <c r="W31" s="14"/>
      <c r="X31" s="14"/>
      <c r="Y31" s="14"/>
      <c r="Z31" s="14"/>
      <c r="AA31" s="14"/>
      <c r="AB31" s="14"/>
      <c r="AC31" s="14"/>
      <c r="AD31" s="14"/>
      <c r="AE31" s="14"/>
      <c r="AF31" s="14"/>
      <c r="AG31" s="14"/>
    </row>
    <row r="32" spans="1:38" ht="14.25" customHeight="1" x14ac:dyDescent="0.2">
      <c r="A32" s="181"/>
      <c r="B32" s="181"/>
      <c r="C32" s="181"/>
      <c r="D32" s="181"/>
      <c r="E32" s="181"/>
      <c r="F32" s="181"/>
      <c r="G32" s="181"/>
      <c r="H32" s="181"/>
      <c r="I32" s="181"/>
      <c r="J32" s="181"/>
      <c r="K32" s="181"/>
      <c r="L32" s="181"/>
      <c r="M32" s="181"/>
      <c r="N32" s="181"/>
      <c r="O32" s="181"/>
      <c r="P32" s="181"/>
      <c r="Q32" s="181"/>
      <c r="R32" s="181"/>
      <c r="S32" s="14" t="s">
        <v>181</v>
      </c>
      <c r="T32" s="14" t="s">
        <v>1356</v>
      </c>
      <c r="U32" s="14"/>
      <c r="V32" s="14"/>
      <c r="W32" s="14"/>
      <c r="X32" s="14"/>
      <c r="Y32" s="14"/>
      <c r="Z32" s="14"/>
      <c r="AA32" s="14"/>
      <c r="AB32" s="14"/>
      <c r="AC32" s="14"/>
      <c r="AD32" s="14"/>
      <c r="AE32" s="14"/>
      <c r="AF32" s="14"/>
      <c r="AG32" s="14"/>
    </row>
    <row r="33" spans="1:33" ht="14.25" customHeight="1" x14ac:dyDescent="0.2">
      <c r="A33" s="181"/>
      <c r="B33" s="181"/>
      <c r="C33" s="181"/>
      <c r="D33" s="181"/>
      <c r="E33" s="181"/>
      <c r="F33" s="181"/>
      <c r="G33" s="181"/>
      <c r="H33" s="181"/>
      <c r="I33" s="181"/>
      <c r="J33" s="181"/>
      <c r="K33" s="181"/>
      <c r="L33" s="181"/>
      <c r="M33" s="181"/>
      <c r="N33" s="181"/>
      <c r="O33" s="181"/>
      <c r="P33" s="181"/>
      <c r="Q33" s="181"/>
      <c r="R33" s="181"/>
      <c r="S33" s="14" t="s">
        <v>981</v>
      </c>
      <c r="T33" s="14" t="s">
        <v>982</v>
      </c>
      <c r="U33" s="14"/>
      <c r="V33" s="14"/>
      <c r="W33" s="14"/>
      <c r="X33" s="14"/>
      <c r="Y33" s="14"/>
      <c r="Z33" s="14"/>
      <c r="AA33" s="14"/>
      <c r="AB33" s="14"/>
      <c r="AC33" s="14"/>
      <c r="AD33" s="14"/>
      <c r="AE33" s="14"/>
      <c r="AF33" s="14"/>
      <c r="AG33" s="14"/>
    </row>
    <row r="34" spans="1:33" ht="14.25" customHeight="1" x14ac:dyDescent="0.2">
      <c r="A34" s="181"/>
      <c r="B34" s="176"/>
      <c r="C34" s="176"/>
      <c r="D34" s="176"/>
      <c r="E34" s="176"/>
      <c r="F34" s="176"/>
      <c r="G34" s="176"/>
      <c r="H34" s="176"/>
      <c r="I34" s="176"/>
      <c r="J34" s="176"/>
      <c r="K34" s="176"/>
      <c r="L34" s="176"/>
      <c r="M34" s="176"/>
      <c r="N34" s="176"/>
      <c r="O34" s="181"/>
      <c r="P34" s="181"/>
      <c r="Q34" s="176"/>
      <c r="R34" s="176"/>
      <c r="S34" s="40" t="s">
        <v>984</v>
      </c>
      <c r="T34" s="14" t="s">
        <v>985</v>
      </c>
      <c r="U34" s="14"/>
      <c r="V34" s="14"/>
      <c r="W34" s="14"/>
      <c r="X34" s="14"/>
      <c r="Y34" s="14"/>
      <c r="Z34" s="14"/>
      <c r="AA34" s="14"/>
      <c r="AB34" s="14"/>
      <c r="AC34" s="14"/>
      <c r="AD34" s="14"/>
      <c r="AE34" s="14"/>
      <c r="AF34" s="14"/>
      <c r="AG34" s="14"/>
    </row>
    <row r="35" spans="1:33" ht="16.5" customHeight="1" x14ac:dyDescent="0.2">
      <c r="A35" s="181"/>
      <c r="B35" s="184" t="s">
        <v>741</v>
      </c>
      <c r="C35" s="183" t="s">
        <v>662</v>
      </c>
      <c r="D35" s="179" t="s">
        <v>742</v>
      </c>
      <c r="E35" s="179" t="s">
        <v>88</v>
      </c>
      <c r="F35" s="179" t="s">
        <v>88</v>
      </c>
      <c r="G35" s="178">
        <v>45</v>
      </c>
      <c r="H35" s="178">
        <v>24</v>
      </c>
      <c r="I35" s="183" t="s">
        <v>166</v>
      </c>
      <c r="J35" s="175">
        <f>0.07/12</f>
        <v>5.8333333333333336E-3</v>
      </c>
      <c r="K35" s="179" t="s">
        <v>27</v>
      </c>
      <c r="L35" s="178">
        <v>1</v>
      </c>
      <c r="M35" s="179" t="s">
        <v>1364</v>
      </c>
      <c r="N35" s="180">
        <f>L35*H35*G35</f>
        <v>1080</v>
      </c>
      <c r="O35" s="181"/>
      <c r="P35" s="181"/>
      <c r="Q35" s="175">
        <f>N35/O2</f>
        <v>0.11166253101736973</v>
      </c>
      <c r="R35" s="177">
        <v>1</v>
      </c>
      <c r="S35" s="40" t="s">
        <v>667</v>
      </c>
      <c r="T35" s="14" t="s">
        <v>668</v>
      </c>
      <c r="U35" s="14"/>
      <c r="V35" s="14"/>
      <c r="W35" s="14"/>
      <c r="X35" s="14"/>
      <c r="Y35" s="14"/>
      <c r="Z35" s="14"/>
      <c r="AA35" s="14"/>
      <c r="AB35" s="14"/>
      <c r="AC35" s="14"/>
      <c r="AD35" s="14"/>
      <c r="AE35" s="14"/>
      <c r="AF35" s="14"/>
      <c r="AG35" s="14"/>
    </row>
    <row r="36" spans="1:33" ht="14.25" customHeight="1" x14ac:dyDescent="0.2">
      <c r="A36" s="181"/>
      <c r="B36" s="181"/>
      <c r="C36" s="181"/>
      <c r="D36" s="181"/>
      <c r="E36" s="181"/>
      <c r="F36" s="181"/>
      <c r="G36" s="181"/>
      <c r="H36" s="181"/>
      <c r="I36" s="181"/>
      <c r="J36" s="181"/>
      <c r="K36" s="181"/>
      <c r="L36" s="181"/>
      <c r="M36" s="181"/>
      <c r="N36" s="181"/>
      <c r="O36" s="181"/>
      <c r="P36" s="181"/>
      <c r="Q36" s="181"/>
      <c r="R36" s="181"/>
      <c r="S36" s="14" t="s">
        <v>669</v>
      </c>
      <c r="T36" s="14" t="s">
        <v>670</v>
      </c>
      <c r="U36" s="14"/>
      <c r="V36" s="14"/>
      <c r="W36" s="14"/>
      <c r="X36" s="14"/>
      <c r="Y36" s="14"/>
      <c r="Z36" s="14"/>
      <c r="AA36" s="14"/>
      <c r="AB36" s="14"/>
      <c r="AC36" s="14"/>
      <c r="AD36" s="14"/>
      <c r="AE36" s="14"/>
      <c r="AF36" s="14"/>
      <c r="AG36" s="14"/>
    </row>
    <row r="37" spans="1:33" ht="14.25" customHeight="1" x14ac:dyDescent="0.2">
      <c r="A37" s="181"/>
      <c r="B37" s="181"/>
      <c r="C37" s="181"/>
      <c r="D37" s="181"/>
      <c r="E37" s="181"/>
      <c r="F37" s="181"/>
      <c r="G37" s="181"/>
      <c r="H37" s="181"/>
      <c r="I37" s="181"/>
      <c r="J37" s="181"/>
      <c r="K37" s="181"/>
      <c r="L37" s="181"/>
      <c r="M37" s="181"/>
      <c r="N37" s="181"/>
      <c r="O37" s="181"/>
      <c r="P37" s="181"/>
      <c r="Q37" s="181"/>
      <c r="R37" s="181"/>
      <c r="S37" s="14" t="s">
        <v>671</v>
      </c>
      <c r="T37" s="14" t="s">
        <v>672</v>
      </c>
      <c r="U37" s="14"/>
      <c r="V37" s="14"/>
      <c r="W37" s="14"/>
      <c r="X37" s="14"/>
      <c r="Y37" s="14"/>
      <c r="Z37" s="14"/>
      <c r="AA37" s="14"/>
      <c r="AB37" s="14"/>
      <c r="AC37" s="14"/>
      <c r="AD37" s="14"/>
      <c r="AE37" s="14"/>
      <c r="AF37" s="14"/>
      <c r="AG37" s="14"/>
    </row>
    <row r="38" spans="1:33" ht="14.25" customHeight="1" x14ac:dyDescent="0.2">
      <c r="A38" s="181"/>
      <c r="B38" s="181"/>
      <c r="C38" s="181"/>
      <c r="D38" s="176"/>
      <c r="E38" s="176"/>
      <c r="F38" s="176"/>
      <c r="G38" s="181"/>
      <c r="H38" s="181"/>
      <c r="I38" s="181"/>
      <c r="J38" s="176"/>
      <c r="K38" s="176"/>
      <c r="L38" s="176"/>
      <c r="M38" s="176"/>
      <c r="N38" s="176"/>
      <c r="O38" s="181"/>
      <c r="P38" s="181"/>
      <c r="Q38" s="176"/>
      <c r="R38" s="176"/>
      <c r="S38" s="14" t="s">
        <v>439</v>
      </c>
      <c r="T38" s="14" t="s">
        <v>440</v>
      </c>
      <c r="U38" s="14"/>
      <c r="V38" s="14"/>
      <c r="W38" s="14"/>
      <c r="X38" s="14"/>
      <c r="Y38" s="14"/>
      <c r="Z38" s="14"/>
      <c r="AA38" s="14"/>
      <c r="AB38" s="14"/>
      <c r="AC38" s="14"/>
      <c r="AD38" s="14"/>
      <c r="AE38" s="14"/>
      <c r="AF38" s="14"/>
      <c r="AG38" s="14"/>
    </row>
    <row r="39" spans="1:33" ht="16.5" customHeight="1" x14ac:dyDescent="0.2">
      <c r="A39" s="181"/>
      <c r="B39" s="181"/>
      <c r="C39" s="181"/>
      <c r="D39" s="179" t="s">
        <v>433</v>
      </c>
      <c r="E39" s="179" t="s">
        <v>435</v>
      </c>
      <c r="F39" s="179" t="s">
        <v>435</v>
      </c>
      <c r="G39" s="181"/>
      <c r="H39" s="181"/>
      <c r="I39" s="181"/>
      <c r="J39" s="175">
        <f>1/4/12</f>
        <v>2.0833333333333332E-2</v>
      </c>
      <c r="K39" s="179" t="s">
        <v>27</v>
      </c>
      <c r="L39" s="178">
        <v>158</v>
      </c>
      <c r="M39" s="179" t="s">
        <v>1367</v>
      </c>
      <c r="N39" s="201">
        <f>L39*J39*H35*G35*2</f>
        <v>7110</v>
      </c>
      <c r="O39" s="181"/>
      <c r="P39" s="181"/>
      <c r="Q39" s="175">
        <f>N39/O2</f>
        <v>0.73511166253101734</v>
      </c>
      <c r="R39" s="177">
        <v>2</v>
      </c>
      <c r="S39" s="14" t="s">
        <v>443</v>
      </c>
      <c r="T39" s="14" t="s">
        <v>444</v>
      </c>
      <c r="U39" s="14"/>
      <c r="V39" s="14"/>
      <c r="W39" s="14"/>
      <c r="X39" s="14"/>
      <c r="Y39" s="14"/>
      <c r="Z39" s="14"/>
      <c r="AA39" s="14"/>
      <c r="AB39" s="14"/>
      <c r="AC39" s="14"/>
      <c r="AD39" s="14"/>
      <c r="AE39" s="14"/>
      <c r="AF39" s="14"/>
      <c r="AG39" s="14"/>
    </row>
    <row r="40" spans="1:33" ht="14.25" customHeight="1" x14ac:dyDescent="0.2">
      <c r="A40" s="181"/>
      <c r="B40" s="181"/>
      <c r="C40" s="181"/>
      <c r="D40" s="181"/>
      <c r="E40" s="181"/>
      <c r="F40" s="181"/>
      <c r="G40" s="181"/>
      <c r="H40" s="181"/>
      <c r="I40" s="181"/>
      <c r="J40" s="181"/>
      <c r="K40" s="181"/>
      <c r="L40" s="181"/>
      <c r="M40" s="181"/>
      <c r="N40" s="181"/>
      <c r="O40" s="181"/>
      <c r="P40" s="181"/>
      <c r="Q40" s="181"/>
      <c r="R40" s="181"/>
      <c r="S40" s="14" t="s">
        <v>451</v>
      </c>
      <c r="T40" s="14" t="s">
        <v>452</v>
      </c>
      <c r="U40" s="14"/>
      <c r="V40" s="14"/>
      <c r="W40" s="14"/>
      <c r="X40" s="14"/>
      <c r="Y40" s="14"/>
      <c r="Z40" s="14"/>
      <c r="AA40" s="14"/>
      <c r="AB40" s="14"/>
      <c r="AC40" s="14"/>
      <c r="AD40" s="14"/>
      <c r="AE40" s="14"/>
      <c r="AF40" s="14"/>
      <c r="AG40" s="14"/>
    </row>
    <row r="41" spans="1:33" ht="14.25" customHeight="1" x14ac:dyDescent="0.2">
      <c r="A41" s="181"/>
      <c r="B41" s="181"/>
      <c r="C41" s="181"/>
      <c r="D41" s="181"/>
      <c r="E41" s="181"/>
      <c r="F41" s="181"/>
      <c r="G41" s="181"/>
      <c r="H41" s="181"/>
      <c r="I41" s="181"/>
      <c r="J41" s="181"/>
      <c r="K41" s="181"/>
      <c r="L41" s="181"/>
      <c r="M41" s="181"/>
      <c r="N41" s="181"/>
      <c r="O41" s="181"/>
      <c r="P41" s="181"/>
      <c r="Q41" s="181"/>
      <c r="R41" s="181"/>
      <c r="S41" s="40" t="s">
        <v>460</v>
      </c>
      <c r="T41" s="14" t="s">
        <v>461</v>
      </c>
      <c r="U41" s="14"/>
      <c r="V41" s="14"/>
      <c r="W41" s="14"/>
      <c r="X41" s="14"/>
      <c r="Y41" s="14"/>
      <c r="Z41" s="14"/>
      <c r="AA41" s="14"/>
      <c r="AB41" s="14"/>
      <c r="AC41" s="14"/>
      <c r="AD41" s="14"/>
      <c r="AE41" s="14"/>
      <c r="AF41" s="14"/>
      <c r="AG41" s="14"/>
    </row>
    <row r="42" spans="1:33" ht="14.25" customHeight="1" x14ac:dyDescent="0.2">
      <c r="A42" s="181"/>
      <c r="B42" s="181"/>
      <c r="C42" s="181"/>
      <c r="D42" s="181"/>
      <c r="E42" s="176"/>
      <c r="F42" s="176"/>
      <c r="G42" s="181"/>
      <c r="H42" s="181"/>
      <c r="I42" s="181"/>
      <c r="J42" s="176"/>
      <c r="K42" s="176"/>
      <c r="L42" s="176"/>
      <c r="M42" s="176"/>
      <c r="N42" s="176"/>
      <c r="O42" s="181"/>
      <c r="P42" s="181"/>
      <c r="Q42" s="176"/>
      <c r="R42" s="176"/>
      <c r="S42" s="40" t="s">
        <v>447</v>
      </c>
      <c r="T42" s="14" t="s">
        <v>449</v>
      </c>
      <c r="U42" s="14"/>
      <c r="V42" s="14"/>
      <c r="W42" s="14"/>
      <c r="X42" s="14"/>
      <c r="Y42" s="14"/>
      <c r="Z42" s="14"/>
      <c r="AA42" s="14"/>
      <c r="AB42" s="14"/>
      <c r="AC42" s="14"/>
      <c r="AD42" s="14"/>
      <c r="AE42" s="14"/>
      <c r="AF42" s="14"/>
      <c r="AG42" s="14"/>
    </row>
    <row r="43" spans="1:33" ht="14.25" customHeight="1" x14ac:dyDescent="0.2">
      <c r="A43" s="181"/>
      <c r="B43" s="176"/>
      <c r="C43" s="176"/>
      <c r="D43" s="176"/>
      <c r="E43" s="41" t="s">
        <v>287</v>
      </c>
      <c r="F43" s="41" t="s">
        <v>19</v>
      </c>
      <c r="G43" s="176"/>
      <c r="H43" s="176"/>
      <c r="I43" s="176"/>
      <c r="J43" s="41">
        <f>0.03/12</f>
        <v>2.5000000000000001E-3</v>
      </c>
      <c r="K43" s="50" t="s">
        <v>27</v>
      </c>
      <c r="L43" s="41">
        <v>0.17</v>
      </c>
      <c r="M43" s="41" t="s">
        <v>1368</v>
      </c>
      <c r="N43" s="151">
        <f>L43*H35*G35*2</f>
        <v>367.2</v>
      </c>
      <c r="O43" s="181"/>
      <c r="P43" s="181"/>
      <c r="Q43" s="91">
        <f>N43/O2</f>
        <v>3.7965260545905703E-2</v>
      </c>
      <c r="R43" s="58">
        <v>2</v>
      </c>
      <c r="S43" s="14" t="s">
        <v>623</v>
      </c>
      <c r="T43" s="61" t="s">
        <v>1369</v>
      </c>
      <c r="U43" s="14"/>
      <c r="V43" s="14"/>
      <c r="W43" s="14"/>
      <c r="X43" s="14"/>
      <c r="Y43" s="14"/>
      <c r="Z43" s="14"/>
      <c r="AA43" s="14"/>
      <c r="AB43" s="14"/>
      <c r="AC43" s="14"/>
      <c r="AD43" s="14"/>
      <c r="AE43" s="14"/>
      <c r="AF43" s="14"/>
      <c r="AG43" s="14"/>
    </row>
    <row r="44" spans="1:33" ht="35.25" customHeight="1" x14ac:dyDescent="0.2">
      <c r="A44" s="181"/>
      <c r="B44" s="94" t="s">
        <v>463</v>
      </c>
      <c r="C44" s="68" t="s">
        <v>1370</v>
      </c>
      <c r="D44" s="34" t="s">
        <v>1371</v>
      </c>
      <c r="E44" s="135" t="s">
        <v>27</v>
      </c>
      <c r="F44" s="135" t="s">
        <v>27</v>
      </c>
      <c r="G44" s="95">
        <v>4</v>
      </c>
      <c r="H44" s="35">
        <v>21</v>
      </c>
      <c r="I44" s="34" t="s">
        <v>166</v>
      </c>
      <c r="J44" s="135" t="s">
        <v>27</v>
      </c>
      <c r="K44" s="34" t="s">
        <v>27</v>
      </c>
      <c r="L44" s="135" t="s">
        <v>27</v>
      </c>
      <c r="M44" s="135" t="s">
        <v>27</v>
      </c>
      <c r="N44" s="152">
        <f>G44*H44</f>
        <v>84</v>
      </c>
      <c r="O44" s="181"/>
      <c r="P44" s="181"/>
      <c r="Q44" s="153">
        <f t="shared" ref="Q44:Q45" si="2">N44/$O$2</f>
        <v>8.6848635235732014E-3</v>
      </c>
      <c r="R44" s="37">
        <v>3</v>
      </c>
      <c r="S44" s="40" t="s">
        <v>1372</v>
      </c>
      <c r="T44" s="85" t="s">
        <v>1373</v>
      </c>
      <c r="U44" s="14"/>
      <c r="V44" s="14"/>
      <c r="W44" s="14"/>
      <c r="X44" s="14"/>
      <c r="Y44" s="14"/>
      <c r="Z44" s="14"/>
      <c r="AA44" s="14"/>
      <c r="AB44" s="14"/>
      <c r="AC44" s="14"/>
      <c r="AD44" s="14"/>
      <c r="AE44" s="14"/>
      <c r="AF44" s="14"/>
      <c r="AG44" s="14"/>
    </row>
    <row r="45" spans="1:33" ht="14.25" customHeight="1" x14ac:dyDescent="0.2">
      <c r="A45" s="181"/>
      <c r="B45" s="94" t="s">
        <v>463</v>
      </c>
      <c r="C45" s="68" t="s">
        <v>1374</v>
      </c>
      <c r="D45" s="34" t="s">
        <v>301</v>
      </c>
      <c r="E45" s="135" t="s">
        <v>27</v>
      </c>
      <c r="F45" s="135" t="s">
        <v>27</v>
      </c>
      <c r="G45" s="95">
        <v>11</v>
      </c>
      <c r="H45" s="35">
        <v>21</v>
      </c>
      <c r="I45" s="34" t="s">
        <v>1376</v>
      </c>
      <c r="J45" s="135" t="s">
        <v>27</v>
      </c>
      <c r="K45" s="34" t="s">
        <v>27</v>
      </c>
      <c r="L45" s="135" t="s">
        <v>27</v>
      </c>
      <c r="M45" s="135" t="s">
        <v>27</v>
      </c>
      <c r="N45" s="152">
        <f>H45*G45</f>
        <v>231</v>
      </c>
      <c r="O45" s="181"/>
      <c r="P45" s="181"/>
      <c r="Q45" s="153">
        <f t="shared" si="2"/>
        <v>2.3883374689826303E-2</v>
      </c>
      <c r="R45" s="37">
        <v>3</v>
      </c>
      <c r="S45" s="44" t="s">
        <v>307</v>
      </c>
      <c r="T45" s="44" t="s">
        <v>308</v>
      </c>
      <c r="U45" s="14"/>
      <c r="V45" s="14"/>
      <c r="W45" s="14"/>
      <c r="X45" s="14"/>
      <c r="Y45" s="14"/>
      <c r="Z45" s="14"/>
      <c r="AA45" s="14"/>
      <c r="AB45" s="14"/>
      <c r="AC45" s="14"/>
      <c r="AD45" s="14"/>
      <c r="AE45" s="14"/>
      <c r="AF45" s="14"/>
      <c r="AG45" s="14"/>
    </row>
    <row r="46" spans="1:33" ht="14.25" customHeight="1" x14ac:dyDescent="0.2">
      <c r="A46" s="181"/>
      <c r="B46" s="183" t="s">
        <v>321</v>
      </c>
      <c r="C46" s="183" t="s">
        <v>771</v>
      </c>
      <c r="D46" s="179" t="s">
        <v>772</v>
      </c>
      <c r="E46" s="179" t="s">
        <v>516</v>
      </c>
      <c r="F46" s="179" t="s">
        <v>772</v>
      </c>
      <c r="G46" s="182">
        <v>1</v>
      </c>
      <c r="H46" s="182">
        <v>9800</v>
      </c>
      <c r="I46" s="183" t="s">
        <v>166</v>
      </c>
      <c r="J46" s="178" t="s">
        <v>27</v>
      </c>
      <c r="K46" s="179" t="s">
        <v>27</v>
      </c>
      <c r="L46" s="178">
        <v>1.95</v>
      </c>
      <c r="M46" s="179" t="s">
        <v>1378</v>
      </c>
      <c r="N46" s="180">
        <f>H46*L46</f>
        <v>19110</v>
      </c>
      <c r="O46" s="181"/>
      <c r="P46" s="181"/>
      <c r="Q46" s="175">
        <f>N46/O2</f>
        <v>1.9758064516129032</v>
      </c>
      <c r="R46" s="177">
        <v>5</v>
      </c>
      <c r="S46" s="40" t="s">
        <v>273</v>
      </c>
      <c r="T46" s="14" t="s">
        <v>778</v>
      </c>
      <c r="U46" s="14"/>
      <c r="V46" s="14"/>
      <c r="W46" s="14"/>
      <c r="X46" s="14"/>
      <c r="Y46" s="14"/>
      <c r="Z46" s="14"/>
      <c r="AA46" s="14"/>
      <c r="AB46" s="14"/>
      <c r="AC46" s="14"/>
      <c r="AD46" s="14"/>
      <c r="AE46" s="14"/>
      <c r="AF46" s="14"/>
      <c r="AG46" s="14"/>
    </row>
    <row r="47" spans="1:33" ht="14.25" customHeight="1" x14ac:dyDescent="0.2">
      <c r="A47" s="181"/>
      <c r="B47" s="181"/>
      <c r="C47" s="181"/>
      <c r="D47" s="176"/>
      <c r="E47" s="176"/>
      <c r="F47" s="176"/>
      <c r="G47" s="176"/>
      <c r="H47" s="181"/>
      <c r="I47" s="181"/>
      <c r="J47" s="176"/>
      <c r="K47" s="176"/>
      <c r="L47" s="176"/>
      <c r="M47" s="176"/>
      <c r="N47" s="176"/>
      <c r="O47" s="181"/>
      <c r="P47" s="181"/>
      <c r="Q47" s="176"/>
      <c r="R47" s="176"/>
      <c r="S47" s="40" t="s">
        <v>335</v>
      </c>
      <c r="T47" s="14" t="s">
        <v>780</v>
      </c>
      <c r="U47" s="14"/>
      <c r="V47" s="14"/>
      <c r="W47" s="14"/>
      <c r="X47" s="14"/>
      <c r="Y47" s="14"/>
      <c r="Z47" s="14"/>
      <c r="AA47" s="14"/>
      <c r="AB47" s="14"/>
      <c r="AC47" s="14"/>
      <c r="AD47" s="14"/>
      <c r="AE47" s="14"/>
      <c r="AF47" s="14"/>
      <c r="AG47" s="14"/>
    </row>
    <row r="48" spans="1:33" ht="14.25" customHeight="1" x14ac:dyDescent="0.2">
      <c r="A48" s="181"/>
      <c r="B48" s="181"/>
      <c r="C48" s="181"/>
      <c r="D48" s="179" t="s">
        <v>15</v>
      </c>
      <c r="E48" s="196" t="s">
        <v>279</v>
      </c>
      <c r="F48" s="179" t="s">
        <v>15</v>
      </c>
      <c r="G48" s="178">
        <v>2</v>
      </c>
      <c r="H48" s="181"/>
      <c r="I48" s="181"/>
      <c r="J48" s="175" t="s">
        <v>27</v>
      </c>
      <c r="K48" s="179" t="s">
        <v>27</v>
      </c>
      <c r="L48" s="178">
        <v>0.215</v>
      </c>
      <c r="M48" s="179" t="s">
        <v>1382</v>
      </c>
      <c r="N48" s="180">
        <f>L48*H46*G48</f>
        <v>4214</v>
      </c>
      <c r="O48" s="181"/>
      <c r="P48" s="181"/>
      <c r="Q48" s="175">
        <f>N48/O2</f>
        <v>0.43569065343258889</v>
      </c>
      <c r="R48" s="177">
        <v>4</v>
      </c>
      <c r="S48" s="40" t="s">
        <v>335</v>
      </c>
      <c r="T48" s="14" t="s">
        <v>336</v>
      </c>
      <c r="U48" s="14"/>
      <c r="V48" s="14"/>
      <c r="W48" s="14"/>
      <c r="X48" s="14"/>
      <c r="Y48" s="14"/>
      <c r="Z48" s="14"/>
      <c r="AA48" s="14"/>
      <c r="AB48" s="14"/>
      <c r="AC48" s="14"/>
      <c r="AD48" s="14"/>
      <c r="AE48" s="14"/>
      <c r="AF48" s="14"/>
      <c r="AG48" s="14"/>
    </row>
    <row r="49" spans="1:33" ht="14.25" customHeight="1" x14ac:dyDescent="0.2">
      <c r="A49" s="181"/>
      <c r="B49" s="181"/>
      <c r="C49" s="181"/>
      <c r="D49" s="181"/>
      <c r="E49" s="181"/>
      <c r="F49" s="181"/>
      <c r="G49" s="181"/>
      <c r="H49" s="181"/>
      <c r="I49" s="181"/>
      <c r="J49" s="181"/>
      <c r="K49" s="181"/>
      <c r="L49" s="181"/>
      <c r="M49" s="181"/>
      <c r="N49" s="181"/>
      <c r="O49" s="181"/>
      <c r="P49" s="181"/>
      <c r="Q49" s="181"/>
      <c r="R49" s="181"/>
      <c r="S49" s="14" t="s">
        <v>625</v>
      </c>
      <c r="T49" s="14" t="s">
        <v>783</v>
      </c>
      <c r="U49" s="14"/>
      <c r="V49" s="14"/>
      <c r="W49" s="14"/>
      <c r="X49" s="14"/>
      <c r="Y49" s="14"/>
      <c r="Z49" s="14"/>
      <c r="AA49" s="14"/>
      <c r="AB49" s="14"/>
      <c r="AC49" s="14"/>
      <c r="AD49" s="14"/>
      <c r="AE49" s="14"/>
      <c r="AF49" s="14"/>
      <c r="AG49" s="14"/>
    </row>
    <row r="50" spans="1:33" ht="14.25" customHeight="1" x14ac:dyDescent="0.2">
      <c r="A50" s="181"/>
      <c r="B50" s="181"/>
      <c r="C50" s="181"/>
      <c r="D50" s="181"/>
      <c r="E50" s="181"/>
      <c r="F50" s="181"/>
      <c r="G50" s="181"/>
      <c r="H50" s="181"/>
      <c r="I50" s="181"/>
      <c r="J50" s="181"/>
      <c r="K50" s="181"/>
      <c r="L50" s="181"/>
      <c r="M50" s="181"/>
      <c r="N50" s="181"/>
      <c r="O50" s="181"/>
      <c r="P50" s="181"/>
      <c r="Q50" s="181"/>
      <c r="R50" s="181"/>
      <c r="S50" s="14" t="s">
        <v>787</v>
      </c>
      <c r="T50" s="14" t="s">
        <v>788</v>
      </c>
      <c r="U50" s="14"/>
      <c r="V50" s="14"/>
      <c r="W50" s="14"/>
      <c r="X50" s="14"/>
      <c r="Y50" s="14"/>
      <c r="Z50" s="14"/>
      <c r="AA50" s="14"/>
      <c r="AB50" s="14"/>
      <c r="AC50" s="14"/>
      <c r="AD50" s="14"/>
      <c r="AE50" s="14"/>
      <c r="AF50" s="14"/>
      <c r="AG50" s="14"/>
    </row>
    <row r="51" spans="1:33" ht="14.25" customHeight="1" x14ac:dyDescent="0.2">
      <c r="A51" s="181"/>
      <c r="B51" s="181"/>
      <c r="C51" s="181"/>
      <c r="D51" s="176"/>
      <c r="E51" s="176"/>
      <c r="F51" s="176"/>
      <c r="G51" s="176"/>
      <c r="H51" s="181"/>
      <c r="I51" s="181"/>
      <c r="J51" s="176"/>
      <c r="K51" s="176"/>
      <c r="L51" s="176"/>
      <c r="M51" s="176"/>
      <c r="N51" s="176"/>
      <c r="O51" s="181"/>
      <c r="P51" s="181"/>
      <c r="Q51" s="176"/>
      <c r="R51" s="176"/>
      <c r="S51" s="40" t="s">
        <v>790</v>
      </c>
      <c r="T51" s="14" t="s">
        <v>792</v>
      </c>
      <c r="U51" s="14"/>
      <c r="V51" s="14"/>
      <c r="W51" s="14"/>
      <c r="X51" s="14"/>
      <c r="Y51" s="14"/>
      <c r="Z51" s="14"/>
      <c r="AA51" s="14"/>
      <c r="AB51" s="14"/>
      <c r="AC51" s="14"/>
      <c r="AD51" s="14"/>
      <c r="AE51" s="14"/>
      <c r="AF51" s="14"/>
      <c r="AG51" s="14"/>
    </row>
    <row r="52" spans="1:33" ht="14.25" customHeight="1" x14ac:dyDescent="0.2">
      <c r="A52" s="176"/>
      <c r="B52" s="176"/>
      <c r="C52" s="176"/>
      <c r="D52" s="41" t="s">
        <v>793</v>
      </c>
      <c r="E52" s="50" t="s">
        <v>92</v>
      </c>
      <c r="F52" s="50" t="s">
        <v>5</v>
      </c>
      <c r="G52" s="70">
        <v>0</v>
      </c>
      <c r="H52" s="176"/>
      <c r="I52" s="176"/>
      <c r="J52" s="53">
        <v>5.2083333333333336E-2</v>
      </c>
      <c r="K52" s="50"/>
      <c r="L52" s="53">
        <v>1.56</v>
      </c>
      <c r="M52" s="41" t="s">
        <v>1388</v>
      </c>
      <c r="N52" s="54">
        <f>L52*H46*G52</f>
        <v>0</v>
      </c>
      <c r="O52" s="176"/>
      <c r="P52" s="176"/>
      <c r="Q52" s="91">
        <f>N52/O2</f>
        <v>0</v>
      </c>
      <c r="R52" s="58">
        <v>2</v>
      </c>
      <c r="S52" s="14" t="s">
        <v>738</v>
      </c>
      <c r="T52" s="14" t="s">
        <v>795</v>
      </c>
      <c r="U52" s="14"/>
      <c r="V52" s="14"/>
      <c r="W52" s="14"/>
      <c r="X52" s="14"/>
      <c r="Y52" s="14"/>
      <c r="Z52" s="14"/>
      <c r="AA52" s="14"/>
      <c r="AB52" s="14"/>
      <c r="AC52" s="14"/>
      <c r="AD52" s="14"/>
      <c r="AE52" s="14"/>
      <c r="AF52" s="14"/>
      <c r="AG52" s="14"/>
    </row>
    <row r="53" spans="1:33" ht="14.25" customHeight="1" x14ac:dyDescent="0.2"/>
    <row r="54" spans="1:33" ht="14.25" customHeight="1" x14ac:dyDescent="0.2"/>
    <row r="55" spans="1:33" ht="14.25" customHeight="1" x14ac:dyDescent="0.2">
      <c r="F55" s="28" t="s">
        <v>121</v>
      </c>
      <c r="G55" s="28" t="s">
        <v>128</v>
      </c>
      <c r="H55" s="28" t="s">
        <v>1390</v>
      </c>
    </row>
    <row r="56" spans="1:33" ht="14.25" customHeight="1" x14ac:dyDescent="0.2">
      <c r="F56" s="50" t="s">
        <v>140</v>
      </c>
      <c r="G56" s="72">
        <f t="shared" ref="G56:G70" si="3">SUMIF($F$2:$F$52,$F56,N$2:N$52)</f>
        <v>780825</v>
      </c>
      <c r="H56" s="73">
        <f t="shared" ref="H56:H70" si="4">SUMIF($F$2:$F$52,$F56,Q$2:Q$52)</f>
        <v>80.730459057071968</v>
      </c>
    </row>
    <row r="57" spans="1:33" ht="14.25" customHeight="1" x14ac:dyDescent="0.2">
      <c r="F57" s="41" t="s">
        <v>156</v>
      </c>
      <c r="G57" s="72">
        <f t="shared" si="3"/>
        <v>30910.125</v>
      </c>
      <c r="H57" s="73">
        <f t="shared" si="4"/>
        <v>3.195835918114144</v>
      </c>
    </row>
    <row r="58" spans="1:33" ht="14.25" customHeight="1" x14ac:dyDescent="0.2">
      <c r="F58" s="50" t="s">
        <v>3</v>
      </c>
      <c r="G58" s="72">
        <f t="shared" si="3"/>
        <v>14184</v>
      </c>
      <c r="H58" s="73">
        <f t="shared" si="4"/>
        <v>1.466501240694789</v>
      </c>
    </row>
    <row r="59" spans="1:33" ht="14.25" customHeight="1" x14ac:dyDescent="0.2">
      <c r="F59" s="50" t="s">
        <v>4</v>
      </c>
      <c r="G59" s="72">
        <f t="shared" si="3"/>
        <v>56128.665000000008</v>
      </c>
      <c r="H59" s="73">
        <f t="shared" si="4"/>
        <v>5.803211848635236</v>
      </c>
    </row>
    <row r="60" spans="1:33" ht="14.25" customHeight="1" x14ac:dyDescent="0.2">
      <c r="F60" s="34" t="s">
        <v>6</v>
      </c>
      <c r="G60" s="72">
        <f t="shared" si="3"/>
        <v>57200</v>
      </c>
      <c r="H60" s="73">
        <f t="shared" si="4"/>
        <v>5.913978494623656</v>
      </c>
    </row>
    <row r="61" spans="1:33" ht="14.25" customHeight="1" x14ac:dyDescent="0.2">
      <c r="F61" s="41" t="s">
        <v>644</v>
      </c>
      <c r="G61" s="72">
        <f t="shared" si="3"/>
        <v>780</v>
      </c>
      <c r="H61" s="73">
        <f t="shared" si="4"/>
        <v>8.0645161290322578E-2</v>
      </c>
    </row>
    <row r="62" spans="1:33" ht="14.25" customHeight="1" x14ac:dyDescent="0.2">
      <c r="F62" s="50" t="s">
        <v>12</v>
      </c>
      <c r="G62" s="72">
        <f t="shared" si="3"/>
        <v>9880</v>
      </c>
      <c r="H62" s="73">
        <f t="shared" si="4"/>
        <v>1.021505376344086</v>
      </c>
    </row>
    <row r="63" spans="1:33" ht="14.25" customHeight="1" x14ac:dyDescent="0.2">
      <c r="F63" s="34" t="s">
        <v>21</v>
      </c>
      <c r="G63" s="72">
        <f t="shared" si="3"/>
        <v>32400</v>
      </c>
      <c r="H63" s="73">
        <f t="shared" si="4"/>
        <v>3.3498759305210917</v>
      </c>
    </row>
    <row r="64" spans="1:33" ht="14.25" customHeight="1" x14ac:dyDescent="0.2">
      <c r="F64" s="34" t="s">
        <v>22</v>
      </c>
      <c r="G64" s="72">
        <f t="shared" si="3"/>
        <v>4320</v>
      </c>
      <c r="H64" s="73">
        <f t="shared" si="4"/>
        <v>0.4466501240694789</v>
      </c>
    </row>
    <row r="65" spans="6:8" ht="14.25" customHeight="1" x14ac:dyDescent="0.2">
      <c r="F65" s="50" t="s">
        <v>88</v>
      </c>
      <c r="G65" s="72">
        <f t="shared" si="3"/>
        <v>1080</v>
      </c>
      <c r="H65" s="73">
        <f t="shared" si="4"/>
        <v>0.11166253101736973</v>
      </c>
    </row>
    <row r="66" spans="6:8" ht="14.25" customHeight="1" x14ac:dyDescent="0.2">
      <c r="F66" s="50" t="s">
        <v>435</v>
      </c>
      <c r="G66" s="72">
        <f t="shared" si="3"/>
        <v>7110</v>
      </c>
      <c r="H66" s="73">
        <f t="shared" si="4"/>
        <v>0.73511166253101734</v>
      </c>
    </row>
    <row r="67" spans="6:8" ht="14.25" customHeight="1" x14ac:dyDescent="0.2">
      <c r="F67" s="41" t="s">
        <v>19</v>
      </c>
      <c r="G67" s="72">
        <f t="shared" si="3"/>
        <v>367.2</v>
      </c>
      <c r="H67" s="73">
        <f t="shared" si="4"/>
        <v>3.7965260545905703E-2</v>
      </c>
    </row>
    <row r="68" spans="6:8" ht="14.25" customHeight="1" x14ac:dyDescent="0.2">
      <c r="F68" s="34" t="s">
        <v>772</v>
      </c>
      <c r="G68" s="72">
        <f t="shared" si="3"/>
        <v>19110</v>
      </c>
      <c r="H68" s="73">
        <f t="shared" si="4"/>
        <v>1.9758064516129032</v>
      </c>
    </row>
    <row r="69" spans="6:8" ht="14.25" customHeight="1" x14ac:dyDescent="0.2">
      <c r="F69" s="50" t="s">
        <v>15</v>
      </c>
      <c r="G69" s="72">
        <f t="shared" si="3"/>
        <v>4214</v>
      </c>
      <c r="H69" s="73">
        <f t="shared" si="4"/>
        <v>0.43569065343258889</v>
      </c>
    </row>
    <row r="70" spans="6:8" ht="14.25" customHeight="1" x14ac:dyDescent="0.2">
      <c r="F70" s="50" t="s">
        <v>5</v>
      </c>
      <c r="G70" s="72">
        <f t="shared" si="3"/>
        <v>0</v>
      </c>
      <c r="H70" s="73">
        <f t="shared" si="4"/>
        <v>0</v>
      </c>
    </row>
    <row r="71" spans="6:8" ht="14.25" customHeight="1" x14ac:dyDescent="0.2">
      <c r="G71" s="75"/>
      <c r="H71" s="111"/>
    </row>
    <row r="72" spans="6:8" ht="14.25" customHeight="1" x14ac:dyDescent="0.2"/>
    <row r="73" spans="6:8" ht="14.25" customHeight="1" x14ac:dyDescent="0.2">
      <c r="F73" s="93" t="s">
        <v>315</v>
      </c>
      <c r="G73" s="28" t="s">
        <v>128</v>
      </c>
      <c r="H73" s="28" t="s">
        <v>1393</v>
      </c>
    </row>
    <row r="74" spans="6:8" ht="14.25" customHeight="1" x14ac:dyDescent="0.2">
      <c r="F74" s="50" t="s">
        <v>140</v>
      </c>
      <c r="G74" s="72">
        <f t="shared" ref="G74:G85" si="5">SUMIF($E$2:$E$52,$F74,N$2:N$52)</f>
        <v>780825</v>
      </c>
      <c r="H74" s="73">
        <f t="shared" ref="H74:H85" si="6">SUMIF($E$2:$E$52,$F74,Q$2:Q$52)</f>
        <v>80.730459057071968</v>
      </c>
    </row>
    <row r="75" spans="6:8" ht="14.25" customHeight="1" x14ac:dyDescent="0.2">
      <c r="F75" s="41" t="s">
        <v>155</v>
      </c>
      <c r="G75" s="72">
        <f t="shared" si="5"/>
        <v>30910.125</v>
      </c>
      <c r="H75" s="73">
        <f t="shared" si="6"/>
        <v>3.195835918114144</v>
      </c>
    </row>
    <row r="76" spans="6:8" ht="14.25" customHeight="1" x14ac:dyDescent="0.2">
      <c r="F76" s="34" t="s">
        <v>92</v>
      </c>
      <c r="G76" s="72">
        <f t="shared" si="5"/>
        <v>70312.665000000008</v>
      </c>
      <c r="H76" s="73">
        <f t="shared" si="6"/>
        <v>7.2697130893300246</v>
      </c>
    </row>
    <row r="77" spans="6:8" ht="14.25" customHeight="1" x14ac:dyDescent="0.2">
      <c r="F77" s="34" t="s">
        <v>712</v>
      </c>
      <c r="G77" s="72">
        <f t="shared" si="5"/>
        <v>57200</v>
      </c>
      <c r="H77" s="73">
        <f t="shared" si="6"/>
        <v>5.913978494623656</v>
      </c>
    </row>
    <row r="78" spans="6:8" ht="14.25" customHeight="1" x14ac:dyDescent="0.2">
      <c r="F78" s="41" t="s">
        <v>279</v>
      </c>
      <c r="G78" s="72">
        <f t="shared" si="5"/>
        <v>4994</v>
      </c>
      <c r="H78" s="73">
        <f t="shared" si="6"/>
        <v>0.51633581472291146</v>
      </c>
    </row>
    <row r="79" spans="6:8" ht="14.25" customHeight="1" x14ac:dyDescent="0.2">
      <c r="F79" s="50" t="s">
        <v>294</v>
      </c>
      <c r="G79" s="72">
        <f t="shared" si="5"/>
        <v>9880</v>
      </c>
      <c r="H79" s="73">
        <f t="shared" si="6"/>
        <v>1.021505376344086</v>
      </c>
    </row>
    <row r="80" spans="6:8" ht="14.25" customHeight="1" x14ac:dyDescent="0.2">
      <c r="F80" s="50" t="s">
        <v>929</v>
      </c>
      <c r="G80" s="72">
        <f t="shared" si="5"/>
        <v>32400</v>
      </c>
      <c r="H80" s="73">
        <f t="shared" si="6"/>
        <v>3.3498759305210917</v>
      </c>
    </row>
    <row r="81" spans="6:8" ht="14.25" customHeight="1" x14ac:dyDescent="0.2">
      <c r="F81" s="50" t="s">
        <v>958</v>
      </c>
      <c r="G81" s="72">
        <f t="shared" si="5"/>
        <v>4320</v>
      </c>
      <c r="H81" s="73">
        <f t="shared" si="6"/>
        <v>0.4466501240694789</v>
      </c>
    </row>
    <row r="82" spans="6:8" ht="14.25" customHeight="1" x14ac:dyDescent="0.2">
      <c r="F82" s="50" t="s">
        <v>88</v>
      </c>
      <c r="G82" s="72">
        <f t="shared" si="5"/>
        <v>1080</v>
      </c>
      <c r="H82" s="73">
        <f t="shared" si="6"/>
        <v>0.11166253101736973</v>
      </c>
    </row>
    <row r="83" spans="6:8" ht="14.25" customHeight="1" x14ac:dyDescent="0.2">
      <c r="F83" s="50" t="s">
        <v>435</v>
      </c>
      <c r="G83" s="72">
        <f t="shared" si="5"/>
        <v>7110</v>
      </c>
      <c r="H83" s="73">
        <f t="shared" si="6"/>
        <v>0.73511166253101734</v>
      </c>
    </row>
    <row r="84" spans="6:8" ht="14.25" customHeight="1" x14ac:dyDescent="0.2">
      <c r="F84" s="41" t="s">
        <v>287</v>
      </c>
      <c r="G84" s="72">
        <f t="shared" si="5"/>
        <v>367.2</v>
      </c>
      <c r="H84" s="73">
        <f t="shared" si="6"/>
        <v>3.7965260545905703E-2</v>
      </c>
    </row>
    <row r="85" spans="6:8" ht="14.25" customHeight="1" x14ac:dyDescent="0.2">
      <c r="F85" s="50" t="s">
        <v>516</v>
      </c>
      <c r="G85" s="72">
        <f t="shared" si="5"/>
        <v>19110</v>
      </c>
      <c r="H85" s="73">
        <f t="shared" si="6"/>
        <v>1.9758064516129032</v>
      </c>
    </row>
    <row r="86" spans="6:8" ht="14.25" customHeight="1" x14ac:dyDescent="0.2"/>
    <row r="87" spans="6:8" ht="14.25" customHeight="1" x14ac:dyDescent="0.2"/>
    <row r="88" spans="6:8" ht="14.25" customHeight="1" x14ac:dyDescent="0.2"/>
    <row r="89" spans="6:8" ht="14.25" customHeight="1" x14ac:dyDescent="0.2"/>
    <row r="90" spans="6:8" ht="14.25" customHeight="1" x14ac:dyDescent="0.2"/>
    <row r="91" spans="6:8" ht="14.25" customHeight="1" x14ac:dyDescent="0.2"/>
    <row r="92" spans="6:8" ht="14.25" customHeight="1" x14ac:dyDescent="0.2"/>
    <row r="93" spans="6:8" ht="14.25" customHeight="1" x14ac:dyDescent="0.2"/>
    <row r="94" spans="6:8" ht="14.25" customHeight="1" x14ac:dyDescent="0.2"/>
    <row r="95" spans="6:8" ht="14.25" customHeight="1" x14ac:dyDescent="0.2"/>
    <row r="96" spans="6: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53">
    <mergeCell ref="J35:J38"/>
    <mergeCell ref="J39:J42"/>
    <mergeCell ref="H46:H52"/>
    <mergeCell ref="I46:I52"/>
    <mergeCell ref="J46:J47"/>
    <mergeCell ref="K46:K47"/>
    <mergeCell ref="L46:L47"/>
    <mergeCell ref="L48:L51"/>
    <mergeCell ref="B46:B52"/>
    <mergeCell ref="C46:C52"/>
    <mergeCell ref="D46:D47"/>
    <mergeCell ref="E46:E47"/>
    <mergeCell ref="F46:F47"/>
    <mergeCell ref="G46:G47"/>
    <mergeCell ref="F48:F51"/>
    <mergeCell ref="G48:G51"/>
    <mergeCell ref="D48:D51"/>
    <mergeCell ref="E48:E51"/>
    <mergeCell ref="B35:B43"/>
    <mergeCell ref="C35:C43"/>
    <mergeCell ref="D35:D38"/>
    <mergeCell ref="E35:E38"/>
    <mergeCell ref="F35:F38"/>
    <mergeCell ref="G35:G43"/>
    <mergeCell ref="R39:R42"/>
    <mergeCell ref="M46:M47"/>
    <mergeCell ref="N46:N47"/>
    <mergeCell ref="Q46:Q47"/>
    <mergeCell ref="R46:R47"/>
    <mergeCell ref="M48:M51"/>
    <mergeCell ref="N48:N51"/>
    <mergeCell ref="J48:J51"/>
    <mergeCell ref="K48:K51"/>
    <mergeCell ref="Q2:Q3"/>
    <mergeCell ref="R2:R3"/>
    <mergeCell ref="Q7:Q10"/>
    <mergeCell ref="R7:R10"/>
    <mergeCell ref="Q11:Q13"/>
    <mergeCell ref="R11:R13"/>
    <mergeCell ref="H2:H4"/>
    <mergeCell ref="I2:I4"/>
    <mergeCell ref="J2:J4"/>
    <mergeCell ref="K2:K4"/>
    <mergeCell ref="L2:L3"/>
    <mergeCell ref="M2:M3"/>
    <mergeCell ref="N2:N3"/>
    <mergeCell ref="H5:H6"/>
    <mergeCell ref="I5:I6"/>
    <mergeCell ref="J5:J6"/>
    <mergeCell ref="K5:K6"/>
    <mergeCell ref="B2:B4"/>
    <mergeCell ref="B7:B16"/>
    <mergeCell ref="Q35:Q38"/>
    <mergeCell ref="B17:B22"/>
    <mergeCell ref="C17:C22"/>
    <mergeCell ref="K17:K18"/>
    <mergeCell ref="L17:L18"/>
    <mergeCell ref="L20:L22"/>
    <mergeCell ref="C7:C16"/>
    <mergeCell ref="D11:D13"/>
    <mergeCell ref="D17:D18"/>
    <mergeCell ref="E17:E18"/>
    <mergeCell ref="F17:F18"/>
    <mergeCell ref="G17:G22"/>
    <mergeCell ref="F20:F22"/>
    <mergeCell ref="D20:D22"/>
    <mergeCell ref="E20:E22"/>
    <mergeCell ref="D23:D28"/>
    <mergeCell ref="O2:O52"/>
    <mergeCell ref="P2:P52"/>
    <mergeCell ref="Q48:Q51"/>
    <mergeCell ref="R48:R51"/>
    <mergeCell ref="M7:M10"/>
    <mergeCell ref="N7:N10"/>
    <mergeCell ref="E11:E13"/>
    <mergeCell ref="F11:F13"/>
    <mergeCell ref="J7:J10"/>
    <mergeCell ref="J11:J13"/>
    <mergeCell ref="K11:K13"/>
    <mergeCell ref="L11:L13"/>
    <mergeCell ref="M11:M13"/>
    <mergeCell ref="N11:N13"/>
    <mergeCell ref="E7:E10"/>
    <mergeCell ref="F7:F10"/>
    <mergeCell ref="H7:H16"/>
    <mergeCell ref="I7:I16"/>
    <mergeCell ref="K7:K10"/>
    <mergeCell ref="L7:L10"/>
    <mergeCell ref="G11:G13"/>
    <mergeCell ref="J20:J22"/>
    <mergeCell ref="K20:K22"/>
    <mergeCell ref="H17:H22"/>
    <mergeCell ref="I17:I22"/>
    <mergeCell ref="J17:J18"/>
    <mergeCell ref="N17:N18"/>
    <mergeCell ref="Q17:Q18"/>
    <mergeCell ref="R17:R18"/>
    <mergeCell ref="M20:M22"/>
    <mergeCell ref="N20:N22"/>
    <mergeCell ref="Q20:Q22"/>
    <mergeCell ref="R20:R22"/>
    <mergeCell ref="M23:M28"/>
    <mergeCell ref="N23:N28"/>
    <mergeCell ref="Q23:Q28"/>
    <mergeCell ref="R23:R28"/>
    <mergeCell ref="M17:M18"/>
    <mergeCell ref="N29:N34"/>
    <mergeCell ref="Q29:Q34"/>
    <mergeCell ref="R29:R34"/>
    <mergeCell ref="K39:K42"/>
    <mergeCell ref="L39:L42"/>
    <mergeCell ref="M39:M42"/>
    <mergeCell ref="N39:N42"/>
    <mergeCell ref="M29:M34"/>
    <mergeCell ref="H35:H43"/>
    <mergeCell ref="I35:I43"/>
    <mergeCell ref="K35:K38"/>
    <mergeCell ref="L35:L38"/>
    <mergeCell ref="M35:M38"/>
    <mergeCell ref="N35:N38"/>
    <mergeCell ref="H23:H34"/>
    <mergeCell ref="I23:I34"/>
    <mergeCell ref="J23:J28"/>
    <mergeCell ref="K23:K28"/>
    <mergeCell ref="L23:L28"/>
    <mergeCell ref="L29:L34"/>
    <mergeCell ref="J29:J34"/>
    <mergeCell ref="K29:K34"/>
    <mergeCell ref="R35:R38"/>
    <mergeCell ref="Q39:Q42"/>
    <mergeCell ref="B23:B34"/>
    <mergeCell ref="C23:C34"/>
    <mergeCell ref="A2:A52"/>
    <mergeCell ref="C2:C4"/>
    <mergeCell ref="E2:E3"/>
    <mergeCell ref="F2:F3"/>
    <mergeCell ref="G2:G4"/>
    <mergeCell ref="G5:G6"/>
    <mergeCell ref="G7:G10"/>
    <mergeCell ref="D2:D3"/>
    <mergeCell ref="D7:D10"/>
    <mergeCell ref="E23:E28"/>
    <mergeCell ref="F23:F28"/>
    <mergeCell ref="G23:G28"/>
    <mergeCell ref="D29:D34"/>
    <mergeCell ref="E29:E34"/>
    <mergeCell ref="F29:F34"/>
    <mergeCell ref="G29:G34"/>
    <mergeCell ref="B5:B6"/>
    <mergeCell ref="C5:C6"/>
    <mergeCell ref="F39:F42"/>
    <mergeCell ref="D39:D43"/>
    <mergeCell ref="E39:E42"/>
  </mergeCells>
  <conditionalFormatting sqref="R2:R4">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2:R52">
    <cfRule type="colorScale" priority="3">
      <colorScale>
        <cfvo type="min"/>
        <cfvo type="percentile" val="50"/>
        <cfvo type="max"/>
        <color rgb="FFF8696B"/>
        <color rgb="FFFFEB84"/>
        <color rgb="FF63BE7B"/>
      </colorScale>
    </cfRule>
  </conditionalFormatting>
  <conditionalFormatting sqref="R5:R7 R11 R17:R23 R29 R35:R46 R48 R52">
    <cfRule type="colorScale" priority="4">
      <colorScale>
        <cfvo type="min"/>
        <cfvo type="percentile" val="50"/>
        <cfvo type="max"/>
        <color rgb="FFF8696B"/>
        <color rgb="FFFFEB84"/>
        <color rgb="FF63BE7B"/>
      </colorScale>
    </cfRule>
  </conditionalFormatting>
  <conditionalFormatting sqref="R5:R13 R17:R23 R29 R35:R46 R48:R52">
    <cfRule type="colorScale" priority="8">
      <colorScale>
        <cfvo type="min"/>
        <cfvo type="percentile" val="50"/>
        <cfvo type="max"/>
        <color rgb="FFF8696B"/>
        <color rgb="FFFFEB84"/>
        <color rgb="FF63BE7B"/>
      </colorScale>
    </cfRule>
  </conditionalFormatting>
  <conditionalFormatting sqref="R5:R13 R17:R23 R29 R35:R52">
    <cfRule type="colorScale" priority="5">
      <colorScale>
        <cfvo type="min"/>
        <cfvo type="percentile" val="50"/>
        <cfvo type="max"/>
        <color rgb="FFF8696B"/>
        <color rgb="FFFFEB84"/>
        <color rgb="FF63BE7B"/>
      </colorScale>
    </cfRule>
  </conditionalFormatting>
  <conditionalFormatting sqref="R14:R16">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onditionalFormatting>
  <hyperlinks>
    <hyperlink ref="S4" r:id="rId1" xr:uid="{00000000-0004-0000-1600-000000000000}"/>
    <hyperlink ref="S7" r:id="rId2" xr:uid="{00000000-0004-0000-1600-000001000000}"/>
    <hyperlink ref="S8" r:id="rId3" xr:uid="{00000000-0004-0000-1600-000002000000}"/>
    <hyperlink ref="S10" r:id="rId4" location=":~:text=Rafter%20Spacing%20and%20Load%20Considerations%20*%2016,snow%20zones%20or%20with%20heavy%20roofing%20systems." xr:uid="{00000000-0004-0000-1600-000003000000}"/>
    <hyperlink ref="S16" r:id="rId5" xr:uid="{00000000-0004-0000-1600-000004000000}"/>
    <hyperlink ref="S25" r:id="rId6" xr:uid="{00000000-0004-0000-1600-000005000000}"/>
    <hyperlink ref="S27" r:id="rId7" xr:uid="{00000000-0004-0000-1600-000006000000}"/>
    <hyperlink ref="S30" r:id="rId8" xr:uid="{00000000-0004-0000-1600-000007000000}"/>
    <hyperlink ref="S34" r:id="rId9" xr:uid="{00000000-0004-0000-1600-000008000000}"/>
    <hyperlink ref="S35" r:id="rId10" xr:uid="{00000000-0004-0000-1600-000009000000}"/>
    <hyperlink ref="S41" r:id="rId11" xr:uid="{00000000-0004-0000-1600-00000A000000}"/>
    <hyperlink ref="S42" r:id="rId12" xr:uid="{00000000-0004-0000-1600-00000B000000}"/>
    <hyperlink ref="S46" r:id="rId13" xr:uid="{00000000-0004-0000-1600-00000C000000}"/>
    <hyperlink ref="S47" r:id="rId14" xr:uid="{00000000-0004-0000-1600-00000D000000}"/>
    <hyperlink ref="S48" r:id="rId15" xr:uid="{00000000-0004-0000-1600-00000E000000}"/>
    <hyperlink ref="S51" r:id="rId16" xr:uid="{00000000-0004-0000-1600-00000F000000}"/>
  </hyperlinks>
  <pageMargins left="0.7" right="0.7" top="0.75" bottom="0.75" header="0" footer="0"/>
  <pageSetup orientation="portrait"/>
  <drawing r:id="rId17"/>
  <legacyDrawing r:id="rId18"/>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1380</v>
      </c>
      <c r="R1" s="28" t="s">
        <v>133</v>
      </c>
      <c r="S1" s="28" t="s">
        <v>134</v>
      </c>
      <c r="T1" s="31"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185" t="s">
        <v>1381</v>
      </c>
      <c r="B2" s="183" t="s">
        <v>53</v>
      </c>
      <c r="C2" s="183" t="s">
        <v>139</v>
      </c>
      <c r="D2" s="179" t="s">
        <v>140</v>
      </c>
      <c r="E2" s="179" t="s">
        <v>140</v>
      </c>
      <c r="F2" s="179" t="s">
        <v>140</v>
      </c>
      <c r="G2" s="182">
        <v>1</v>
      </c>
      <c r="H2" s="182">
        <v>690</v>
      </c>
      <c r="I2" s="183" t="s">
        <v>142</v>
      </c>
      <c r="J2" s="178">
        <v>0.66666666666666663</v>
      </c>
      <c r="K2" s="178">
        <v>1.5</v>
      </c>
      <c r="L2" s="178">
        <v>150</v>
      </c>
      <c r="M2" s="179" t="s">
        <v>1383</v>
      </c>
      <c r="N2" s="188">
        <f>L2*K2*J2*H2</f>
        <v>103500</v>
      </c>
      <c r="O2" s="186">
        <v>17000</v>
      </c>
      <c r="P2" s="187" t="s">
        <v>1384</v>
      </c>
      <c r="Q2" s="175">
        <f>N2/O2</f>
        <v>6.0882352941176467</v>
      </c>
      <c r="R2" s="191">
        <v>4</v>
      </c>
      <c r="S2" s="14" t="s">
        <v>149</v>
      </c>
      <c r="T2" s="14" t="s">
        <v>150</v>
      </c>
    </row>
    <row r="3" spans="1:40" ht="14.25" customHeight="1" x14ac:dyDescent="0.2">
      <c r="A3" s="181"/>
      <c r="B3" s="181"/>
      <c r="C3" s="181"/>
      <c r="D3" s="176"/>
      <c r="E3" s="176"/>
      <c r="F3" s="176"/>
      <c r="G3" s="181"/>
      <c r="H3" s="181"/>
      <c r="I3" s="181"/>
      <c r="J3" s="181"/>
      <c r="K3" s="181"/>
      <c r="L3" s="176"/>
      <c r="M3" s="176"/>
      <c r="N3" s="176"/>
      <c r="O3" s="181"/>
      <c r="P3" s="181"/>
      <c r="Q3" s="176"/>
      <c r="R3" s="176"/>
      <c r="S3" s="14" t="s">
        <v>401</v>
      </c>
      <c r="T3" s="14" t="s">
        <v>402</v>
      </c>
    </row>
    <row r="4" spans="1:40" ht="14.25" customHeight="1" x14ac:dyDescent="0.2">
      <c r="A4" s="181"/>
      <c r="B4" s="176"/>
      <c r="C4" s="176"/>
      <c r="D4" s="14" t="s">
        <v>154</v>
      </c>
      <c r="E4" s="14" t="s">
        <v>155</v>
      </c>
      <c r="F4" s="14" t="s">
        <v>156</v>
      </c>
      <c r="G4" s="176"/>
      <c r="H4" s="176"/>
      <c r="I4" s="176"/>
      <c r="J4" s="176"/>
      <c r="K4" s="176"/>
      <c r="L4" s="14">
        <v>5.25</v>
      </c>
      <c r="M4" s="14" t="s">
        <v>1386</v>
      </c>
      <c r="N4" s="38">
        <f>L4*K2*J2*H2</f>
        <v>3622.5</v>
      </c>
      <c r="O4" s="181"/>
      <c r="P4" s="181"/>
      <c r="Q4" s="19">
        <f t="shared" ref="Q4:Q7" si="0">N4/$O$2</f>
        <v>0.21308823529411763</v>
      </c>
      <c r="R4" s="48">
        <v>4</v>
      </c>
      <c r="S4" s="40" t="s">
        <v>240</v>
      </c>
      <c r="T4" s="14" t="s">
        <v>405</v>
      </c>
    </row>
    <row r="5" spans="1:40" ht="14.25" customHeight="1" x14ac:dyDescent="0.2">
      <c r="A5" s="181"/>
      <c r="B5" s="183" t="s">
        <v>164</v>
      </c>
      <c r="C5" s="183" t="s">
        <v>165</v>
      </c>
      <c r="D5" s="14" t="s">
        <v>140</v>
      </c>
      <c r="E5" s="41" t="s">
        <v>140</v>
      </c>
      <c r="F5" s="41" t="s">
        <v>140</v>
      </c>
      <c r="G5" s="182">
        <v>1</v>
      </c>
      <c r="H5" s="182">
        <v>17200</v>
      </c>
      <c r="I5" s="183" t="s">
        <v>166</v>
      </c>
      <c r="J5" s="175">
        <v>0.5</v>
      </c>
      <c r="K5" s="179" t="s">
        <v>27</v>
      </c>
      <c r="L5" s="14">
        <v>150</v>
      </c>
      <c r="M5" s="14" t="s">
        <v>1387</v>
      </c>
      <c r="N5" s="38">
        <f>L5*J5*H5</f>
        <v>1290000</v>
      </c>
      <c r="O5" s="181"/>
      <c r="P5" s="181"/>
      <c r="Q5" s="19">
        <f t="shared" si="0"/>
        <v>75.882352941176464</v>
      </c>
      <c r="R5" s="49">
        <v>5</v>
      </c>
      <c r="S5" s="14" t="s">
        <v>169</v>
      </c>
      <c r="T5" s="14"/>
    </row>
    <row r="6" spans="1:40" ht="14.25" customHeight="1" x14ac:dyDescent="0.2">
      <c r="A6" s="181"/>
      <c r="B6" s="176"/>
      <c r="C6" s="176"/>
      <c r="D6" s="14" t="s">
        <v>154</v>
      </c>
      <c r="E6" s="41" t="s">
        <v>155</v>
      </c>
      <c r="F6" s="41" t="s">
        <v>156</v>
      </c>
      <c r="G6" s="176"/>
      <c r="H6" s="176"/>
      <c r="I6" s="176"/>
      <c r="J6" s="176"/>
      <c r="K6" s="176"/>
      <c r="L6" s="14">
        <v>6</v>
      </c>
      <c r="M6" s="14" t="s">
        <v>1389</v>
      </c>
      <c r="N6" s="38">
        <f>L6*J5*H5</f>
        <v>51600</v>
      </c>
      <c r="O6" s="181"/>
      <c r="P6" s="181"/>
      <c r="Q6" s="19">
        <f t="shared" si="0"/>
        <v>3.0352941176470587</v>
      </c>
      <c r="R6" s="49">
        <v>5</v>
      </c>
      <c r="S6" s="14" t="s">
        <v>174</v>
      </c>
      <c r="T6" s="14" t="s">
        <v>175</v>
      </c>
    </row>
    <row r="7" spans="1:40" ht="14.25" customHeight="1" x14ac:dyDescent="0.2">
      <c r="A7" s="181"/>
      <c r="B7" s="183" t="s">
        <v>209</v>
      </c>
      <c r="C7" s="184" t="s">
        <v>210</v>
      </c>
      <c r="D7" s="179" t="s">
        <v>411</v>
      </c>
      <c r="E7" s="179" t="s">
        <v>155</v>
      </c>
      <c r="F7" s="179" t="s">
        <v>9</v>
      </c>
      <c r="G7" s="178">
        <v>374</v>
      </c>
      <c r="H7" s="182">
        <v>18000</v>
      </c>
      <c r="I7" s="182" t="s">
        <v>166</v>
      </c>
      <c r="J7" s="175" t="s">
        <v>27</v>
      </c>
      <c r="K7" s="178">
        <v>10</v>
      </c>
      <c r="L7" s="178">
        <v>2.1</v>
      </c>
      <c r="M7" s="179" t="s">
        <v>180</v>
      </c>
      <c r="N7" s="180">
        <f>L7*K7*G7</f>
        <v>7854</v>
      </c>
      <c r="O7" s="181"/>
      <c r="P7" s="181"/>
      <c r="Q7" s="175">
        <f t="shared" si="0"/>
        <v>0.46200000000000002</v>
      </c>
      <c r="R7" s="190">
        <v>2</v>
      </c>
      <c r="S7" s="14" t="s">
        <v>213</v>
      </c>
      <c r="T7" s="14" t="s">
        <v>1391</v>
      </c>
    </row>
    <row r="8" spans="1:40" ht="14.25" customHeight="1" x14ac:dyDescent="0.2">
      <c r="A8" s="181"/>
      <c r="B8" s="181"/>
      <c r="C8" s="181"/>
      <c r="D8" s="181"/>
      <c r="E8" s="181"/>
      <c r="F8" s="181"/>
      <c r="G8" s="181"/>
      <c r="H8" s="181"/>
      <c r="I8" s="181"/>
      <c r="J8" s="181"/>
      <c r="K8" s="181"/>
      <c r="L8" s="181"/>
      <c r="M8" s="181"/>
      <c r="N8" s="181"/>
      <c r="O8" s="181"/>
      <c r="P8" s="181"/>
      <c r="Q8" s="181"/>
      <c r="R8" s="181"/>
      <c r="S8" s="40" t="s">
        <v>420</v>
      </c>
      <c r="T8" s="14" t="s">
        <v>421</v>
      </c>
    </row>
    <row r="9" spans="1:40" ht="14.25" customHeight="1" x14ac:dyDescent="0.2">
      <c r="A9" s="181"/>
      <c r="B9" s="181"/>
      <c r="C9" s="181"/>
      <c r="D9" s="181"/>
      <c r="E9" s="181"/>
      <c r="F9" s="181"/>
      <c r="G9" s="181"/>
      <c r="H9" s="181"/>
      <c r="I9" s="181"/>
      <c r="J9" s="181"/>
      <c r="K9" s="181"/>
      <c r="L9" s="181"/>
      <c r="M9" s="181"/>
      <c r="N9" s="181"/>
      <c r="O9" s="181"/>
      <c r="P9" s="181"/>
      <c r="Q9" s="181"/>
      <c r="R9" s="181"/>
      <c r="S9" s="40" t="s">
        <v>423</v>
      </c>
      <c r="T9" s="14" t="s">
        <v>425</v>
      </c>
    </row>
    <row r="10" spans="1:40" ht="14.25" customHeight="1" x14ac:dyDescent="0.2">
      <c r="A10" s="181"/>
      <c r="B10" s="181"/>
      <c r="C10" s="181"/>
      <c r="D10" s="181"/>
      <c r="E10" s="181"/>
      <c r="F10" s="181"/>
      <c r="G10" s="181"/>
      <c r="H10" s="181"/>
      <c r="I10" s="181"/>
      <c r="J10" s="181"/>
      <c r="K10" s="181"/>
      <c r="L10" s="181"/>
      <c r="M10" s="181"/>
      <c r="N10" s="181"/>
      <c r="O10" s="181"/>
      <c r="P10" s="181"/>
      <c r="Q10" s="181"/>
      <c r="R10" s="181"/>
      <c r="S10" s="40" t="s">
        <v>427</v>
      </c>
      <c r="T10" s="14" t="s">
        <v>428</v>
      </c>
    </row>
    <row r="11" spans="1:40" ht="14.25" customHeight="1" x14ac:dyDescent="0.2">
      <c r="A11" s="181"/>
      <c r="B11" s="181"/>
      <c r="C11" s="181"/>
      <c r="D11" s="181"/>
      <c r="E11" s="181"/>
      <c r="F11" s="181"/>
      <c r="G11" s="181"/>
      <c r="H11" s="181"/>
      <c r="I11" s="181"/>
      <c r="J11" s="181"/>
      <c r="K11" s="181"/>
      <c r="L11" s="181"/>
      <c r="M11" s="181"/>
      <c r="N11" s="181"/>
      <c r="O11" s="181"/>
      <c r="P11" s="181"/>
      <c r="Q11" s="181"/>
      <c r="R11" s="181"/>
      <c r="S11" s="40" t="s">
        <v>431</v>
      </c>
      <c r="T11" s="14" t="s">
        <v>432</v>
      </c>
    </row>
    <row r="12" spans="1:40" ht="14.25" customHeight="1" x14ac:dyDescent="0.2">
      <c r="A12" s="181"/>
      <c r="B12" s="181"/>
      <c r="C12" s="181"/>
      <c r="D12" s="176"/>
      <c r="E12" s="176"/>
      <c r="F12" s="176"/>
      <c r="G12" s="176"/>
      <c r="H12" s="181"/>
      <c r="I12" s="181"/>
      <c r="J12" s="176"/>
      <c r="K12" s="176"/>
      <c r="L12" s="176"/>
      <c r="M12" s="176"/>
      <c r="N12" s="176"/>
      <c r="O12" s="181"/>
      <c r="P12" s="181"/>
      <c r="Q12" s="176"/>
      <c r="R12" s="176"/>
      <c r="S12" s="40" t="s">
        <v>436</v>
      </c>
      <c r="T12" s="14" t="s">
        <v>438</v>
      </c>
    </row>
    <row r="13" spans="1:40" ht="14.25" customHeight="1" x14ac:dyDescent="0.2">
      <c r="A13" s="181"/>
      <c r="B13" s="181"/>
      <c r="C13" s="181"/>
      <c r="D13" s="179" t="s">
        <v>185</v>
      </c>
      <c r="E13" s="179" t="s">
        <v>155</v>
      </c>
      <c r="F13" s="179" t="s">
        <v>9</v>
      </c>
      <c r="G13" s="178">
        <v>35</v>
      </c>
      <c r="H13" s="181"/>
      <c r="I13" s="181"/>
      <c r="J13" s="175" t="s">
        <v>27</v>
      </c>
      <c r="K13" s="178">
        <v>50</v>
      </c>
      <c r="L13" s="178">
        <v>11.8</v>
      </c>
      <c r="M13" s="179" t="s">
        <v>221</v>
      </c>
      <c r="N13" s="180">
        <f>L13*G13/2*K13+G13/2*50*L13</f>
        <v>20650</v>
      </c>
      <c r="O13" s="181"/>
      <c r="P13" s="181"/>
      <c r="Q13" s="175">
        <f>N13/$O$2</f>
        <v>1.2147058823529411</v>
      </c>
      <c r="R13" s="190">
        <v>2</v>
      </c>
      <c r="S13" s="14" t="s">
        <v>191</v>
      </c>
      <c r="T13" s="14" t="s">
        <v>1394</v>
      </c>
    </row>
    <row r="14" spans="1:40" ht="14.25" customHeight="1" x14ac:dyDescent="0.2">
      <c r="A14" s="181"/>
      <c r="B14" s="181"/>
      <c r="C14" s="181"/>
      <c r="D14" s="181"/>
      <c r="E14" s="181"/>
      <c r="F14" s="181"/>
      <c r="G14" s="181"/>
      <c r="H14" s="181"/>
      <c r="I14" s="181"/>
      <c r="J14" s="181"/>
      <c r="K14" s="181"/>
      <c r="L14" s="181"/>
      <c r="M14" s="181"/>
      <c r="N14" s="181"/>
      <c r="O14" s="181"/>
      <c r="P14" s="181"/>
      <c r="Q14" s="181"/>
      <c r="R14" s="181"/>
      <c r="S14" s="40" t="s">
        <v>224</v>
      </c>
      <c r="T14" s="14" t="s">
        <v>572</v>
      </c>
    </row>
    <row r="15" spans="1:40" ht="14.25" customHeight="1" x14ac:dyDescent="0.2">
      <c r="A15" s="181"/>
      <c r="B15" s="181"/>
      <c r="C15" s="181"/>
      <c r="D15" s="181"/>
      <c r="E15" s="181"/>
      <c r="F15" s="181"/>
      <c r="G15" s="181"/>
      <c r="H15" s="181"/>
      <c r="I15" s="181"/>
      <c r="J15" s="181"/>
      <c r="K15" s="181"/>
      <c r="L15" s="181"/>
      <c r="M15" s="181"/>
      <c r="N15" s="181"/>
      <c r="O15" s="181"/>
      <c r="P15" s="181"/>
      <c r="Q15" s="181"/>
      <c r="R15" s="181"/>
      <c r="S15" s="40" t="s">
        <v>227</v>
      </c>
      <c r="T15" s="14" t="s">
        <v>576</v>
      </c>
    </row>
    <row r="16" spans="1:40" ht="14.25" customHeight="1" x14ac:dyDescent="0.2">
      <c r="A16" s="181"/>
      <c r="B16" s="181"/>
      <c r="C16" s="181"/>
      <c r="D16" s="181"/>
      <c r="E16" s="181"/>
      <c r="F16" s="181"/>
      <c r="G16" s="181"/>
      <c r="H16" s="181"/>
      <c r="I16" s="181"/>
      <c r="J16" s="181"/>
      <c r="K16" s="181"/>
      <c r="L16" s="181"/>
      <c r="M16" s="181"/>
      <c r="N16" s="181"/>
      <c r="O16" s="181"/>
      <c r="P16" s="181"/>
      <c r="Q16" s="181"/>
      <c r="R16" s="181"/>
      <c r="S16" s="40" t="s">
        <v>1397</v>
      </c>
      <c r="T16" s="14" t="s">
        <v>1398</v>
      </c>
    </row>
    <row r="17" spans="1:38" ht="14.25" customHeight="1" x14ac:dyDescent="0.2">
      <c r="A17" s="181"/>
      <c r="B17" s="181"/>
      <c r="C17" s="181"/>
      <c r="D17" s="181"/>
      <c r="E17" s="181"/>
      <c r="F17" s="181"/>
      <c r="G17" s="181"/>
      <c r="H17" s="181"/>
      <c r="I17" s="181"/>
      <c r="J17" s="181"/>
      <c r="K17" s="181"/>
      <c r="L17" s="181"/>
      <c r="M17" s="181"/>
      <c r="N17" s="181"/>
      <c r="O17" s="181"/>
      <c r="P17" s="181"/>
      <c r="Q17" s="181"/>
      <c r="R17" s="181"/>
      <c r="S17" s="14" t="s">
        <v>229</v>
      </c>
      <c r="T17" s="14" t="s">
        <v>1399</v>
      </c>
    </row>
    <row r="18" spans="1:38" ht="14.25" customHeight="1" x14ac:dyDescent="0.2">
      <c r="A18" s="181"/>
      <c r="B18" s="181"/>
      <c r="C18" s="181"/>
      <c r="D18" s="176"/>
      <c r="E18" s="176"/>
      <c r="F18" s="176"/>
      <c r="G18" s="176"/>
      <c r="H18" s="181"/>
      <c r="I18" s="181"/>
      <c r="J18" s="176"/>
      <c r="K18" s="176"/>
      <c r="L18" s="176"/>
      <c r="M18" s="176"/>
      <c r="N18" s="176"/>
      <c r="O18" s="181"/>
      <c r="P18" s="181"/>
      <c r="Q18" s="176"/>
      <c r="R18" s="176"/>
      <c r="S18" s="40" t="s">
        <v>216</v>
      </c>
      <c r="T18" s="14" t="s">
        <v>217</v>
      </c>
    </row>
    <row r="19" spans="1:38" ht="14.25" customHeight="1" x14ac:dyDescent="0.2">
      <c r="A19" s="181"/>
      <c r="B19" s="181"/>
      <c r="C19" s="181"/>
      <c r="D19" s="179" t="s">
        <v>197</v>
      </c>
      <c r="E19" s="179" t="s">
        <v>155</v>
      </c>
      <c r="F19" s="179" t="s">
        <v>8</v>
      </c>
      <c r="G19" s="178">
        <v>72</v>
      </c>
      <c r="H19" s="181"/>
      <c r="I19" s="181"/>
      <c r="J19" s="175" t="s">
        <v>1401</v>
      </c>
      <c r="K19" s="178">
        <v>21</v>
      </c>
      <c r="L19" s="178">
        <v>24</v>
      </c>
      <c r="M19" s="179" t="s">
        <v>221</v>
      </c>
      <c r="N19" s="180">
        <f>G19*K19*L19</f>
        <v>36288</v>
      </c>
      <c r="O19" s="181"/>
      <c r="P19" s="181"/>
      <c r="Q19" s="175">
        <f>N19/$O$2</f>
        <v>2.1345882352941175</v>
      </c>
      <c r="R19" s="190">
        <v>2</v>
      </c>
      <c r="S19" s="40" t="s">
        <v>181</v>
      </c>
      <c r="T19" s="14" t="s">
        <v>1404</v>
      </c>
    </row>
    <row r="20" spans="1:38" ht="14.25" customHeight="1" x14ac:dyDescent="0.2">
      <c r="A20" s="181"/>
      <c r="B20" s="181"/>
      <c r="C20" s="181"/>
      <c r="D20" s="176"/>
      <c r="E20" s="176"/>
      <c r="F20" s="176"/>
      <c r="G20" s="176"/>
      <c r="H20" s="181"/>
      <c r="I20" s="181"/>
      <c r="J20" s="176"/>
      <c r="K20" s="176"/>
      <c r="L20" s="176"/>
      <c r="M20" s="176"/>
      <c r="N20" s="176"/>
      <c r="O20" s="181"/>
      <c r="P20" s="181"/>
      <c r="Q20" s="176"/>
      <c r="R20" s="176"/>
      <c r="S20" s="40" t="s">
        <v>237</v>
      </c>
      <c r="T20" s="14" t="s">
        <v>1405</v>
      </c>
    </row>
    <row r="21" spans="1:38" ht="14.25" customHeight="1" x14ac:dyDescent="0.2">
      <c r="A21" s="181"/>
      <c r="B21" s="181"/>
      <c r="C21" s="181"/>
      <c r="D21" s="179" t="s">
        <v>239</v>
      </c>
      <c r="E21" s="179" t="s">
        <v>155</v>
      </c>
      <c r="F21" s="179" t="s">
        <v>7</v>
      </c>
      <c r="G21" s="182">
        <v>1</v>
      </c>
      <c r="H21" s="181"/>
      <c r="I21" s="181"/>
      <c r="J21" s="175">
        <v>3.3333333333333335E-3</v>
      </c>
      <c r="K21" s="179" t="s">
        <v>27</v>
      </c>
      <c r="L21" s="178">
        <v>1.6559999999999999</v>
      </c>
      <c r="M21" s="179" t="s">
        <v>1408</v>
      </c>
      <c r="N21" s="180">
        <f>L21*H7</f>
        <v>29808</v>
      </c>
      <c r="O21" s="181"/>
      <c r="P21" s="181"/>
      <c r="Q21" s="175">
        <f>N21/$O$2</f>
        <v>1.7534117647058824</v>
      </c>
      <c r="R21" s="191">
        <v>4</v>
      </c>
      <c r="S21" s="14" t="s">
        <v>243</v>
      </c>
      <c r="T21" s="14" t="s">
        <v>244</v>
      </c>
    </row>
    <row r="22" spans="1:38" ht="14.25" customHeight="1" x14ac:dyDescent="0.2">
      <c r="A22" s="181"/>
      <c r="B22" s="181"/>
      <c r="C22" s="181"/>
      <c r="D22" s="181"/>
      <c r="E22" s="181"/>
      <c r="F22" s="181"/>
      <c r="G22" s="181"/>
      <c r="H22" s="181"/>
      <c r="I22" s="181"/>
      <c r="J22" s="181"/>
      <c r="K22" s="181"/>
      <c r="L22" s="181"/>
      <c r="M22" s="181"/>
      <c r="N22" s="181"/>
      <c r="O22" s="181"/>
      <c r="P22" s="181"/>
      <c r="Q22" s="181"/>
      <c r="R22" s="181"/>
      <c r="S22" s="40" t="s">
        <v>610</v>
      </c>
      <c r="T22" s="14" t="s">
        <v>611</v>
      </c>
    </row>
    <row r="23" spans="1:38" ht="14.25" customHeight="1" x14ac:dyDescent="0.2">
      <c r="A23" s="181"/>
      <c r="B23" s="176"/>
      <c r="C23" s="176"/>
      <c r="D23" s="176"/>
      <c r="E23" s="176"/>
      <c r="F23" s="176"/>
      <c r="G23" s="176"/>
      <c r="H23" s="176"/>
      <c r="I23" s="176"/>
      <c r="J23" s="176"/>
      <c r="K23" s="176"/>
      <c r="L23" s="176"/>
      <c r="M23" s="176"/>
      <c r="N23" s="176"/>
      <c r="O23" s="181"/>
      <c r="P23" s="181"/>
      <c r="Q23" s="176"/>
      <c r="R23" s="176"/>
      <c r="S23" s="40" t="s">
        <v>246</v>
      </c>
      <c r="T23" s="14" t="s">
        <v>247</v>
      </c>
    </row>
    <row r="24" spans="1:38" ht="16.5" customHeight="1" x14ac:dyDescent="0.2">
      <c r="A24" s="181"/>
      <c r="B24" s="187" t="s">
        <v>251</v>
      </c>
      <c r="C24" s="184" t="s">
        <v>285</v>
      </c>
      <c r="D24" s="179" t="s">
        <v>140</v>
      </c>
      <c r="E24" s="179" t="s">
        <v>140</v>
      </c>
      <c r="F24" s="179" t="s">
        <v>140</v>
      </c>
      <c r="G24" s="182">
        <v>1</v>
      </c>
      <c r="H24" s="182">
        <v>4200</v>
      </c>
      <c r="I24" s="183" t="s">
        <v>166</v>
      </c>
      <c r="J24" s="175">
        <v>0.60416666666666663</v>
      </c>
      <c r="K24" s="179" t="s">
        <v>27</v>
      </c>
      <c r="L24" s="178">
        <v>150</v>
      </c>
      <c r="M24" s="179" t="s">
        <v>1410</v>
      </c>
      <c r="N24" s="180">
        <f>H24*L24*J24</f>
        <v>380625</v>
      </c>
      <c r="O24" s="181"/>
      <c r="P24" s="181"/>
      <c r="Q24" s="175">
        <f>N24/$O$2</f>
        <v>22.389705882352942</v>
      </c>
      <c r="R24" s="190">
        <v>3</v>
      </c>
      <c r="S24" s="14" t="s">
        <v>549</v>
      </c>
      <c r="T24" s="14" t="s">
        <v>550</v>
      </c>
    </row>
    <row r="25" spans="1:38" ht="16.5" customHeight="1" x14ac:dyDescent="0.2">
      <c r="A25" s="181"/>
      <c r="B25" s="181"/>
      <c r="C25" s="181"/>
      <c r="D25" s="181"/>
      <c r="E25" s="181"/>
      <c r="F25" s="181"/>
      <c r="G25" s="181"/>
      <c r="H25" s="181"/>
      <c r="I25" s="181"/>
      <c r="J25" s="181"/>
      <c r="K25" s="181"/>
      <c r="L25" s="181"/>
      <c r="M25" s="181"/>
      <c r="N25" s="181"/>
      <c r="O25" s="181"/>
      <c r="P25" s="181"/>
      <c r="Q25" s="181"/>
      <c r="R25" s="181"/>
      <c r="S25" s="14" t="s">
        <v>270</v>
      </c>
      <c r="T25" s="14" t="s">
        <v>271</v>
      </c>
    </row>
    <row r="26" spans="1:38" ht="16.5" customHeight="1" x14ac:dyDescent="0.2">
      <c r="A26" s="181"/>
      <c r="B26" s="181"/>
      <c r="C26" s="181"/>
      <c r="D26" s="181"/>
      <c r="E26" s="181"/>
      <c r="F26" s="181"/>
      <c r="G26" s="181"/>
      <c r="H26" s="181"/>
      <c r="I26" s="181"/>
      <c r="J26" s="181"/>
      <c r="K26" s="181"/>
      <c r="L26" s="181"/>
      <c r="M26" s="181"/>
      <c r="N26" s="181"/>
      <c r="O26" s="181"/>
      <c r="P26" s="181"/>
      <c r="Q26" s="181"/>
      <c r="R26" s="181"/>
      <c r="S26" s="14" t="s">
        <v>552</v>
      </c>
      <c r="T26" s="14" t="s">
        <v>553</v>
      </c>
    </row>
    <row r="27" spans="1:38" ht="16.5" customHeight="1" x14ac:dyDescent="0.2">
      <c r="A27" s="181"/>
      <c r="B27" s="181"/>
      <c r="C27" s="181"/>
      <c r="D27" s="176"/>
      <c r="E27" s="176"/>
      <c r="F27" s="176"/>
      <c r="G27" s="181"/>
      <c r="H27" s="181"/>
      <c r="I27" s="181"/>
      <c r="J27" s="176"/>
      <c r="K27" s="176"/>
      <c r="L27" s="176"/>
      <c r="M27" s="176"/>
      <c r="N27" s="176"/>
      <c r="O27" s="181"/>
      <c r="P27" s="181"/>
      <c r="Q27" s="176"/>
      <c r="R27" s="176"/>
      <c r="S27" s="40" t="s">
        <v>262</v>
      </c>
      <c r="T27" s="14" t="s">
        <v>471</v>
      </c>
    </row>
    <row r="28" spans="1:38" ht="15" customHeight="1" x14ac:dyDescent="0.2">
      <c r="A28" s="181"/>
      <c r="B28" s="181"/>
      <c r="C28" s="176"/>
      <c r="D28" s="41" t="s">
        <v>154</v>
      </c>
      <c r="E28" s="41" t="s">
        <v>155</v>
      </c>
      <c r="F28" s="41" t="s">
        <v>156</v>
      </c>
      <c r="G28" s="176"/>
      <c r="H28" s="176"/>
      <c r="I28" s="176"/>
      <c r="J28" s="51" t="s">
        <v>27</v>
      </c>
      <c r="K28" s="41" t="s">
        <v>27</v>
      </c>
      <c r="L28" s="53">
        <v>1.9</v>
      </c>
      <c r="M28" s="14" t="s">
        <v>1411</v>
      </c>
      <c r="N28" s="54">
        <f>L28*H24</f>
        <v>7980</v>
      </c>
      <c r="O28" s="181"/>
      <c r="P28" s="181"/>
      <c r="Q28" s="57">
        <f t="shared" ref="Q28:Q35" si="1">N28/$O$2</f>
        <v>0.46941176470588236</v>
      </c>
      <c r="R28" s="62">
        <v>3</v>
      </c>
      <c r="S28" s="14" t="s">
        <v>280</v>
      </c>
      <c r="T28" s="14" t="s">
        <v>281</v>
      </c>
      <c r="U28" s="63"/>
      <c r="V28" s="63"/>
      <c r="W28" s="63"/>
      <c r="X28" s="63"/>
      <c r="Y28" s="63"/>
      <c r="Z28" s="63"/>
      <c r="AA28" s="63"/>
      <c r="AB28" s="63"/>
      <c r="AC28" s="63"/>
      <c r="AD28" s="63"/>
      <c r="AE28" s="63"/>
      <c r="AF28" s="63"/>
      <c r="AG28" s="63"/>
      <c r="AH28" s="63"/>
      <c r="AI28" s="63"/>
      <c r="AJ28" s="63"/>
      <c r="AK28" s="63"/>
      <c r="AL28" s="63"/>
    </row>
    <row r="29" spans="1:38" ht="15" customHeight="1" x14ac:dyDescent="0.2">
      <c r="A29" s="181"/>
      <c r="B29" s="181"/>
      <c r="C29" s="184" t="s">
        <v>268</v>
      </c>
      <c r="D29" s="50" t="s">
        <v>269</v>
      </c>
      <c r="E29" s="50" t="s">
        <v>155</v>
      </c>
      <c r="F29" s="50" t="s">
        <v>7</v>
      </c>
      <c r="G29" s="182">
        <v>1</v>
      </c>
      <c r="H29" s="182">
        <v>10500</v>
      </c>
      <c r="I29" s="183" t="s">
        <v>166</v>
      </c>
      <c r="J29" s="51">
        <v>5.0000000000000001E-3</v>
      </c>
      <c r="K29" s="41" t="s">
        <v>27</v>
      </c>
      <c r="L29" s="53">
        <v>480</v>
      </c>
      <c r="M29" s="14" t="s">
        <v>1413</v>
      </c>
      <c r="N29" s="54">
        <f>H29*J29*L29</f>
        <v>25200</v>
      </c>
      <c r="O29" s="181"/>
      <c r="P29" s="181"/>
      <c r="Q29" s="57">
        <f t="shared" si="1"/>
        <v>1.4823529411764707</v>
      </c>
      <c r="R29" s="62">
        <v>2</v>
      </c>
      <c r="S29" s="40" t="s">
        <v>275</v>
      </c>
      <c r="T29" s="14" t="s">
        <v>276</v>
      </c>
      <c r="U29" s="63"/>
      <c r="V29" s="63"/>
      <c r="W29" s="63"/>
      <c r="X29" s="63"/>
      <c r="Y29" s="63"/>
      <c r="Z29" s="63"/>
      <c r="AA29" s="63"/>
      <c r="AB29" s="63"/>
      <c r="AC29" s="63"/>
      <c r="AD29" s="63"/>
      <c r="AE29" s="63"/>
      <c r="AF29" s="63"/>
      <c r="AG29" s="63"/>
      <c r="AH29" s="63"/>
      <c r="AI29" s="63"/>
      <c r="AJ29" s="63"/>
      <c r="AK29" s="63"/>
      <c r="AL29" s="63"/>
    </row>
    <row r="30" spans="1:38" ht="15" customHeight="1" x14ac:dyDescent="0.2">
      <c r="A30" s="181"/>
      <c r="B30" s="181"/>
      <c r="C30" s="181"/>
      <c r="D30" s="50" t="s">
        <v>872</v>
      </c>
      <c r="E30" s="50" t="s">
        <v>279</v>
      </c>
      <c r="F30" s="50" t="s">
        <v>14</v>
      </c>
      <c r="G30" s="181"/>
      <c r="H30" s="181"/>
      <c r="I30" s="181"/>
      <c r="J30" s="51" t="s">
        <v>27</v>
      </c>
      <c r="K30" s="41" t="s">
        <v>27</v>
      </c>
      <c r="L30" s="53">
        <v>0.15</v>
      </c>
      <c r="M30" s="14" t="s">
        <v>1415</v>
      </c>
      <c r="N30" s="54">
        <f>L30*H29</f>
        <v>1575</v>
      </c>
      <c r="O30" s="181"/>
      <c r="P30" s="181"/>
      <c r="Q30" s="57">
        <f t="shared" si="1"/>
        <v>9.2647058823529416E-2</v>
      </c>
      <c r="R30" s="62">
        <v>2</v>
      </c>
      <c r="S30" s="40" t="s">
        <v>1416</v>
      </c>
      <c r="T30" s="14" t="s">
        <v>1417</v>
      </c>
      <c r="U30" s="63"/>
      <c r="V30" s="63"/>
      <c r="W30" s="63"/>
      <c r="X30" s="63"/>
      <c r="Y30" s="63"/>
      <c r="Z30" s="63"/>
      <c r="AA30" s="63"/>
      <c r="AB30" s="63"/>
      <c r="AC30" s="63"/>
      <c r="AD30" s="63"/>
      <c r="AE30" s="63"/>
      <c r="AF30" s="63"/>
      <c r="AG30" s="63"/>
      <c r="AH30" s="63"/>
      <c r="AI30" s="63"/>
      <c r="AJ30" s="63"/>
      <c r="AK30" s="63"/>
      <c r="AL30" s="63"/>
    </row>
    <row r="31" spans="1:38" ht="15" customHeight="1" x14ac:dyDescent="0.2">
      <c r="A31" s="181"/>
      <c r="B31" s="181"/>
      <c r="C31" s="181"/>
      <c r="D31" s="50" t="s">
        <v>286</v>
      </c>
      <c r="E31" s="50" t="s">
        <v>287</v>
      </c>
      <c r="F31" s="50" t="s">
        <v>288</v>
      </c>
      <c r="G31" s="181"/>
      <c r="H31" s="181"/>
      <c r="I31" s="181"/>
      <c r="J31" s="51">
        <v>0.16666666666666666</v>
      </c>
      <c r="K31" s="41" t="s">
        <v>27</v>
      </c>
      <c r="L31" s="53">
        <v>2.5</v>
      </c>
      <c r="M31" s="14" t="s">
        <v>1419</v>
      </c>
      <c r="N31" s="54">
        <f>H29*J31*L31</f>
        <v>4375</v>
      </c>
      <c r="O31" s="181"/>
      <c r="P31" s="181"/>
      <c r="Q31" s="57">
        <f t="shared" si="1"/>
        <v>0.25735294117647056</v>
      </c>
      <c r="R31" s="62">
        <v>2</v>
      </c>
      <c r="S31" s="14" t="s">
        <v>291</v>
      </c>
      <c r="T31" s="14" t="s">
        <v>292</v>
      </c>
      <c r="U31" s="63"/>
      <c r="V31" s="63"/>
      <c r="W31" s="63"/>
      <c r="X31" s="63"/>
      <c r="Y31" s="63"/>
      <c r="Z31" s="63"/>
      <c r="AA31" s="63"/>
      <c r="AB31" s="63"/>
      <c r="AC31" s="63"/>
      <c r="AD31" s="63"/>
      <c r="AE31" s="63"/>
      <c r="AF31" s="63"/>
      <c r="AG31" s="63"/>
      <c r="AH31" s="63"/>
      <c r="AI31" s="63"/>
      <c r="AJ31" s="63"/>
      <c r="AK31" s="63"/>
      <c r="AL31" s="63"/>
    </row>
    <row r="32" spans="1:38" ht="15" customHeight="1" x14ac:dyDescent="0.2">
      <c r="A32" s="181"/>
      <c r="B32" s="176"/>
      <c r="C32" s="176"/>
      <c r="D32" s="50" t="s">
        <v>293</v>
      </c>
      <c r="E32" s="50" t="s">
        <v>294</v>
      </c>
      <c r="F32" s="50" t="s">
        <v>12</v>
      </c>
      <c r="G32" s="176"/>
      <c r="H32" s="176"/>
      <c r="I32" s="176"/>
      <c r="J32" s="51">
        <v>4.1666666666666664E-2</v>
      </c>
      <c r="K32" s="41" t="s">
        <v>27</v>
      </c>
      <c r="L32" s="53">
        <v>50</v>
      </c>
      <c r="M32" s="14" t="s">
        <v>1421</v>
      </c>
      <c r="N32" s="54">
        <f>H29*J32*L32</f>
        <v>21875</v>
      </c>
      <c r="O32" s="181"/>
      <c r="P32" s="181"/>
      <c r="Q32" s="57">
        <f t="shared" si="1"/>
        <v>1.286764705882353</v>
      </c>
      <c r="R32" s="62">
        <v>2</v>
      </c>
      <c r="S32" s="40" t="s">
        <v>296</v>
      </c>
      <c r="T32" s="14" t="s">
        <v>297</v>
      </c>
      <c r="U32" s="63"/>
      <c r="V32" s="63"/>
      <c r="W32" s="63"/>
      <c r="X32" s="63"/>
      <c r="Y32" s="63"/>
      <c r="Z32" s="63"/>
      <c r="AA32" s="63"/>
      <c r="AB32" s="63"/>
      <c r="AC32" s="63"/>
      <c r="AD32" s="63"/>
      <c r="AE32" s="63"/>
      <c r="AF32" s="63"/>
      <c r="AG32" s="63"/>
      <c r="AH32" s="63"/>
      <c r="AI32" s="63"/>
      <c r="AJ32" s="63"/>
      <c r="AK32" s="63"/>
      <c r="AL32" s="63"/>
    </row>
    <row r="33" spans="1:20" ht="15" customHeight="1" x14ac:dyDescent="0.2">
      <c r="A33" s="181"/>
      <c r="B33" s="68" t="s">
        <v>299</v>
      </c>
      <c r="C33" s="69" t="s">
        <v>1423</v>
      </c>
      <c r="D33" s="50" t="s">
        <v>67</v>
      </c>
      <c r="E33" s="50" t="s">
        <v>27</v>
      </c>
      <c r="F33" s="50" t="s">
        <v>27</v>
      </c>
      <c r="G33" s="70">
        <v>16</v>
      </c>
      <c r="H33" s="53">
        <v>21</v>
      </c>
      <c r="I33" s="50" t="s">
        <v>166</v>
      </c>
      <c r="J33" s="51" t="s">
        <v>27</v>
      </c>
      <c r="K33" s="50" t="s">
        <v>27</v>
      </c>
      <c r="L33" s="53" t="s">
        <v>27</v>
      </c>
      <c r="M33" s="50" t="s">
        <v>304</v>
      </c>
      <c r="N33" s="54">
        <f t="shared" ref="N33:N34" si="2">H33*G33</f>
        <v>336</v>
      </c>
      <c r="O33" s="181"/>
      <c r="P33" s="181"/>
      <c r="Q33" s="51">
        <f t="shared" si="1"/>
        <v>1.9764705882352941E-2</v>
      </c>
      <c r="R33" s="71">
        <v>5</v>
      </c>
      <c r="S33" s="14" t="s">
        <v>1102</v>
      </c>
      <c r="T33" s="14" t="s">
        <v>1103</v>
      </c>
    </row>
    <row r="34" spans="1:20" ht="16.5" customHeight="1" x14ac:dyDescent="0.2">
      <c r="A34" s="181"/>
      <c r="B34" s="69" t="s">
        <v>310</v>
      </c>
      <c r="C34" s="69" t="s">
        <v>312</v>
      </c>
      <c r="D34" s="50" t="s">
        <v>58</v>
      </c>
      <c r="E34" s="50" t="s">
        <v>27</v>
      </c>
      <c r="F34" s="50" t="s">
        <v>27</v>
      </c>
      <c r="G34" s="70">
        <v>5</v>
      </c>
      <c r="H34" s="53">
        <v>120</v>
      </c>
      <c r="I34" s="50" t="s">
        <v>166</v>
      </c>
      <c r="J34" s="51" t="s">
        <v>27</v>
      </c>
      <c r="K34" s="50" t="s">
        <v>27</v>
      </c>
      <c r="L34" s="53" t="s">
        <v>27</v>
      </c>
      <c r="M34" s="50" t="s">
        <v>1424</v>
      </c>
      <c r="N34" s="54">
        <f t="shared" si="2"/>
        <v>600</v>
      </c>
      <c r="O34" s="181"/>
      <c r="P34" s="181"/>
      <c r="Q34" s="51">
        <f t="shared" si="1"/>
        <v>3.5294117647058823E-2</v>
      </c>
      <c r="R34" s="62">
        <v>3</v>
      </c>
      <c r="S34" s="14" t="s">
        <v>429</v>
      </c>
      <c r="T34" s="14" t="s">
        <v>1426</v>
      </c>
    </row>
    <row r="35" spans="1:20" ht="14.25" customHeight="1" x14ac:dyDescent="0.2">
      <c r="A35" s="181"/>
      <c r="B35" s="183" t="s">
        <v>417</v>
      </c>
      <c r="C35" s="183" t="s">
        <v>418</v>
      </c>
      <c r="D35" s="179" t="s">
        <v>419</v>
      </c>
      <c r="E35" s="179" t="s">
        <v>155</v>
      </c>
      <c r="F35" s="179" t="s">
        <v>7</v>
      </c>
      <c r="G35" s="182">
        <v>58</v>
      </c>
      <c r="H35" s="178">
        <v>16</v>
      </c>
      <c r="I35" s="179" t="s">
        <v>142</v>
      </c>
      <c r="J35" s="175" t="s">
        <v>27</v>
      </c>
      <c r="K35" s="179" t="s">
        <v>27</v>
      </c>
      <c r="L35" s="178">
        <v>2.75</v>
      </c>
      <c r="M35" s="179" t="s">
        <v>180</v>
      </c>
      <c r="N35" s="180">
        <f>L35*H35*G35</f>
        <v>2552</v>
      </c>
      <c r="O35" s="181"/>
      <c r="P35" s="181"/>
      <c r="Q35" s="175">
        <f t="shared" si="1"/>
        <v>0.15011764705882352</v>
      </c>
      <c r="R35" s="190">
        <v>3</v>
      </c>
      <c r="S35" s="40" t="s">
        <v>424</v>
      </c>
      <c r="T35" s="14" t="s">
        <v>426</v>
      </c>
    </row>
    <row r="36" spans="1:20" ht="14.25" customHeight="1" x14ac:dyDescent="0.2">
      <c r="A36" s="181"/>
      <c r="B36" s="181"/>
      <c r="C36" s="181"/>
      <c r="D36" s="176"/>
      <c r="E36" s="176"/>
      <c r="F36" s="176"/>
      <c r="G36" s="181"/>
      <c r="H36" s="176"/>
      <c r="I36" s="176"/>
      <c r="J36" s="176"/>
      <c r="K36" s="176"/>
      <c r="L36" s="176"/>
      <c r="M36" s="176"/>
      <c r="N36" s="176"/>
      <c r="O36" s="181"/>
      <c r="P36" s="181"/>
      <c r="Q36" s="176"/>
      <c r="R36" s="176"/>
      <c r="S36" s="14" t="s">
        <v>925</v>
      </c>
      <c r="T36" s="14" t="s">
        <v>1428</v>
      </c>
    </row>
    <row r="37" spans="1:20" ht="14.25" customHeight="1" x14ac:dyDescent="0.2">
      <c r="A37" s="181"/>
      <c r="B37" s="181"/>
      <c r="C37" s="181"/>
      <c r="D37" s="179" t="s">
        <v>433</v>
      </c>
      <c r="E37" s="179" t="s">
        <v>434</v>
      </c>
      <c r="F37" s="179" t="s">
        <v>435</v>
      </c>
      <c r="G37" s="181"/>
      <c r="H37" s="178">
        <v>15</v>
      </c>
      <c r="I37" s="179" t="s">
        <v>166</v>
      </c>
      <c r="J37" s="175">
        <v>2.0833333333333332E-2</v>
      </c>
      <c r="K37" s="193" t="s">
        <v>27</v>
      </c>
      <c r="L37" s="194">
        <v>158</v>
      </c>
      <c r="M37" s="193" t="s">
        <v>1431</v>
      </c>
      <c r="N37" s="180">
        <f>L37*J37*H37*G35*2</f>
        <v>5727.5</v>
      </c>
      <c r="O37" s="181"/>
      <c r="P37" s="181"/>
      <c r="Q37" s="175">
        <f>N37/$O$2</f>
        <v>0.33691176470588236</v>
      </c>
      <c r="R37" s="190">
        <v>3</v>
      </c>
      <c r="S37" s="14" t="s">
        <v>439</v>
      </c>
      <c r="T37" s="14" t="s">
        <v>440</v>
      </c>
    </row>
    <row r="38" spans="1:20" ht="14.25" customHeight="1" x14ac:dyDescent="0.2">
      <c r="A38" s="181"/>
      <c r="B38" s="181"/>
      <c r="C38" s="181"/>
      <c r="D38" s="181"/>
      <c r="E38" s="181"/>
      <c r="F38" s="181"/>
      <c r="G38" s="181"/>
      <c r="H38" s="181"/>
      <c r="I38" s="181"/>
      <c r="J38" s="181"/>
      <c r="K38" s="181"/>
      <c r="L38" s="181"/>
      <c r="M38" s="181"/>
      <c r="N38" s="181"/>
      <c r="O38" s="181"/>
      <c r="P38" s="181"/>
      <c r="Q38" s="181"/>
      <c r="R38" s="181"/>
      <c r="S38" s="14" t="s">
        <v>443</v>
      </c>
      <c r="T38" s="14" t="s">
        <v>444</v>
      </c>
    </row>
    <row r="39" spans="1:20" ht="14.25" customHeight="1" x14ac:dyDescent="0.2">
      <c r="A39" s="181"/>
      <c r="B39" s="181"/>
      <c r="C39" s="181"/>
      <c r="D39" s="181"/>
      <c r="E39" s="181"/>
      <c r="F39" s="181"/>
      <c r="G39" s="181"/>
      <c r="H39" s="181"/>
      <c r="I39" s="181"/>
      <c r="J39" s="181"/>
      <c r="K39" s="181"/>
      <c r="L39" s="181"/>
      <c r="M39" s="181"/>
      <c r="N39" s="181"/>
      <c r="O39" s="181"/>
      <c r="P39" s="181"/>
      <c r="Q39" s="181"/>
      <c r="R39" s="181"/>
      <c r="S39" s="14" t="s">
        <v>451</v>
      </c>
      <c r="T39" s="14" t="s">
        <v>452</v>
      </c>
    </row>
    <row r="40" spans="1:20" ht="14.25" customHeight="1" x14ac:dyDescent="0.2">
      <c r="A40" s="181"/>
      <c r="B40" s="181"/>
      <c r="C40" s="181"/>
      <c r="D40" s="181"/>
      <c r="E40" s="176"/>
      <c r="F40" s="176"/>
      <c r="G40" s="181"/>
      <c r="H40" s="181"/>
      <c r="I40" s="181"/>
      <c r="J40" s="176"/>
      <c r="K40" s="176"/>
      <c r="L40" s="176"/>
      <c r="M40" s="176"/>
      <c r="N40" s="176"/>
      <c r="O40" s="181"/>
      <c r="P40" s="181"/>
      <c r="Q40" s="176"/>
      <c r="R40" s="176"/>
      <c r="S40" s="40" t="s">
        <v>447</v>
      </c>
      <c r="T40" s="14" t="s">
        <v>449</v>
      </c>
    </row>
    <row r="41" spans="1:20" ht="14.25" customHeight="1" x14ac:dyDescent="0.2">
      <c r="A41" s="181"/>
      <c r="B41" s="176"/>
      <c r="C41" s="176"/>
      <c r="D41" s="176"/>
      <c r="E41" s="14" t="s">
        <v>287</v>
      </c>
      <c r="F41" s="14" t="s">
        <v>19</v>
      </c>
      <c r="G41" s="176"/>
      <c r="H41" s="176"/>
      <c r="I41" s="176"/>
      <c r="J41" s="51">
        <v>2.5000000000000001E-3</v>
      </c>
      <c r="K41" s="50" t="s">
        <v>27</v>
      </c>
      <c r="L41" s="53">
        <v>0.17</v>
      </c>
      <c r="M41" s="14" t="s">
        <v>1437</v>
      </c>
      <c r="N41" s="54">
        <f>L41*H37*G35*2</f>
        <v>295.8</v>
      </c>
      <c r="O41" s="181"/>
      <c r="P41" s="181"/>
      <c r="Q41" s="51">
        <f t="shared" ref="Q41:Q42" si="3">N41/$O$2</f>
        <v>1.7400000000000002E-2</v>
      </c>
      <c r="R41" s="62">
        <v>3</v>
      </c>
      <c r="S41" s="40" t="s">
        <v>460</v>
      </c>
      <c r="T41" s="14" t="s">
        <v>461</v>
      </c>
    </row>
    <row r="42" spans="1:20" ht="14.25" customHeight="1" x14ac:dyDescent="0.2">
      <c r="A42" s="181"/>
      <c r="B42" s="183" t="s">
        <v>321</v>
      </c>
      <c r="C42" s="184" t="s">
        <v>715</v>
      </c>
      <c r="D42" s="179" t="s">
        <v>323</v>
      </c>
      <c r="E42" s="179" t="s">
        <v>13</v>
      </c>
      <c r="F42" s="179" t="s">
        <v>13</v>
      </c>
      <c r="G42" s="182">
        <v>1</v>
      </c>
      <c r="H42" s="187">
        <v>20000</v>
      </c>
      <c r="I42" s="187" t="s">
        <v>166</v>
      </c>
      <c r="J42" s="175">
        <v>4.1666666666666666E-3</v>
      </c>
      <c r="K42" s="179" t="s">
        <v>27</v>
      </c>
      <c r="L42" s="178">
        <v>0.56899999999999995</v>
      </c>
      <c r="M42" s="179" t="s">
        <v>1451</v>
      </c>
      <c r="N42" s="180">
        <f>H42*L42</f>
        <v>11379.999999999998</v>
      </c>
      <c r="O42" s="181"/>
      <c r="P42" s="181"/>
      <c r="Q42" s="175">
        <f t="shared" si="3"/>
        <v>0.66941176470588226</v>
      </c>
      <c r="R42" s="192">
        <v>3</v>
      </c>
      <c r="S42" s="14" t="s">
        <v>325</v>
      </c>
      <c r="T42" s="14" t="s">
        <v>326</v>
      </c>
    </row>
    <row r="43" spans="1:20" ht="14.25" customHeight="1" x14ac:dyDescent="0.2">
      <c r="A43" s="181"/>
      <c r="B43" s="181"/>
      <c r="C43" s="181"/>
      <c r="D43" s="181"/>
      <c r="E43" s="181"/>
      <c r="F43" s="181"/>
      <c r="G43" s="181"/>
      <c r="H43" s="181"/>
      <c r="I43" s="181"/>
      <c r="J43" s="181"/>
      <c r="K43" s="181"/>
      <c r="L43" s="181"/>
      <c r="M43" s="181"/>
      <c r="N43" s="181"/>
      <c r="O43" s="181"/>
      <c r="P43" s="181"/>
      <c r="Q43" s="181"/>
      <c r="R43" s="181"/>
      <c r="S43" s="14" t="s">
        <v>327</v>
      </c>
      <c r="T43" s="14" t="s">
        <v>328</v>
      </c>
    </row>
    <row r="44" spans="1:20" ht="14.25" customHeight="1" x14ac:dyDescent="0.2">
      <c r="A44" s="181"/>
      <c r="B44" s="181"/>
      <c r="C44" s="181"/>
      <c r="D44" s="176"/>
      <c r="E44" s="176"/>
      <c r="F44" s="176"/>
      <c r="G44" s="176"/>
      <c r="H44" s="181"/>
      <c r="I44" s="181"/>
      <c r="J44" s="176"/>
      <c r="K44" s="176"/>
      <c r="L44" s="176"/>
      <c r="M44" s="176"/>
      <c r="N44" s="176"/>
      <c r="O44" s="181"/>
      <c r="P44" s="181"/>
      <c r="Q44" s="176"/>
      <c r="R44" s="176"/>
      <c r="S44" s="14" t="s">
        <v>723</v>
      </c>
      <c r="T44" s="14" t="s">
        <v>724</v>
      </c>
    </row>
    <row r="45" spans="1:20" ht="14.25" customHeight="1" x14ac:dyDescent="0.2">
      <c r="A45" s="181"/>
      <c r="B45" s="181"/>
      <c r="C45" s="181"/>
      <c r="D45" s="179" t="s">
        <v>331</v>
      </c>
      <c r="E45" s="179" t="s">
        <v>279</v>
      </c>
      <c r="F45" s="179" t="s">
        <v>15</v>
      </c>
      <c r="G45" s="178">
        <v>1</v>
      </c>
      <c r="H45" s="181"/>
      <c r="I45" s="181"/>
      <c r="J45" s="175" t="s">
        <v>27</v>
      </c>
      <c r="K45" s="179" t="s">
        <v>27</v>
      </c>
      <c r="L45" s="178">
        <v>0.215</v>
      </c>
      <c r="M45" s="179" t="s">
        <v>1457</v>
      </c>
      <c r="N45" s="180">
        <f>H42*L45</f>
        <v>4300</v>
      </c>
      <c r="O45" s="181"/>
      <c r="P45" s="181"/>
      <c r="Q45" s="175">
        <f>N45/$O$2</f>
        <v>0.25294117647058822</v>
      </c>
      <c r="R45" s="191">
        <v>2</v>
      </c>
      <c r="S45" s="14" t="s">
        <v>530</v>
      </c>
      <c r="T45" s="14" t="s">
        <v>336</v>
      </c>
    </row>
    <row r="46" spans="1:20" ht="14.25" customHeight="1" x14ac:dyDescent="0.2">
      <c r="A46" s="181"/>
      <c r="B46" s="181"/>
      <c r="C46" s="181"/>
      <c r="D46" s="176"/>
      <c r="E46" s="176"/>
      <c r="F46" s="176"/>
      <c r="G46" s="176"/>
      <c r="H46" s="181"/>
      <c r="I46" s="181"/>
      <c r="J46" s="176"/>
      <c r="K46" s="176"/>
      <c r="L46" s="176"/>
      <c r="M46" s="176"/>
      <c r="N46" s="176"/>
      <c r="O46" s="181"/>
      <c r="P46" s="181"/>
      <c r="Q46" s="176"/>
      <c r="R46" s="176"/>
      <c r="S46" s="14" t="s">
        <v>728</v>
      </c>
      <c r="T46" s="14" t="s">
        <v>729</v>
      </c>
    </row>
    <row r="47" spans="1:20" ht="15" customHeight="1" x14ac:dyDescent="0.2">
      <c r="A47" s="181"/>
      <c r="B47" s="181"/>
      <c r="C47" s="181"/>
      <c r="D47" s="179" t="s">
        <v>5</v>
      </c>
      <c r="E47" s="179" t="s">
        <v>92</v>
      </c>
      <c r="F47" s="179" t="s">
        <v>5</v>
      </c>
      <c r="G47" s="178">
        <v>1</v>
      </c>
      <c r="H47" s="181"/>
      <c r="I47" s="181"/>
      <c r="J47" s="175">
        <v>5.2083333333333336E-2</v>
      </c>
      <c r="K47" s="179" t="s">
        <v>27</v>
      </c>
      <c r="L47" s="178">
        <v>1.56</v>
      </c>
      <c r="M47" s="179" t="s">
        <v>1459</v>
      </c>
      <c r="N47" s="180">
        <f>L47*H42</f>
        <v>31200</v>
      </c>
      <c r="O47" s="181"/>
      <c r="P47" s="181"/>
      <c r="Q47" s="175">
        <f>N47/$O$2</f>
        <v>1.8352941176470587</v>
      </c>
      <c r="R47" s="191">
        <v>2</v>
      </c>
      <c r="S47" s="14" t="s">
        <v>736</v>
      </c>
      <c r="T47" s="14" t="s">
        <v>339</v>
      </c>
    </row>
    <row r="48" spans="1:20" ht="14.25" customHeight="1" x14ac:dyDescent="0.2">
      <c r="A48" s="181"/>
      <c r="B48" s="181"/>
      <c r="C48" s="181"/>
      <c r="D48" s="176"/>
      <c r="E48" s="176"/>
      <c r="F48" s="176"/>
      <c r="G48" s="176"/>
      <c r="H48" s="181"/>
      <c r="I48" s="181"/>
      <c r="J48" s="176"/>
      <c r="K48" s="176"/>
      <c r="L48" s="176"/>
      <c r="M48" s="176"/>
      <c r="N48" s="176"/>
      <c r="O48" s="181"/>
      <c r="P48" s="181"/>
      <c r="Q48" s="176"/>
      <c r="R48" s="176"/>
      <c r="S48" s="14" t="s">
        <v>738</v>
      </c>
      <c r="T48" s="14" t="s">
        <v>341</v>
      </c>
    </row>
    <row r="49" spans="1:40" ht="14.25" customHeight="1" x14ac:dyDescent="0.2">
      <c r="A49" s="181"/>
      <c r="B49" s="181"/>
      <c r="C49" s="181"/>
      <c r="D49" s="179" t="s">
        <v>286</v>
      </c>
      <c r="E49" s="179" t="s">
        <v>287</v>
      </c>
      <c r="F49" s="179" t="s">
        <v>288</v>
      </c>
      <c r="G49" s="178">
        <v>2</v>
      </c>
      <c r="H49" s="181"/>
      <c r="I49" s="181"/>
      <c r="J49" s="175">
        <v>0.125</v>
      </c>
      <c r="K49" s="179" t="s">
        <v>27</v>
      </c>
      <c r="L49" s="178">
        <v>2.5</v>
      </c>
      <c r="M49" s="179" t="s">
        <v>1462</v>
      </c>
      <c r="N49" s="180">
        <f>H42*L49*(J49)*G49</f>
        <v>12500</v>
      </c>
      <c r="O49" s="181"/>
      <c r="P49" s="181"/>
      <c r="Q49" s="175">
        <f>N49/$O$2</f>
        <v>0.73529411764705888</v>
      </c>
      <c r="R49" s="192">
        <v>3</v>
      </c>
      <c r="S49" s="14" t="s">
        <v>347</v>
      </c>
      <c r="T49" s="85" t="s">
        <v>348</v>
      </c>
      <c r="U49" s="85"/>
      <c r="V49" s="85"/>
      <c r="W49" s="85"/>
      <c r="X49" s="85"/>
      <c r="Y49" s="85"/>
      <c r="Z49" s="85"/>
      <c r="AA49" s="85"/>
      <c r="AB49" s="85"/>
      <c r="AC49" s="85"/>
      <c r="AD49" s="85"/>
      <c r="AE49" s="85"/>
      <c r="AF49" s="85"/>
      <c r="AG49" s="85"/>
      <c r="AH49" s="85"/>
      <c r="AI49" s="85"/>
      <c r="AJ49" s="85"/>
      <c r="AK49" s="85"/>
      <c r="AL49" s="85"/>
      <c r="AM49" s="85"/>
      <c r="AN49" s="85"/>
    </row>
    <row r="50" spans="1:40" ht="14.25" customHeight="1" x14ac:dyDescent="0.2">
      <c r="A50" s="181"/>
      <c r="B50" s="181"/>
      <c r="C50" s="181"/>
      <c r="D50" s="181"/>
      <c r="E50" s="181"/>
      <c r="F50" s="181"/>
      <c r="G50" s="181"/>
      <c r="H50" s="181"/>
      <c r="I50" s="181"/>
      <c r="J50" s="181"/>
      <c r="K50" s="181"/>
      <c r="L50" s="181"/>
      <c r="M50" s="181"/>
      <c r="N50" s="181"/>
      <c r="O50" s="181"/>
      <c r="P50" s="181"/>
      <c r="Q50" s="181"/>
      <c r="R50" s="181"/>
      <c r="S50" s="14" t="s">
        <v>349</v>
      </c>
      <c r="T50" s="85" t="s">
        <v>350</v>
      </c>
      <c r="U50" s="85"/>
      <c r="V50" s="85"/>
      <c r="W50" s="85"/>
      <c r="X50" s="85"/>
      <c r="Y50" s="85"/>
      <c r="Z50" s="85"/>
      <c r="AA50" s="85"/>
      <c r="AB50" s="85"/>
      <c r="AC50" s="85"/>
      <c r="AD50" s="85"/>
      <c r="AE50" s="85"/>
      <c r="AF50" s="85"/>
      <c r="AG50" s="85"/>
      <c r="AH50" s="85"/>
      <c r="AI50" s="85"/>
      <c r="AJ50" s="85"/>
      <c r="AK50" s="85"/>
      <c r="AL50" s="85"/>
      <c r="AM50" s="85"/>
      <c r="AN50" s="85"/>
    </row>
    <row r="51" spans="1:40" ht="14.25" customHeight="1" x14ac:dyDescent="0.2">
      <c r="A51" s="176"/>
      <c r="B51" s="176"/>
      <c r="C51" s="176"/>
      <c r="D51" s="176"/>
      <c r="E51" s="176"/>
      <c r="F51" s="176"/>
      <c r="G51" s="176"/>
      <c r="H51" s="176"/>
      <c r="I51" s="176"/>
      <c r="J51" s="176"/>
      <c r="K51" s="176"/>
      <c r="L51" s="176"/>
      <c r="M51" s="176"/>
      <c r="N51" s="176"/>
      <c r="O51" s="176"/>
      <c r="P51" s="176"/>
      <c r="Q51" s="176"/>
      <c r="R51" s="176"/>
      <c r="S51" s="97" t="s">
        <v>345</v>
      </c>
      <c r="T51" s="44" t="s">
        <v>346</v>
      </c>
      <c r="U51" s="85"/>
      <c r="V51" s="85"/>
      <c r="W51" s="85"/>
      <c r="X51" s="85"/>
      <c r="Y51" s="85"/>
      <c r="Z51" s="85"/>
      <c r="AA51" s="85"/>
      <c r="AB51" s="85"/>
      <c r="AC51" s="85"/>
      <c r="AD51" s="85"/>
      <c r="AE51" s="85"/>
      <c r="AF51" s="85"/>
      <c r="AG51" s="85"/>
      <c r="AH51" s="85"/>
      <c r="AI51" s="85"/>
      <c r="AJ51" s="85"/>
      <c r="AK51" s="85"/>
      <c r="AL51" s="85"/>
      <c r="AM51" s="85"/>
      <c r="AN51" s="85"/>
    </row>
    <row r="52" spans="1:40" ht="14.25" customHeight="1" x14ac:dyDescent="0.2"/>
    <row r="53" spans="1:40" ht="14.25" customHeight="1" x14ac:dyDescent="0.2"/>
    <row r="54" spans="1:40" ht="14.25" customHeight="1" x14ac:dyDescent="0.2">
      <c r="F54" s="28" t="s">
        <v>309</v>
      </c>
      <c r="G54" s="28" t="s">
        <v>128</v>
      </c>
      <c r="H54" s="28" t="s">
        <v>1470</v>
      </c>
    </row>
    <row r="55" spans="1:40" ht="14.25" customHeight="1" x14ac:dyDescent="0.2">
      <c r="F55" s="50" t="s">
        <v>140</v>
      </c>
      <c r="G55" s="72">
        <f t="shared" ref="G55:G67" si="4">SUMIF($F$2:$F$51,$F55,N$2:N$51)</f>
        <v>1774125</v>
      </c>
      <c r="H55" s="73">
        <f t="shared" ref="H55:H67" si="5">SUMIF($F$2:$F$51,$F55,Q$2:Q$51)</f>
        <v>104.36029411764706</v>
      </c>
    </row>
    <row r="56" spans="1:40" ht="14.25" customHeight="1" x14ac:dyDescent="0.2">
      <c r="F56" s="14" t="s">
        <v>156</v>
      </c>
      <c r="G56" s="72">
        <f t="shared" si="4"/>
        <v>63202.5</v>
      </c>
      <c r="H56" s="73">
        <f t="shared" si="5"/>
        <v>3.7177941176470584</v>
      </c>
    </row>
    <row r="57" spans="1:40" ht="14.25" customHeight="1" x14ac:dyDescent="0.2">
      <c r="F57" s="50" t="s">
        <v>9</v>
      </c>
      <c r="G57" s="72">
        <f t="shared" si="4"/>
        <v>28504</v>
      </c>
      <c r="H57" s="73">
        <f t="shared" si="5"/>
        <v>1.676705882352941</v>
      </c>
    </row>
    <row r="58" spans="1:40" ht="14.25" customHeight="1" x14ac:dyDescent="0.2">
      <c r="F58" s="50" t="s">
        <v>8</v>
      </c>
      <c r="G58" s="72">
        <f t="shared" si="4"/>
        <v>36288</v>
      </c>
      <c r="H58" s="73">
        <f t="shared" si="5"/>
        <v>2.1345882352941175</v>
      </c>
    </row>
    <row r="59" spans="1:40" ht="14.25" customHeight="1" x14ac:dyDescent="0.2">
      <c r="F59" s="50" t="s">
        <v>7</v>
      </c>
      <c r="G59" s="72">
        <f t="shared" si="4"/>
        <v>57560</v>
      </c>
      <c r="H59" s="73">
        <f t="shared" si="5"/>
        <v>3.3858823529411768</v>
      </c>
    </row>
    <row r="60" spans="1:40" ht="14.25" customHeight="1" x14ac:dyDescent="0.2">
      <c r="F60" s="50" t="s">
        <v>435</v>
      </c>
      <c r="G60" s="72">
        <f t="shared" si="4"/>
        <v>5727.5</v>
      </c>
      <c r="H60" s="73">
        <f t="shared" si="5"/>
        <v>0.33691176470588236</v>
      </c>
    </row>
    <row r="61" spans="1:40" ht="14.25" customHeight="1" x14ac:dyDescent="0.2">
      <c r="F61" s="14" t="s">
        <v>19</v>
      </c>
      <c r="G61" s="72">
        <f t="shared" si="4"/>
        <v>295.8</v>
      </c>
      <c r="H61" s="73">
        <f t="shared" si="5"/>
        <v>1.7400000000000002E-2</v>
      </c>
    </row>
    <row r="62" spans="1:40" ht="14.25" customHeight="1" x14ac:dyDescent="0.2">
      <c r="F62" s="50" t="s">
        <v>13</v>
      </c>
      <c r="G62" s="72">
        <f t="shared" si="4"/>
        <v>11379.999999999998</v>
      </c>
      <c r="H62" s="73">
        <f t="shared" si="5"/>
        <v>0.66941176470588226</v>
      </c>
    </row>
    <row r="63" spans="1:40" ht="14.25" customHeight="1" x14ac:dyDescent="0.2">
      <c r="F63" s="50" t="s">
        <v>14</v>
      </c>
      <c r="G63" s="72">
        <f t="shared" si="4"/>
        <v>1575</v>
      </c>
      <c r="H63" s="73">
        <f t="shared" si="5"/>
        <v>9.2647058823529416E-2</v>
      </c>
    </row>
    <row r="64" spans="1:40" ht="14.25" customHeight="1" x14ac:dyDescent="0.2">
      <c r="F64" s="50" t="s">
        <v>15</v>
      </c>
      <c r="G64" s="72">
        <f t="shared" si="4"/>
        <v>4300</v>
      </c>
      <c r="H64" s="73">
        <f t="shared" si="5"/>
        <v>0.25294117647058822</v>
      </c>
    </row>
    <row r="65" spans="6:8" ht="14.25" customHeight="1" x14ac:dyDescent="0.2">
      <c r="F65" s="50" t="s">
        <v>288</v>
      </c>
      <c r="G65" s="72">
        <f t="shared" si="4"/>
        <v>16875</v>
      </c>
      <c r="H65" s="73">
        <f t="shared" si="5"/>
        <v>0.99264705882352944</v>
      </c>
    </row>
    <row r="66" spans="6:8" ht="14.25" customHeight="1" x14ac:dyDescent="0.2">
      <c r="F66" s="50" t="s">
        <v>12</v>
      </c>
      <c r="G66" s="72">
        <f t="shared" si="4"/>
        <v>21875</v>
      </c>
      <c r="H66" s="73">
        <f t="shared" si="5"/>
        <v>1.286764705882353</v>
      </c>
    </row>
    <row r="67" spans="6:8" ht="14.25" customHeight="1" x14ac:dyDescent="0.2">
      <c r="F67" s="50" t="s">
        <v>5</v>
      </c>
      <c r="G67" s="72">
        <f t="shared" si="4"/>
        <v>31200</v>
      </c>
      <c r="H67" s="73">
        <f t="shared" si="5"/>
        <v>1.8352941176470587</v>
      </c>
    </row>
    <row r="68" spans="6:8" ht="14.25" customHeight="1" x14ac:dyDescent="0.2">
      <c r="G68" s="75"/>
    </row>
    <row r="69" spans="6:8" ht="14.25" customHeight="1" x14ac:dyDescent="0.2">
      <c r="G69" s="75"/>
    </row>
    <row r="70" spans="6:8" ht="14.25" customHeight="1" x14ac:dyDescent="0.2">
      <c r="F70" s="93" t="s">
        <v>751</v>
      </c>
      <c r="G70" s="28" t="s">
        <v>128</v>
      </c>
      <c r="H70" s="28" t="s">
        <v>1476</v>
      </c>
    </row>
    <row r="71" spans="6:8" ht="14.25" customHeight="1" x14ac:dyDescent="0.2">
      <c r="F71" s="50" t="s">
        <v>140</v>
      </c>
      <c r="G71" s="72">
        <f t="shared" ref="G71:G78" si="6">SUMIF($E$2:$E$51,$F71,N$2:N$51)</f>
        <v>1774125</v>
      </c>
      <c r="H71" s="73">
        <f t="shared" ref="H71:H78" si="7">SUMIF($E$2:$E$51,$F71,Q$2:Q$51)</f>
        <v>104.36029411764706</v>
      </c>
    </row>
    <row r="72" spans="6:8" ht="14.25" customHeight="1" x14ac:dyDescent="0.2">
      <c r="F72" s="14" t="s">
        <v>155</v>
      </c>
      <c r="G72" s="72">
        <f t="shared" si="6"/>
        <v>185554.5</v>
      </c>
      <c r="H72" s="73">
        <f t="shared" si="7"/>
        <v>10.914970588235294</v>
      </c>
    </row>
    <row r="73" spans="6:8" ht="14.25" customHeight="1" x14ac:dyDescent="0.2">
      <c r="F73" s="50" t="s">
        <v>92</v>
      </c>
      <c r="G73" s="72">
        <f t="shared" si="6"/>
        <v>31200</v>
      </c>
      <c r="H73" s="73">
        <f t="shared" si="7"/>
        <v>1.8352941176470587</v>
      </c>
    </row>
    <row r="74" spans="6:8" ht="14.25" customHeight="1" x14ac:dyDescent="0.2">
      <c r="F74" s="50" t="s">
        <v>434</v>
      </c>
      <c r="G74" s="72">
        <f t="shared" si="6"/>
        <v>5727.5</v>
      </c>
      <c r="H74" s="73">
        <f t="shared" si="7"/>
        <v>0.33691176470588236</v>
      </c>
    </row>
    <row r="75" spans="6:8" ht="14.25" customHeight="1" x14ac:dyDescent="0.2">
      <c r="F75" s="14" t="s">
        <v>287</v>
      </c>
      <c r="G75" s="72">
        <f t="shared" si="6"/>
        <v>17170.8</v>
      </c>
      <c r="H75" s="73">
        <f t="shared" si="7"/>
        <v>1.0100470588235295</v>
      </c>
    </row>
    <row r="76" spans="6:8" ht="14.25" customHeight="1" x14ac:dyDescent="0.2">
      <c r="F76" s="50" t="s">
        <v>13</v>
      </c>
      <c r="G76" s="72">
        <f t="shared" si="6"/>
        <v>11379.999999999998</v>
      </c>
      <c r="H76" s="73">
        <f t="shared" si="7"/>
        <v>0.66941176470588226</v>
      </c>
    </row>
    <row r="77" spans="6:8" ht="14.25" customHeight="1" x14ac:dyDescent="0.2">
      <c r="F77" s="50" t="s">
        <v>294</v>
      </c>
      <c r="G77" s="72">
        <f t="shared" si="6"/>
        <v>21875</v>
      </c>
      <c r="H77" s="73">
        <f t="shared" si="7"/>
        <v>1.286764705882353</v>
      </c>
    </row>
    <row r="78" spans="6:8" ht="14.25" customHeight="1" x14ac:dyDescent="0.2">
      <c r="F78" s="50" t="s">
        <v>279</v>
      </c>
      <c r="G78" s="72">
        <f t="shared" si="6"/>
        <v>5875</v>
      </c>
      <c r="H78" s="73">
        <f t="shared" si="7"/>
        <v>0.34558823529411764</v>
      </c>
    </row>
    <row r="79" spans="6:8" ht="14.25" customHeight="1" x14ac:dyDescent="0.2"/>
    <row r="80" spans="6:8"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67">
    <mergeCell ref="C7:C23"/>
    <mergeCell ref="C24:C28"/>
    <mergeCell ref="D47:D48"/>
    <mergeCell ref="E47:E48"/>
    <mergeCell ref="F47:F48"/>
    <mergeCell ref="G47:G48"/>
    <mergeCell ref="D49:D51"/>
    <mergeCell ref="E49:E51"/>
    <mergeCell ref="F49:F51"/>
    <mergeCell ref="G49:G51"/>
    <mergeCell ref="G7:G12"/>
    <mergeCell ref="E24:E27"/>
    <mergeCell ref="F24:F27"/>
    <mergeCell ref="G24:G28"/>
    <mergeCell ref="A2:A51"/>
    <mergeCell ref="C2:C4"/>
    <mergeCell ref="E2:E3"/>
    <mergeCell ref="F2:F3"/>
    <mergeCell ref="G2:G4"/>
    <mergeCell ref="G5:G6"/>
    <mergeCell ref="G29:G32"/>
    <mergeCell ref="L42:L44"/>
    <mergeCell ref="L45:L46"/>
    <mergeCell ref="J42:J44"/>
    <mergeCell ref="J47:J48"/>
    <mergeCell ref="K47:K48"/>
    <mergeCell ref="L47:L48"/>
    <mergeCell ref="H42:H51"/>
    <mergeCell ref="H2:H4"/>
    <mergeCell ref="B5:B6"/>
    <mergeCell ref="C5:C6"/>
    <mergeCell ref="H5:H6"/>
    <mergeCell ref="J5:J6"/>
    <mergeCell ref="K5:K6"/>
    <mergeCell ref="J7:J12"/>
    <mergeCell ref="J13:J18"/>
    <mergeCell ref="J24:J27"/>
    <mergeCell ref="K24:K27"/>
    <mergeCell ref="N47:N48"/>
    <mergeCell ref="I42:I51"/>
    <mergeCell ref="J49:J51"/>
    <mergeCell ref="K49:K51"/>
    <mergeCell ref="L49:L51"/>
    <mergeCell ref="M49:M51"/>
    <mergeCell ref="N49:N51"/>
    <mergeCell ref="Q35:Q36"/>
    <mergeCell ref="Q37:Q40"/>
    <mergeCell ref="K42:K44"/>
    <mergeCell ref="Q42:Q44"/>
    <mergeCell ref="Q45:Q46"/>
    <mergeCell ref="Q47:Q48"/>
    <mergeCell ref="Q49:Q51"/>
    <mergeCell ref="O2:O51"/>
    <mergeCell ref="P2:P51"/>
    <mergeCell ref="I2:I4"/>
    <mergeCell ref="J2:J4"/>
    <mergeCell ref="K2:K4"/>
    <mergeCell ref="L2:L3"/>
    <mergeCell ref="M2:M3"/>
    <mergeCell ref="N2:N3"/>
    <mergeCell ref="I5:I6"/>
    <mergeCell ref="Q19:Q20"/>
    <mergeCell ref="Q21:Q23"/>
    <mergeCell ref="R21:R23"/>
    <mergeCell ref="Q24:Q27"/>
    <mergeCell ref="R24:R27"/>
    <mergeCell ref="Q2:Q3"/>
    <mergeCell ref="R2:R3"/>
    <mergeCell ref="Q7:Q12"/>
    <mergeCell ref="R7:R12"/>
    <mergeCell ref="Q13:Q18"/>
    <mergeCell ref="R13:R18"/>
    <mergeCell ref="R19:R20"/>
    <mergeCell ref="N45:N46"/>
    <mergeCell ref="R45:R46"/>
    <mergeCell ref="R47:R48"/>
    <mergeCell ref="R49:R51"/>
    <mergeCell ref="K13:K18"/>
    <mergeCell ref="L13:L18"/>
    <mergeCell ref="M13:M18"/>
    <mergeCell ref="N13:N18"/>
    <mergeCell ref="N21:N23"/>
    <mergeCell ref="L37:L40"/>
    <mergeCell ref="M37:M40"/>
    <mergeCell ref="K35:K36"/>
    <mergeCell ref="L35:L36"/>
    <mergeCell ref="M35:M36"/>
    <mergeCell ref="N35:N36"/>
    <mergeCell ref="R35:R36"/>
    <mergeCell ref="K37:K40"/>
    <mergeCell ref="N37:N40"/>
    <mergeCell ref="R37:R40"/>
    <mergeCell ref="N42:N44"/>
    <mergeCell ref="R42:R44"/>
    <mergeCell ref="L24:L27"/>
    <mergeCell ref="M24:M27"/>
    <mergeCell ref="N24:N27"/>
    <mergeCell ref="J19:J20"/>
    <mergeCell ref="K19:K20"/>
    <mergeCell ref="L19:L20"/>
    <mergeCell ref="M19:M20"/>
    <mergeCell ref="I7:I23"/>
    <mergeCell ref="J21:J23"/>
    <mergeCell ref="K21:K23"/>
    <mergeCell ref="L21:L23"/>
    <mergeCell ref="M21:M23"/>
    <mergeCell ref="H7:H23"/>
    <mergeCell ref="K7:K12"/>
    <mergeCell ref="L7:L12"/>
    <mergeCell ref="M7:M12"/>
    <mergeCell ref="N7:N12"/>
    <mergeCell ref="N19:N20"/>
    <mergeCell ref="B2:B4"/>
    <mergeCell ref="B7:B23"/>
    <mergeCell ref="D13:D18"/>
    <mergeCell ref="E13:E18"/>
    <mergeCell ref="F13:F18"/>
    <mergeCell ref="G13:G18"/>
    <mergeCell ref="D19:D20"/>
    <mergeCell ref="E19:E20"/>
    <mergeCell ref="F19:F20"/>
    <mergeCell ref="G19:G20"/>
    <mergeCell ref="D21:D23"/>
    <mergeCell ref="E21:E23"/>
    <mergeCell ref="F21:F23"/>
    <mergeCell ref="G21:G23"/>
    <mergeCell ref="E7:E12"/>
    <mergeCell ref="F7:F12"/>
    <mergeCell ref="D2:D3"/>
    <mergeCell ref="D7:D12"/>
    <mergeCell ref="H24:H28"/>
    <mergeCell ref="I24:I28"/>
    <mergeCell ref="H37:H41"/>
    <mergeCell ref="I37:I41"/>
    <mergeCell ref="J37:J40"/>
    <mergeCell ref="D24:D27"/>
    <mergeCell ref="C29:C32"/>
    <mergeCell ref="H29:H32"/>
    <mergeCell ref="I29:I32"/>
    <mergeCell ref="H35:H36"/>
    <mergeCell ref="I35:I36"/>
    <mergeCell ref="J35:J36"/>
    <mergeCell ref="B24:B32"/>
    <mergeCell ref="B35:B41"/>
    <mergeCell ref="C35:C41"/>
    <mergeCell ref="D35:D36"/>
    <mergeCell ref="D37:D41"/>
    <mergeCell ref="E35:E36"/>
    <mergeCell ref="F35:F36"/>
    <mergeCell ref="G35:G41"/>
    <mergeCell ref="E37:E40"/>
    <mergeCell ref="F37:F40"/>
    <mergeCell ref="B42:B51"/>
    <mergeCell ref="C42:C51"/>
    <mergeCell ref="D42:D44"/>
    <mergeCell ref="E42:E44"/>
    <mergeCell ref="F42:F44"/>
    <mergeCell ref="G42:G44"/>
    <mergeCell ref="J45:J46"/>
    <mergeCell ref="K45:K46"/>
    <mergeCell ref="M42:M44"/>
    <mergeCell ref="D45:D46"/>
    <mergeCell ref="E45:E46"/>
    <mergeCell ref="F45:F46"/>
    <mergeCell ref="G45:G46"/>
    <mergeCell ref="M45:M46"/>
    <mergeCell ref="M47:M48"/>
  </mergeCells>
  <conditionalFormatting sqref="R2:R19 R21:R48">
    <cfRule type="colorScale" priority="1">
      <colorScale>
        <cfvo type="min"/>
        <cfvo type="percentile" val="50"/>
        <cfvo type="max"/>
        <color rgb="FFF8696B"/>
        <color rgb="FFFFEB84"/>
        <color rgb="FF63BE7B"/>
      </colorScale>
    </cfRule>
  </conditionalFormatting>
  <conditionalFormatting sqref="R49:R51">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hyperlinks>
    <hyperlink ref="S4" r:id="rId1" xr:uid="{00000000-0004-0000-1700-000000000000}"/>
    <hyperlink ref="S11" r:id="rId2" xr:uid="{00000000-0004-0000-1700-000001000000}"/>
    <hyperlink ref="S12" r:id="rId3" xr:uid="{00000000-0004-0000-1700-000002000000}"/>
    <hyperlink ref="S14" r:id="rId4" xr:uid="{00000000-0004-0000-1700-000003000000}"/>
    <hyperlink ref="S18" r:id="rId5" xr:uid="{00000000-0004-0000-1700-000004000000}"/>
    <hyperlink ref="S22" r:id="rId6" xr:uid="{00000000-0004-0000-1700-000005000000}"/>
    <hyperlink ref="S23" r:id="rId7" xr:uid="{00000000-0004-0000-1700-000006000000}"/>
    <hyperlink ref="S27" r:id="rId8" location=":~:text=The%20minimum%20thickness%20for%20commercial,to%202.5%20psf%20of%20reinforcing). " xr:uid="{00000000-0004-0000-1700-000007000000}"/>
    <hyperlink ref="S29" r:id="rId9" xr:uid="{00000000-0004-0000-1700-000008000000}"/>
    <hyperlink ref="S32" r:id="rId10" location=":~:text=The%20most%20common%20type%20of,in%20exposed%20metal%20building%20applications. " xr:uid="{00000000-0004-0000-1700-000009000000}"/>
    <hyperlink ref="S40" r:id="rId11" xr:uid="{00000000-0004-0000-1700-00000A000000}"/>
    <hyperlink ref="S41" r:id="rId12" xr:uid="{00000000-0004-0000-1700-00000B000000}"/>
  </hyperlinks>
  <pageMargins left="0.7" right="0.7" top="0.75" bottom="0.75" header="0" footer="0"/>
  <pageSetup orientation="portrait"/>
  <drawing r:id="rId13"/>
  <legacyDrawing r:id="rId14"/>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1412</v>
      </c>
      <c r="R1" s="28" t="s">
        <v>133</v>
      </c>
      <c r="S1" s="28" t="s">
        <v>134</v>
      </c>
      <c r="T1" s="31" t="s">
        <v>135</v>
      </c>
      <c r="U1" s="32"/>
      <c r="V1" s="33"/>
      <c r="W1" s="33"/>
      <c r="X1" s="33"/>
      <c r="Y1" s="33"/>
      <c r="Z1" s="33"/>
      <c r="AA1" s="33"/>
      <c r="AB1" s="33"/>
      <c r="AC1" s="33"/>
      <c r="AD1" s="33"/>
      <c r="AE1" s="33"/>
      <c r="AF1" s="33"/>
      <c r="AG1" s="33"/>
      <c r="AH1" s="33"/>
      <c r="AI1" s="33"/>
      <c r="AJ1" s="33"/>
      <c r="AK1" s="33"/>
      <c r="AL1" s="33"/>
      <c r="AM1" s="84"/>
      <c r="AN1" s="84"/>
    </row>
    <row r="2" spans="1:40" ht="16.5" customHeight="1" x14ac:dyDescent="0.2">
      <c r="A2" s="238" t="s">
        <v>136</v>
      </c>
      <c r="B2" s="183" t="s">
        <v>53</v>
      </c>
      <c r="C2" s="183" t="s">
        <v>139</v>
      </c>
      <c r="D2" s="179" t="s">
        <v>140</v>
      </c>
      <c r="E2" s="179" t="s">
        <v>140</v>
      </c>
      <c r="F2" s="179" t="s">
        <v>140</v>
      </c>
      <c r="G2" s="182">
        <v>1</v>
      </c>
      <c r="H2" s="182">
        <v>2531</v>
      </c>
      <c r="I2" s="183" t="s">
        <v>142</v>
      </c>
      <c r="J2" s="178">
        <v>0.66666666666666663</v>
      </c>
      <c r="K2" s="178">
        <v>1.5</v>
      </c>
      <c r="L2" s="178">
        <v>150</v>
      </c>
      <c r="M2" s="179" t="s">
        <v>1418</v>
      </c>
      <c r="N2" s="188">
        <f>L2*K2*J2*H2</f>
        <v>379650</v>
      </c>
      <c r="O2" s="186">
        <v>180970</v>
      </c>
      <c r="P2" s="183" t="s">
        <v>1420</v>
      </c>
      <c r="Q2" s="175">
        <f>N2/O2</f>
        <v>2.0978615240095042</v>
      </c>
      <c r="R2" s="191">
        <v>4</v>
      </c>
      <c r="S2" s="14" t="s">
        <v>149</v>
      </c>
      <c r="T2" s="14" t="s">
        <v>150</v>
      </c>
    </row>
    <row r="3" spans="1:40" ht="14.25" customHeight="1" x14ac:dyDescent="0.2">
      <c r="A3" s="170"/>
      <c r="B3" s="181"/>
      <c r="C3" s="181"/>
      <c r="D3" s="176"/>
      <c r="E3" s="176"/>
      <c r="F3" s="176"/>
      <c r="G3" s="181"/>
      <c r="H3" s="181"/>
      <c r="I3" s="181"/>
      <c r="J3" s="181"/>
      <c r="K3" s="181"/>
      <c r="L3" s="176"/>
      <c r="M3" s="176"/>
      <c r="N3" s="176"/>
      <c r="O3" s="181"/>
      <c r="P3" s="181"/>
      <c r="Q3" s="176"/>
      <c r="R3" s="176"/>
      <c r="S3" s="14" t="s">
        <v>401</v>
      </c>
      <c r="T3" s="14" t="s">
        <v>402</v>
      </c>
    </row>
    <row r="4" spans="1:40" ht="14.25" customHeight="1" x14ac:dyDescent="0.2">
      <c r="A4" s="170"/>
      <c r="B4" s="176"/>
      <c r="C4" s="176"/>
      <c r="D4" s="14" t="s">
        <v>154</v>
      </c>
      <c r="E4" s="14" t="s">
        <v>155</v>
      </c>
      <c r="F4" s="14" t="s">
        <v>156</v>
      </c>
      <c r="G4" s="176"/>
      <c r="H4" s="176"/>
      <c r="I4" s="176"/>
      <c r="J4" s="176"/>
      <c r="K4" s="176"/>
      <c r="L4" s="14">
        <v>5.25</v>
      </c>
      <c r="M4" s="14" t="s">
        <v>1422</v>
      </c>
      <c r="N4" s="38">
        <f>L4*K2*J2*H2</f>
        <v>13287.75</v>
      </c>
      <c r="O4" s="181"/>
      <c r="P4" s="181"/>
      <c r="Q4" s="19">
        <f t="shared" ref="Q4:Q7" si="0">N4/$O$2</f>
        <v>7.3425153340332658E-2</v>
      </c>
      <c r="R4" s="48">
        <v>4</v>
      </c>
      <c r="S4" s="40" t="s">
        <v>240</v>
      </c>
      <c r="T4" s="14" t="s">
        <v>405</v>
      </c>
    </row>
    <row r="5" spans="1:40" ht="14.25" customHeight="1" x14ac:dyDescent="0.2">
      <c r="A5" s="170"/>
      <c r="B5" s="183" t="s">
        <v>164</v>
      </c>
      <c r="C5" s="183" t="s">
        <v>165</v>
      </c>
      <c r="D5" s="14" t="s">
        <v>140</v>
      </c>
      <c r="E5" s="41" t="s">
        <v>140</v>
      </c>
      <c r="F5" s="41" t="s">
        <v>140</v>
      </c>
      <c r="G5" s="182">
        <v>1</v>
      </c>
      <c r="H5" s="182">
        <v>153684</v>
      </c>
      <c r="I5" s="183" t="s">
        <v>166</v>
      </c>
      <c r="J5" s="175">
        <v>0.5</v>
      </c>
      <c r="K5" s="179" t="s">
        <v>27</v>
      </c>
      <c r="L5" s="14">
        <v>150</v>
      </c>
      <c r="M5" s="14" t="s">
        <v>1425</v>
      </c>
      <c r="N5" s="38">
        <f>L5*J5*H5</f>
        <v>11526300</v>
      </c>
      <c r="O5" s="181"/>
      <c r="P5" s="181"/>
      <c r="Q5" s="19">
        <f t="shared" si="0"/>
        <v>63.691772116925456</v>
      </c>
      <c r="R5" s="49">
        <v>5</v>
      </c>
      <c r="S5" s="14" t="s">
        <v>169</v>
      </c>
      <c r="T5" s="14"/>
    </row>
    <row r="6" spans="1:40" ht="14.25" customHeight="1" x14ac:dyDescent="0.2">
      <c r="A6" s="170"/>
      <c r="B6" s="176"/>
      <c r="C6" s="176"/>
      <c r="D6" s="14" t="s">
        <v>154</v>
      </c>
      <c r="E6" s="41" t="s">
        <v>155</v>
      </c>
      <c r="F6" s="41" t="s">
        <v>156</v>
      </c>
      <c r="G6" s="176"/>
      <c r="H6" s="176"/>
      <c r="I6" s="176"/>
      <c r="J6" s="176"/>
      <c r="K6" s="176"/>
      <c r="L6" s="14">
        <v>6</v>
      </c>
      <c r="M6" s="14" t="s">
        <v>1427</v>
      </c>
      <c r="N6" s="38">
        <f>L6*J5*H5</f>
        <v>461052</v>
      </c>
      <c r="O6" s="181"/>
      <c r="P6" s="181"/>
      <c r="Q6" s="19">
        <f t="shared" si="0"/>
        <v>2.5476708846770184</v>
      </c>
      <c r="R6" s="49">
        <v>5</v>
      </c>
      <c r="S6" s="14" t="s">
        <v>174</v>
      </c>
      <c r="T6" s="14" t="s">
        <v>175</v>
      </c>
    </row>
    <row r="7" spans="1:40" ht="14.25" customHeight="1" x14ac:dyDescent="0.2">
      <c r="A7" s="170"/>
      <c r="B7" s="183" t="s">
        <v>209</v>
      </c>
      <c r="C7" s="184" t="s">
        <v>473</v>
      </c>
      <c r="D7" s="179" t="s">
        <v>255</v>
      </c>
      <c r="E7" s="179" t="s">
        <v>140</v>
      </c>
      <c r="F7" s="179" t="s">
        <v>140</v>
      </c>
      <c r="G7" s="182">
        <v>1</v>
      </c>
      <c r="H7" s="182">
        <v>11000</v>
      </c>
      <c r="I7" s="183" t="s">
        <v>166</v>
      </c>
      <c r="J7" s="175">
        <v>0.5</v>
      </c>
      <c r="K7" s="179" t="s">
        <v>27</v>
      </c>
      <c r="L7" s="178">
        <v>150</v>
      </c>
      <c r="M7" s="179" t="s">
        <v>1429</v>
      </c>
      <c r="N7" s="195">
        <f>L7*J7*H7</f>
        <v>825000</v>
      </c>
      <c r="O7" s="181"/>
      <c r="P7" s="181"/>
      <c r="Q7" s="175">
        <f t="shared" si="0"/>
        <v>4.5587666464054815</v>
      </c>
      <c r="R7" s="190">
        <v>2</v>
      </c>
      <c r="S7" s="40" t="s">
        <v>560</v>
      </c>
      <c r="T7" s="14" t="s">
        <v>1432</v>
      </c>
    </row>
    <row r="8" spans="1:40" ht="14.25" customHeight="1" x14ac:dyDescent="0.2">
      <c r="A8" s="170"/>
      <c r="B8" s="181"/>
      <c r="C8" s="181"/>
      <c r="D8" s="176"/>
      <c r="E8" s="176"/>
      <c r="F8" s="176"/>
      <c r="G8" s="181"/>
      <c r="H8" s="181"/>
      <c r="I8" s="181"/>
      <c r="J8" s="176"/>
      <c r="K8" s="176"/>
      <c r="L8" s="176"/>
      <c r="M8" s="176"/>
      <c r="N8" s="176"/>
      <c r="O8" s="181"/>
      <c r="P8" s="181"/>
      <c r="Q8" s="176"/>
      <c r="R8" s="176"/>
      <c r="S8" s="40" t="s">
        <v>219</v>
      </c>
      <c r="T8" s="14" t="s">
        <v>1433</v>
      </c>
    </row>
    <row r="9" spans="1:40" ht="14.25" customHeight="1" x14ac:dyDescent="0.2">
      <c r="A9" s="170"/>
      <c r="B9" s="181"/>
      <c r="C9" s="181"/>
      <c r="D9" s="41" t="s">
        <v>154</v>
      </c>
      <c r="E9" s="34" t="s">
        <v>155</v>
      </c>
      <c r="F9" s="50" t="s">
        <v>156</v>
      </c>
      <c r="G9" s="176"/>
      <c r="H9" s="181"/>
      <c r="I9" s="181"/>
      <c r="J9" s="51">
        <v>0.5</v>
      </c>
      <c r="K9" s="50" t="s">
        <v>27</v>
      </c>
      <c r="L9" s="53">
        <v>6</v>
      </c>
      <c r="M9" s="14" t="s">
        <v>1434</v>
      </c>
      <c r="N9" s="54">
        <f>L9*H7*J9</f>
        <v>33000</v>
      </c>
      <c r="O9" s="181"/>
      <c r="P9" s="181"/>
      <c r="Q9" s="51">
        <f t="shared" ref="Q9:Q14" si="1">N9/$O$2</f>
        <v>0.18235066585621926</v>
      </c>
      <c r="R9" s="62">
        <v>2</v>
      </c>
      <c r="S9" s="14" t="s">
        <v>568</v>
      </c>
      <c r="T9" s="14" t="s">
        <v>569</v>
      </c>
    </row>
    <row r="10" spans="1:40" ht="15" customHeight="1" x14ac:dyDescent="0.2">
      <c r="A10" s="170"/>
      <c r="B10" s="181"/>
      <c r="C10" s="181"/>
      <c r="D10" s="41" t="s">
        <v>480</v>
      </c>
      <c r="E10" s="34" t="s">
        <v>140</v>
      </c>
      <c r="F10" s="50" t="s">
        <v>140</v>
      </c>
      <c r="G10" s="178">
        <v>880</v>
      </c>
      <c r="H10" s="181"/>
      <c r="I10" s="181"/>
      <c r="J10" s="175">
        <v>0.91666666666666663</v>
      </c>
      <c r="K10" s="178">
        <v>1.8333333333333333</v>
      </c>
      <c r="L10" s="53">
        <v>150</v>
      </c>
      <c r="M10" s="14" t="s">
        <v>1436</v>
      </c>
      <c r="N10" s="54">
        <f>L10*K10*J10*G10</f>
        <v>221833.33333333331</v>
      </c>
      <c r="O10" s="181"/>
      <c r="P10" s="181"/>
      <c r="Q10" s="51">
        <f t="shared" si="1"/>
        <v>1.2258016982556961</v>
      </c>
      <c r="R10" s="62">
        <v>2</v>
      </c>
      <c r="S10" s="40" t="s">
        <v>485</v>
      </c>
      <c r="T10" s="14" t="s">
        <v>1438</v>
      </c>
    </row>
    <row r="11" spans="1:40" ht="14.25" customHeight="1" x14ac:dyDescent="0.2">
      <c r="A11" s="170"/>
      <c r="B11" s="181"/>
      <c r="C11" s="181"/>
      <c r="D11" s="41" t="s">
        <v>154</v>
      </c>
      <c r="E11" s="34" t="s">
        <v>155</v>
      </c>
      <c r="F11" s="50" t="s">
        <v>156</v>
      </c>
      <c r="G11" s="176"/>
      <c r="H11" s="176"/>
      <c r="I11" s="176"/>
      <c r="J11" s="176"/>
      <c r="K11" s="176"/>
      <c r="L11" s="53">
        <v>19</v>
      </c>
      <c r="M11" s="14" t="s">
        <v>1439</v>
      </c>
      <c r="N11" s="54">
        <f>L11*K10*J10*G10</f>
        <v>28098.888888888883</v>
      </c>
      <c r="O11" s="181"/>
      <c r="P11" s="181"/>
      <c r="Q11" s="51">
        <f t="shared" si="1"/>
        <v>0.15526821511238814</v>
      </c>
      <c r="R11" s="62">
        <v>2</v>
      </c>
      <c r="S11" s="40"/>
      <c r="T11" s="14" t="s">
        <v>1440</v>
      </c>
    </row>
    <row r="12" spans="1:40" ht="14.25" customHeight="1" x14ac:dyDescent="0.2">
      <c r="A12" s="170"/>
      <c r="B12" s="181"/>
      <c r="C12" s="181"/>
      <c r="D12" s="41" t="s">
        <v>489</v>
      </c>
      <c r="E12" s="34" t="s">
        <v>140</v>
      </c>
      <c r="F12" s="50" t="s">
        <v>140</v>
      </c>
      <c r="G12" s="178">
        <v>16</v>
      </c>
      <c r="H12" s="178">
        <v>1</v>
      </c>
      <c r="I12" s="179" t="s">
        <v>166</v>
      </c>
      <c r="J12" s="175" t="s">
        <v>27</v>
      </c>
      <c r="K12" s="178">
        <v>36</v>
      </c>
      <c r="L12" s="53">
        <v>150</v>
      </c>
      <c r="M12" s="14" t="s">
        <v>1441</v>
      </c>
      <c r="N12" s="54">
        <f>L12*H12*K12*G12</f>
        <v>86400</v>
      </c>
      <c r="O12" s="181"/>
      <c r="P12" s="181"/>
      <c r="Q12" s="51">
        <f t="shared" si="1"/>
        <v>0.47742719787810134</v>
      </c>
      <c r="R12" s="62">
        <v>2</v>
      </c>
      <c r="S12" s="40" t="s">
        <v>485</v>
      </c>
      <c r="T12" s="14" t="s">
        <v>1438</v>
      </c>
    </row>
    <row r="13" spans="1:40" ht="14.25" customHeight="1" x14ac:dyDescent="0.2">
      <c r="A13" s="170"/>
      <c r="B13" s="176"/>
      <c r="C13" s="176"/>
      <c r="D13" s="41" t="s">
        <v>154</v>
      </c>
      <c r="E13" s="34" t="s">
        <v>155</v>
      </c>
      <c r="F13" s="50" t="s">
        <v>156</v>
      </c>
      <c r="G13" s="176"/>
      <c r="H13" s="176"/>
      <c r="I13" s="176"/>
      <c r="J13" s="176"/>
      <c r="K13" s="176"/>
      <c r="L13" s="53">
        <v>20.2</v>
      </c>
      <c r="M13" s="14" t="s">
        <v>1442</v>
      </c>
      <c r="N13" s="54">
        <f>L13*K12*H12*G12</f>
        <v>11635.199999999999</v>
      </c>
      <c r="O13" s="181"/>
      <c r="P13" s="181"/>
      <c r="Q13" s="51">
        <f t="shared" si="1"/>
        <v>6.4293529314250975E-2</v>
      </c>
      <c r="R13" s="62">
        <v>2</v>
      </c>
      <c r="S13" s="40"/>
      <c r="T13" s="14" t="s">
        <v>1440</v>
      </c>
    </row>
    <row r="14" spans="1:40" ht="14.25" customHeight="1" x14ac:dyDescent="0.2">
      <c r="A14" s="170"/>
      <c r="B14" s="183" t="s">
        <v>209</v>
      </c>
      <c r="C14" s="184" t="s">
        <v>210</v>
      </c>
      <c r="D14" s="239" t="s">
        <v>591</v>
      </c>
      <c r="E14" s="239" t="s">
        <v>155</v>
      </c>
      <c r="F14" s="239" t="s">
        <v>9</v>
      </c>
      <c r="G14" s="178">
        <v>64</v>
      </c>
      <c r="H14" s="182">
        <v>170000</v>
      </c>
      <c r="I14" s="183" t="s">
        <v>166</v>
      </c>
      <c r="J14" s="175" t="s">
        <v>1445</v>
      </c>
      <c r="K14" s="178">
        <v>60</v>
      </c>
      <c r="L14" s="178">
        <v>83</v>
      </c>
      <c r="M14" s="179" t="s">
        <v>180</v>
      </c>
      <c r="N14" s="180">
        <f>L14*K14*G14</f>
        <v>318720</v>
      </c>
      <c r="O14" s="181"/>
      <c r="P14" s="181"/>
      <c r="Q14" s="175">
        <f t="shared" si="1"/>
        <v>1.761175885505885</v>
      </c>
      <c r="R14" s="190">
        <v>2</v>
      </c>
      <c r="S14" s="14" t="s">
        <v>213</v>
      </c>
      <c r="T14" s="14" t="s">
        <v>1446</v>
      </c>
    </row>
    <row r="15" spans="1:40" ht="14.25" customHeight="1" x14ac:dyDescent="0.2">
      <c r="A15" s="170"/>
      <c r="B15" s="181"/>
      <c r="C15" s="181"/>
      <c r="D15" s="181"/>
      <c r="E15" s="181"/>
      <c r="F15" s="181"/>
      <c r="G15" s="181"/>
      <c r="H15" s="181"/>
      <c r="I15" s="181"/>
      <c r="J15" s="181"/>
      <c r="K15" s="181"/>
      <c r="L15" s="181"/>
      <c r="M15" s="181"/>
      <c r="N15" s="181"/>
      <c r="O15" s="181"/>
      <c r="P15" s="181"/>
      <c r="Q15" s="181"/>
      <c r="R15" s="181"/>
      <c r="S15" s="40" t="s">
        <v>216</v>
      </c>
      <c r="T15" s="14" t="s">
        <v>217</v>
      </c>
    </row>
    <row r="16" spans="1:40" ht="14.25" customHeight="1" x14ac:dyDescent="0.2">
      <c r="A16" s="170"/>
      <c r="B16" s="181"/>
      <c r="C16" s="181"/>
      <c r="D16" s="176"/>
      <c r="E16" s="176"/>
      <c r="F16" s="176"/>
      <c r="G16" s="176"/>
      <c r="H16" s="181"/>
      <c r="I16" s="176"/>
      <c r="J16" s="176"/>
      <c r="K16" s="176"/>
      <c r="L16" s="176"/>
      <c r="M16" s="176"/>
      <c r="N16" s="176"/>
      <c r="O16" s="181"/>
      <c r="P16" s="181"/>
      <c r="Q16" s="176"/>
      <c r="R16" s="176"/>
      <c r="S16" s="40" t="s">
        <v>219</v>
      </c>
      <c r="T16" s="14" t="s">
        <v>1448</v>
      </c>
    </row>
    <row r="17" spans="1:40" ht="14.25" customHeight="1" x14ac:dyDescent="0.2">
      <c r="A17" s="170"/>
      <c r="B17" s="181"/>
      <c r="C17" s="181"/>
      <c r="D17" s="239" t="s">
        <v>185</v>
      </c>
      <c r="E17" s="239" t="s">
        <v>155</v>
      </c>
      <c r="F17" s="239" t="s">
        <v>9</v>
      </c>
      <c r="G17" s="178">
        <v>960</v>
      </c>
      <c r="H17" s="181"/>
      <c r="I17" s="183" t="s">
        <v>166</v>
      </c>
      <c r="J17" s="175" t="s">
        <v>1449</v>
      </c>
      <c r="K17" s="178">
        <v>45</v>
      </c>
      <c r="L17" s="178">
        <v>11.7</v>
      </c>
      <c r="M17" s="179" t="s">
        <v>221</v>
      </c>
      <c r="N17" s="180">
        <f>L17*G17*K17</f>
        <v>505440</v>
      </c>
      <c r="O17" s="181"/>
      <c r="P17" s="181"/>
      <c r="Q17" s="175">
        <f>N17/$O$2</f>
        <v>2.7929491075868929</v>
      </c>
      <c r="R17" s="190">
        <v>2</v>
      </c>
      <c r="S17" s="14" t="s">
        <v>568</v>
      </c>
      <c r="T17" s="14" t="s">
        <v>569</v>
      </c>
    </row>
    <row r="18" spans="1:40" ht="14.25" customHeight="1" x14ac:dyDescent="0.2">
      <c r="A18" s="170"/>
      <c r="B18" s="181"/>
      <c r="C18" s="181"/>
      <c r="D18" s="181"/>
      <c r="E18" s="181"/>
      <c r="F18" s="181"/>
      <c r="G18" s="181"/>
      <c r="H18" s="181"/>
      <c r="I18" s="181"/>
      <c r="J18" s="181"/>
      <c r="K18" s="181"/>
      <c r="L18" s="181"/>
      <c r="M18" s="181"/>
      <c r="N18" s="181"/>
      <c r="O18" s="181"/>
      <c r="P18" s="181"/>
      <c r="Q18" s="181"/>
      <c r="R18" s="181"/>
      <c r="S18" s="40" t="s">
        <v>224</v>
      </c>
      <c r="T18" s="14" t="s">
        <v>1452</v>
      </c>
    </row>
    <row r="19" spans="1:40" ht="14.25" customHeight="1" x14ac:dyDescent="0.2">
      <c r="A19" s="170"/>
      <c r="B19" s="181"/>
      <c r="C19" s="181"/>
      <c r="D19" s="181"/>
      <c r="E19" s="181"/>
      <c r="F19" s="181"/>
      <c r="G19" s="181"/>
      <c r="H19" s="181"/>
      <c r="I19" s="181"/>
      <c r="J19" s="181"/>
      <c r="K19" s="181"/>
      <c r="L19" s="181"/>
      <c r="M19" s="181"/>
      <c r="N19" s="181"/>
      <c r="O19" s="181"/>
      <c r="P19" s="181"/>
      <c r="Q19" s="181"/>
      <c r="R19" s="181"/>
      <c r="S19" s="40" t="s">
        <v>227</v>
      </c>
      <c r="T19" s="14" t="s">
        <v>1453</v>
      </c>
    </row>
    <row r="20" spans="1:40" ht="14.25" customHeight="1" x14ac:dyDescent="0.2">
      <c r="A20" s="170"/>
      <c r="B20" s="181"/>
      <c r="C20" s="181"/>
      <c r="D20" s="176"/>
      <c r="E20" s="176"/>
      <c r="F20" s="176"/>
      <c r="G20" s="176"/>
      <c r="H20" s="181"/>
      <c r="I20" s="176"/>
      <c r="J20" s="176"/>
      <c r="K20" s="176"/>
      <c r="L20" s="176"/>
      <c r="M20" s="176"/>
      <c r="N20" s="176"/>
      <c r="O20" s="181"/>
      <c r="P20" s="181"/>
      <c r="Q20" s="176"/>
      <c r="R20" s="176"/>
      <c r="S20" s="14" t="s">
        <v>229</v>
      </c>
      <c r="T20" s="14" t="s">
        <v>1455</v>
      </c>
    </row>
    <row r="21" spans="1:40" ht="15" customHeight="1" x14ac:dyDescent="0.2">
      <c r="A21" s="170"/>
      <c r="B21" s="181"/>
      <c r="C21" s="181"/>
      <c r="D21" s="239" t="s">
        <v>239</v>
      </c>
      <c r="E21" s="239" t="s">
        <v>155</v>
      </c>
      <c r="F21" s="239" t="s">
        <v>7</v>
      </c>
      <c r="G21" s="182">
        <v>1</v>
      </c>
      <c r="H21" s="181"/>
      <c r="I21" s="183" t="s">
        <v>166</v>
      </c>
      <c r="J21" s="175">
        <v>3.3333333333333335E-3</v>
      </c>
      <c r="K21" s="179" t="s">
        <v>27</v>
      </c>
      <c r="L21" s="178">
        <v>1.6559999999999999</v>
      </c>
      <c r="M21" s="179" t="s">
        <v>1456</v>
      </c>
      <c r="N21" s="180">
        <f>L21*H14</f>
        <v>281520</v>
      </c>
      <c r="O21" s="181"/>
      <c r="P21" s="181"/>
      <c r="Q21" s="175">
        <f>N21/$O$2</f>
        <v>1.5556169530861468</v>
      </c>
      <c r="R21" s="191">
        <v>4</v>
      </c>
      <c r="S21" s="14" t="s">
        <v>243</v>
      </c>
      <c r="T21" s="14" t="s">
        <v>244</v>
      </c>
    </row>
    <row r="22" spans="1:40" ht="14.25" customHeight="1" x14ac:dyDescent="0.2">
      <c r="A22" s="170"/>
      <c r="B22" s="181"/>
      <c r="C22" s="181"/>
      <c r="D22" s="181"/>
      <c r="E22" s="181"/>
      <c r="F22" s="181"/>
      <c r="G22" s="181"/>
      <c r="H22" s="181"/>
      <c r="I22" s="181"/>
      <c r="J22" s="181"/>
      <c r="K22" s="181"/>
      <c r="L22" s="181"/>
      <c r="M22" s="181"/>
      <c r="N22" s="181"/>
      <c r="O22" s="181"/>
      <c r="P22" s="181"/>
      <c r="Q22" s="181"/>
      <c r="R22" s="181"/>
      <c r="S22" s="40" t="s">
        <v>246</v>
      </c>
      <c r="T22" s="14" t="s">
        <v>247</v>
      </c>
    </row>
    <row r="23" spans="1:40" ht="14.25" customHeight="1" x14ac:dyDescent="0.2">
      <c r="A23" s="170"/>
      <c r="B23" s="181"/>
      <c r="C23" s="181"/>
      <c r="D23" s="176"/>
      <c r="E23" s="176"/>
      <c r="F23" s="176"/>
      <c r="G23" s="176"/>
      <c r="H23" s="181"/>
      <c r="I23" s="181"/>
      <c r="J23" s="176"/>
      <c r="K23" s="176"/>
      <c r="L23" s="176"/>
      <c r="M23" s="176"/>
      <c r="N23" s="176"/>
      <c r="O23" s="181"/>
      <c r="P23" s="181"/>
      <c r="Q23" s="176"/>
      <c r="R23" s="176"/>
      <c r="S23" s="14" t="s">
        <v>249</v>
      </c>
      <c r="T23" s="14" t="s">
        <v>250</v>
      </c>
    </row>
    <row r="24" spans="1:40" ht="14.25" customHeight="1" x14ac:dyDescent="0.2">
      <c r="A24" s="170"/>
      <c r="B24" s="181"/>
      <c r="C24" s="181"/>
      <c r="D24" s="239" t="s">
        <v>197</v>
      </c>
      <c r="E24" s="239" t="s">
        <v>155</v>
      </c>
      <c r="F24" s="239" t="s">
        <v>8</v>
      </c>
      <c r="G24" s="178">
        <v>85</v>
      </c>
      <c r="H24" s="181"/>
      <c r="I24" s="181"/>
      <c r="J24" s="194" t="s">
        <v>1460</v>
      </c>
      <c r="K24" s="179">
        <v>36</v>
      </c>
      <c r="L24" s="194">
        <v>68</v>
      </c>
      <c r="M24" s="179" t="s">
        <v>221</v>
      </c>
      <c r="N24" s="195">
        <f>L24*K24*G24</f>
        <v>208080</v>
      </c>
      <c r="O24" s="181"/>
      <c r="P24" s="181"/>
      <c r="Q24" s="175">
        <f>N24/$O$2</f>
        <v>1.1498038348897608</v>
      </c>
      <c r="R24" s="191">
        <v>2</v>
      </c>
      <c r="S24" s="14" t="s">
        <v>191</v>
      </c>
      <c r="T24" s="117" t="s">
        <v>1193</v>
      </c>
    </row>
    <row r="25" spans="1:40" ht="14.25" customHeight="1" x14ac:dyDescent="0.2">
      <c r="A25" s="170"/>
      <c r="B25" s="176"/>
      <c r="C25" s="176"/>
      <c r="D25" s="176"/>
      <c r="E25" s="176"/>
      <c r="F25" s="176"/>
      <c r="G25" s="176"/>
      <c r="H25" s="176"/>
      <c r="I25" s="176"/>
      <c r="J25" s="176"/>
      <c r="K25" s="176"/>
      <c r="L25" s="176"/>
      <c r="M25" s="176"/>
      <c r="N25" s="176"/>
      <c r="O25" s="181"/>
      <c r="P25" s="181"/>
      <c r="Q25" s="176"/>
      <c r="R25" s="176"/>
      <c r="S25" s="40" t="s">
        <v>1060</v>
      </c>
      <c r="T25" s="117" t="s">
        <v>1463</v>
      </c>
    </row>
    <row r="26" spans="1:40" ht="16.5" customHeight="1" x14ac:dyDescent="0.2">
      <c r="A26" s="170"/>
      <c r="B26" s="183" t="s">
        <v>251</v>
      </c>
      <c r="C26" s="184" t="s">
        <v>285</v>
      </c>
      <c r="D26" s="179" t="s">
        <v>140</v>
      </c>
      <c r="E26" s="179" t="s">
        <v>140</v>
      </c>
      <c r="F26" s="179" t="s">
        <v>140</v>
      </c>
      <c r="G26" s="182">
        <v>1</v>
      </c>
      <c r="H26" s="182">
        <v>7000</v>
      </c>
      <c r="I26" s="183" t="s">
        <v>166</v>
      </c>
      <c r="J26" s="175">
        <v>0.60416666666666663</v>
      </c>
      <c r="K26" s="179" t="s">
        <v>27</v>
      </c>
      <c r="L26" s="178">
        <v>150</v>
      </c>
      <c r="M26" s="179" t="s">
        <v>1464</v>
      </c>
      <c r="N26" s="180">
        <f>H26*L26*J26</f>
        <v>634375</v>
      </c>
      <c r="O26" s="181"/>
      <c r="P26" s="181"/>
      <c r="Q26" s="175">
        <f>N26/$O$2</f>
        <v>3.5054152621981545</v>
      </c>
      <c r="R26" s="190">
        <v>2</v>
      </c>
      <c r="S26" s="14" t="s">
        <v>549</v>
      </c>
      <c r="T26" s="14" t="s">
        <v>1465</v>
      </c>
    </row>
    <row r="27" spans="1:40" ht="16.5" customHeight="1" x14ac:dyDescent="0.2">
      <c r="A27" s="170"/>
      <c r="B27" s="181"/>
      <c r="C27" s="181"/>
      <c r="D27" s="181"/>
      <c r="E27" s="181"/>
      <c r="F27" s="181"/>
      <c r="G27" s="181"/>
      <c r="H27" s="181"/>
      <c r="I27" s="181"/>
      <c r="J27" s="181"/>
      <c r="K27" s="181"/>
      <c r="L27" s="181"/>
      <c r="M27" s="181"/>
      <c r="N27" s="181"/>
      <c r="O27" s="181"/>
      <c r="P27" s="181"/>
      <c r="Q27" s="181"/>
      <c r="R27" s="181"/>
      <c r="S27" s="14" t="s">
        <v>270</v>
      </c>
      <c r="T27" s="14" t="s">
        <v>271</v>
      </c>
    </row>
    <row r="28" spans="1:40" ht="16.5" customHeight="1" x14ac:dyDescent="0.2">
      <c r="A28" s="170"/>
      <c r="B28" s="181"/>
      <c r="C28" s="181"/>
      <c r="D28" s="181"/>
      <c r="E28" s="181"/>
      <c r="F28" s="181"/>
      <c r="G28" s="181"/>
      <c r="H28" s="181"/>
      <c r="I28" s="181"/>
      <c r="J28" s="181"/>
      <c r="K28" s="181"/>
      <c r="L28" s="181"/>
      <c r="M28" s="181"/>
      <c r="N28" s="181"/>
      <c r="O28" s="181"/>
      <c r="P28" s="181"/>
      <c r="Q28" s="181"/>
      <c r="R28" s="181"/>
      <c r="S28" s="14" t="s">
        <v>273</v>
      </c>
      <c r="T28" s="14" t="s">
        <v>1467</v>
      </c>
    </row>
    <row r="29" spans="1:40" ht="16.5" customHeight="1" x14ac:dyDescent="0.2">
      <c r="A29" s="170"/>
      <c r="B29" s="181"/>
      <c r="C29" s="181"/>
      <c r="D29" s="176"/>
      <c r="E29" s="176"/>
      <c r="F29" s="176"/>
      <c r="G29" s="181"/>
      <c r="H29" s="181"/>
      <c r="I29" s="181"/>
      <c r="J29" s="176"/>
      <c r="K29" s="176"/>
      <c r="L29" s="176"/>
      <c r="M29" s="176"/>
      <c r="N29" s="176"/>
      <c r="O29" s="181"/>
      <c r="P29" s="181"/>
      <c r="Q29" s="176"/>
      <c r="R29" s="176"/>
      <c r="S29" s="40" t="s">
        <v>262</v>
      </c>
      <c r="T29" s="14" t="s">
        <v>471</v>
      </c>
    </row>
    <row r="30" spans="1:40" ht="15" customHeight="1" x14ac:dyDescent="0.2">
      <c r="A30" s="170"/>
      <c r="B30" s="181"/>
      <c r="C30" s="176"/>
      <c r="D30" s="41" t="s">
        <v>154</v>
      </c>
      <c r="E30" s="41" t="s">
        <v>155</v>
      </c>
      <c r="F30" s="41" t="s">
        <v>156</v>
      </c>
      <c r="G30" s="176"/>
      <c r="H30" s="176"/>
      <c r="I30" s="176"/>
      <c r="J30" s="51" t="s">
        <v>27</v>
      </c>
      <c r="K30" s="41" t="s">
        <v>27</v>
      </c>
      <c r="L30" s="53">
        <v>1.9</v>
      </c>
      <c r="M30" s="14" t="s">
        <v>1471</v>
      </c>
      <c r="N30" s="54">
        <f>L30*H26</f>
        <v>13300</v>
      </c>
      <c r="O30" s="181"/>
      <c r="P30" s="181"/>
      <c r="Q30" s="57">
        <f t="shared" ref="Q30:Q31" si="2">N30/$O$2</f>
        <v>7.3492844117809583E-2</v>
      </c>
      <c r="R30" s="62">
        <v>3</v>
      </c>
      <c r="S30" s="14" t="s">
        <v>280</v>
      </c>
      <c r="T30" s="14" t="s">
        <v>281</v>
      </c>
      <c r="U30" s="63"/>
      <c r="V30" s="63"/>
      <c r="W30" s="63"/>
      <c r="X30" s="63"/>
      <c r="Y30" s="63"/>
      <c r="Z30" s="63"/>
      <c r="AA30" s="63"/>
      <c r="AB30" s="63"/>
      <c r="AC30" s="63"/>
      <c r="AD30" s="63"/>
      <c r="AE30" s="63"/>
      <c r="AF30" s="63"/>
      <c r="AG30" s="63"/>
      <c r="AH30" s="63"/>
      <c r="AI30" s="63"/>
      <c r="AJ30" s="63"/>
      <c r="AK30" s="63"/>
      <c r="AL30" s="63"/>
    </row>
    <row r="31" spans="1:40" ht="15" customHeight="1" x14ac:dyDescent="0.2">
      <c r="A31" s="170"/>
      <c r="B31" s="181"/>
      <c r="C31" s="184" t="s">
        <v>841</v>
      </c>
      <c r="D31" s="179" t="s">
        <v>6</v>
      </c>
      <c r="E31" s="179" t="s">
        <v>712</v>
      </c>
      <c r="F31" s="179" t="s">
        <v>712</v>
      </c>
      <c r="G31" s="182">
        <v>1</v>
      </c>
      <c r="H31" s="182">
        <v>22000</v>
      </c>
      <c r="I31" s="183" t="s">
        <v>166</v>
      </c>
      <c r="J31" s="175">
        <v>8.3333333333333329E-2</v>
      </c>
      <c r="K31" s="179" t="s">
        <v>27</v>
      </c>
      <c r="L31" s="178">
        <v>11</v>
      </c>
      <c r="M31" s="179" t="s">
        <v>1474</v>
      </c>
      <c r="N31" s="180">
        <f>L31*H31</f>
        <v>242000</v>
      </c>
      <c r="O31" s="181"/>
      <c r="P31" s="181"/>
      <c r="Q31" s="230">
        <f t="shared" si="2"/>
        <v>1.3372382162789413</v>
      </c>
      <c r="R31" s="190">
        <v>5</v>
      </c>
      <c r="S31" s="14" t="s">
        <v>716</v>
      </c>
      <c r="T31" s="14" t="s">
        <v>717</v>
      </c>
      <c r="U31" s="78"/>
      <c r="V31" s="14"/>
      <c r="W31" s="14"/>
      <c r="X31" s="14"/>
      <c r="Y31" s="38"/>
      <c r="Z31" s="14"/>
      <c r="AA31" s="14"/>
      <c r="AB31" s="14"/>
      <c r="AC31" s="14"/>
      <c r="AD31" s="60"/>
      <c r="AE31" s="61"/>
      <c r="AF31" s="61"/>
      <c r="AG31" s="61"/>
      <c r="AH31" s="61"/>
      <c r="AI31" s="61"/>
      <c r="AJ31" s="61"/>
      <c r="AK31" s="61"/>
      <c r="AL31" s="61"/>
      <c r="AM31" s="85"/>
      <c r="AN31" s="85"/>
    </row>
    <row r="32" spans="1:40" ht="15" customHeight="1" x14ac:dyDescent="0.2">
      <c r="A32" s="170"/>
      <c r="B32" s="181"/>
      <c r="C32" s="181"/>
      <c r="D32" s="176"/>
      <c r="E32" s="176"/>
      <c r="F32" s="176"/>
      <c r="G32" s="181"/>
      <c r="H32" s="181"/>
      <c r="I32" s="181"/>
      <c r="J32" s="176"/>
      <c r="K32" s="176"/>
      <c r="L32" s="176"/>
      <c r="M32" s="176"/>
      <c r="N32" s="176"/>
      <c r="O32" s="181"/>
      <c r="P32" s="181"/>
      <c r="Q32" s="176"/>
      <c r="R32" s="176"/>
      <c r="S32" s="14" t="s">
        <v>718</v>
      </c>
      <c r="T32" s="208" t="s">
        <v>720</v>
      </c>
      <c r="U32" s="172"/>
      <c r="V32" s="172"/>
      <c r="W32" s="172"/>
      <c r="X32" s="172"/>
      <c r="Y32" s="172"/>
      <c r="Z32" s="172"/>
      <c r="AA32" s="172"/>
      <c r="AB32" s="172"/>
      <c r="AC32" s="173"/>
      <c r="AD32" s="60"/>
      <c r="AE32" s="61"/>
      <c r="AF32" s="61"/>
      <c r="AG32" s="61"/>
      <c r="AH32" s="61"/>
      <c r="AI32" s="61"/>
      <c r="AJ32" s="61"/>
      <c r="AK32" s="61"/>
      <c r="AL32" s="61"/>
      <c r="AM32" s="85"/>
      <c r="AN32" s="85"/>
    </row>
    <row r="33" spans="1:40" ht="15" customHeight="1" x14ac:dyDescent="0.2">
      <c r="A33" s="170"/>
      <c r="B33" s="181"/>
      <c r="C33" s="181"/>
      <c r="D33" s="50" t="s">
        <v>872</v>
      </c>
      <c r="E33" s="50" t="s">
        <v>279</v>
      </c>
      <c r="F33" s="50" t="s">
        <v>14</v>
      </c>
      <c r="G33" s="181"/>
      <c r="H33" s="181"/>
      <c r="I33" s="181"/>
      <c r="J33" s="51" t="s">
        <v>27</v>
      </c>
      <c r="K33" s="50" t="s">
        <v>27</v>
      </c>
      <c r="L33" s="53">
        <v>0.15</v>
      </c>
      <c r="M33" s="14" t="s">
        <v>1479</v>
      </c>
      <c r="N33" s="54">
        <f>L33*H31</f>
        <v>3300</v>
      </c>
      <c r="O33" s="181"/>
      <c r="P33" s="181"/>
      <c r="Q33" s="57">
        <f t="shared" ref="Q33:Q34" si="3">N33/$O$2</f>
        <v>1.8235066585621927E-2</v>
      </c>
      <c r="R33" s="71">
        <v>3</v>
      </c>
      <c r="S33" s="14" t="s">
        <v>283</v>
      </c>
      <c r="T33" s="14" t="s">
        <v>284</v>
      </c>
      <c r="U33" s="14"/>
      <c r="V33" s="14"/>
      <c r="W33" s="14"/>
      <c r="X33" s="14"/>
      <c r="Y33" s="38"/>
      <c r="Z33" s="14"/>
      <c r="AA33" s="14"/>
      <c r="AB33" s="14"/>
      <c r="AC33" s="14"/>
      <c r="AD33" s="60"/>
      <c r="AE33" s="61"/>
      <c r="AF33" s="61"/>
      <c r="AG33" s="61"/>
      <c r="AH33" s="61"/>
      <c r="AI33" s="61"/>
      <c r="AJ33" s="61"/>
      <c r="AK33" s="61"/>
      <c r="AL33" s="61"/>
      <c r="AM33" s="85"/>
      <c r="AN33" s="85"/>
    </row>
    <row r="34" spans="1:40" ht="15" customHeight="1" x14ac:dyDescent="0.2">
      <c r="A34" s="170"/>
      <c r="B34" s="181"/>
      <c r="C34" s="181"/>
      <c r="D34" s="179" t="s">
        <v>293</v>
      </c>
      <c r="E34" s="179" t="s">
        <v>294</v>
      </c>
      <c r="F34" s="179" t="s">
        <v>12</v>
      </c>
      <c r="G34" s="181"/>
      <c r="H34" s="181"/>
      <c r="I34" s="181"/>
      <c r="J34" s="175">
        <v>4.1666666666666664E-2</v>
      </c>
      <c r="K34" s="179" t="s">
        <v>27</v>
      </c>
      <c r="L34" s="178">
        <v>1.9</v>
      </c>
      <c r="M34" s="179" t="s">
        <v>1483</v>
      </c>
      <c r="N34" s="195">
        <f>L34*H31</f>
        <v>41800</v>
      </c>
      <c r="O34" s="181"/>
      <c r="P34" s="181"/>
      <c r="Q34" s="230">
        <f t="shared" si="3"/>
        <v>0.2309775100845444</v>
      </c>
      <c r="R34" s="191">
        <v>4</v>
      </c>
      <c r="S34" s="14" t="s">
        <v>731</v>
      </c>
      <c r="T34" s="14" t="s">
        <v>732</v>
      </c>
      <c r="U34" s="14"/>
      <c r="V34" s="14"/>
      <c r="W34" s="14"/>
      <c r="X34" s="14"/>
      <c r="Y34" s="38"/>
      <c r="Z34" s="14"/>
      <c r="AA34" s="14"/>
      <c r="AB34" s="14"/>
      <c r="AC34" s="14"/>
      <c r="AD34" s="60"/>
      <c r="AE34" s="61"/>
      <c r="AF34" s="61"/>
      <c r="AG34" s="61"/>
      <c r="AH34" s="61"/>
      <c r="AI34" s="61"/>
      <c r="AJ34" s="61"/>
      <c r="AK34" s="61"/>
      <c r="AL34" s="61"/>
      <c r="AM34" s="85"/>
      <c r="AN34" s="85"/>
    </row>
    <row r="35" spans="1:40" ht="15" customHeight="1" x14ac:dyDescent="0.2">
      <c r="A35" s="170"/>
      <c r="B35" s="181"/>
      <c r="C35" s="181"/>
      <c r="D35" s="181"/>
      <c r="E35" s="181"/>
      <c r="F35" s="181"/>
      <c r="G35" s="181"/>
      <c r="H35" s="181"/>
      <c r="I35" s="181"/>
      <c r="J35" s="181"/>
      <c r="K35" s="181"/>
      <c r="L35" s="181"/>
      <c r="M35" s="181"/>
      <c r="N35" s="181"/>
      <c r="O35" s="181"/>
      <c r="P35" s="181"/>
      <c r="Q35" s="181"/>
      <c r="R35" s="181"/>
      <c r="S35" s="14" t="s">
        <v>734</v>
      </c>
      <c r="T35" s="14" t="s">
        <v>735</v>
      </c>
      <c r="U35" s="14"/>
      <c r="V35" s="14"/>
      <c r="W35" s="14"/>
      <c r="X35" s="14"/>
      <c r="Y35" s="38"/>
      <c r="Z35" s="14"/>
      <c r="AA35" s="14"/>
      <c r="AB35" s="14"/>
      <c r="AC35" s="14"/>
      <c r="AD35" s="60"/>
      <c r="AE35" s="61"/>
      <c r="AF35" s="61"/>
      <c r="AG35" s="61"/>
      <c r="AH35" s="61"/>
      <c r="AI35" s="61"/>
      <c r="AJ35" s="61"/>
      <c r="AK35" s="61"/>
      <c r="AL35" s="61"/>
      <c r="AM35" s="85"/>
      <c r="AN35" s="85"/>
    </row>
    <row r="36" spans="1:40" ht="15" customHeight="1" x14ac:dyDescent="0.2">
      <c r="A36" s="170"/>
      <c r="B36" s="181"/>
      <c r="C36" s="176"/>
      <c r="D36" s="176"/>
      <c r="E36" s="176"/>
      <c r="F36" s="176"/>
      <c r="G36" s="176"/>
      <c r="H36" s="176"/>
      <c r="I36" s="176"/>
      <c r="J36" s="176"/>
      <c r="K36" s="176"/>
      <c r="L36" s="176"/>
      <c r="M36" s="176"/>
      <c r="N36" s="176"/>
      <c r="O36" s="181"/>
      <c r="P36" s="181"/>
      <c r="Q36" s="176"/>
      <c r="R36" s="176"/>
      <c r="S36" s="14" t="s">
        <v>181</v>
      </c>
      <c r="T36" s="14" t="s">
        <v>1487</v>
      </c>
      <c r="U36" s="14"/>
      <c r="V36" s="14"/>
      <c r="W36" s="14"/>
      <c r="X36" s="14"/>
      <c r="Y36" s="14"/>
      <c r="Z36" s="14"/>
      <c r="AA36" s="14"/>
      <c r="AB36" s="14"/>
      <c r="AC36" s="14"/>
      <c r="AD36" s="60"/>
      <c r="AE36" s="61"/>
      <c r="AF36" s="61"/>
      <c r="AG36" s="61"/>
      <c r="AH36" s="61"/>
      <c r="AI36" s="61"/>
      <c r="AJ36" s="61"/>
      <c r="AK36" s="61"/>
      <c r="AL36" s="61"/>
      <c r="AM36" s="85"/>
      <c r="AN36" s="85"/>
    </row>
    <row r="37" spans="1:40" ht="15" customHeight="1" x14ac:dyDescent="0.2">
      <c r="A37" s="170"/>
      <c r="B37" s="181"/>
      <c r="C37" s="184" t="s">
        <v>252</v>
      </c>
      <c r="D37" s="50" t="s">
        <v>253</v>
      </c>
      <c r="E37" s="50" t="s">
        <v>140</v>
      </c>
      <c r="F37" s="50" t="s">
        <v>399</v>
      </c>
      <c r="G37" s="182">
        <v>1</v>
      </c>
      <c r="H37" s="182">
        <v>6000</v>
      </c>
      <c r="I37" s="183" t="s">
        <v>166</v>
      </c>
      <c r="J37" s="51">
        <v>0.66666666666666663</v>
      </c>
      <c r="K37" s="50" t="s">
        <v>27</v>
      </c>
      <c r="L37" s="53">
        <v>150</v>
      </c>
      <c r="M37" s="14" t="s">
        <v>1489</v>
      </c>
      <c r="N37" s="54">
        <f>L37*J37*H37</f>
        <v>600000</v>
      </c>
      <c r="O37" s="181"/>
      <c r="P37" s="181"/>
      <c r="Q37" s="57">
        <f t="shared" ref="Q37:Q42" si="4">N37/$O$2</f>
        <v>3.3154666519312594</v>
      </c>
      <c r="R37" s="71">
        <v>3</v>
      </c>
      <c r="S37" s="40" t="s">
        <v>259</v>
      </c>
      <c r="T37" s="14" t="s">
        <v>260</v>
      </c>
      <c r="U37" s="61"/>
      <c r="V37" s="61"/>
      <c r="W37" s="61"/>
      <c r="X37" s="61"/>
      <c r="Y37" s="61"/>
      <c r="Z37" s="61"/>
      <c r="AA37" s="61"/>
      <c r="AB37" s="61"/>
      <c r="AC37" s="61"/>
      <c r="AD37" s="63"/>
      <c r="AE37" s="63"/>
      <c r="AF37" s="63"/>
      <c r="AG37" s="63"/>
      <c r="AH37" s="63"/>
      <c r="AI37" s="63"/>
      <c r="AJ37" s="63"/>
      <c r="AK37" s="63"/>
      <c r="AL37" s="63"/>
    </row>
    <row r="38" spans="1:40" ht="15" customHeight="1" x14ac:dyDescent="0.2">
      <c r="A38" s="170"/>
      <c r="B38" s="181"/>
      <c r="C38" s="176"/>
      <c r="D38" s="50" t="s">
        <v>154</v>
      </c>
      <c r="E38" s="50" t="s">
        <v>155</v>
      </c>
      <c r="F38" s="50" t="s">
        <v>156</v>
      </c>
      <c r="G38" s="176"/>
      <c r="H38" s="176"/>
      <c r="I38" s="176"/>
      <c r="J38" s="51" t="s">
        <v>27</v>
      </c>
      <c r="K38" s="50" t="s">
        <v>27</v>
      </c>
      <c r="L38" s="53">
        <v>1.9</v>
      </c>
      <c r="M38" s="14" t="s">
        <v>1493</v>
      </c>
      <c r="N38" s="54">
        <f>L38*H37</f>
        <v>11400</v>
      </c>
      <c r="O38" s="181"/>
      <c r="P38" s="181"/>
      <c r="Q38" s="57">
        <f t="shared" si="4"/>
        <v>6.2993866386693922E-2</v>
      </c>
      <c r="R38" s="71">
        <v>3</v>
      </c>
      <c r="S38" s="40" t="s">
        <v>262</v>
      </c>
      <c r="T38" s="14" t="s">
        <v>267</v>
      </c>
      <c r="U38" s="61"/>
      <c r="V38" s="61"/>
      <c r="W38" s="61"/>
      <c r="X38" s="61"/>
      <c r="Y38" s="61"/>
      <c r="Z38" s="61"/>
      <c r="AA38" s="61"/>
      <c r="AB38" s="61"/>
      <c r="AC38" s="61"/>
      <c r="AD38" s="63"/>
      <c r="AE38" s="63"/>
      <c r="AF38" s="63"/>
      <c r="AG38" s="63"/>
      <c r="AH38" s="63"/>
      <c r="AI38" s="63"/>
      <c r="AJ38" s="63"/>
      <c r="AK38" s="63"/>
      <c r="AL38" s="63"/>
    </row>
    <row r="39" spans="1:40" ht="15" customHeight="1" x14ac:dyDescent="0.2">
      <c r="A39" s="170"/>
      <c r="B39" s="181"/>
      <c r="C39" s="184" t="s">
        <v>268</v>
      </c>
      <c r="D39" s="50" t="s">
        <v>269</v>
      </c>
      <c r="E39" s="50" t="s">
        <v>155</v>
      </c>
      <c r="F39" s="50" t="s">
        <v>7</v>
      </c>
      <c r="G39" s="182">
        <v>1</v>
      </c>
      <c r="H39" s="182">
        <v>3000</v>
      </c>
      <c r="I39" s="183" t="s">
        <v>166</v>
      </c>
      <c r="J39" s="51">
        <v>5.0000000000000001E-3</v>
      </c>
      <c r="K39" s="50" t="s">
        <v>27</v>
      </c>
      <c r="L39" s="53">
        <v>480</v>
      </c>
      <c r="M39" s="14" t="s">
        <v>1495</v>
      </c>
      <c r="N39" s="54">
        <f>L39*J39*H39</f>
        <v>7200</v>
      </c>
      <c r="O39" s="181"/>
      <c r="P39" s="181"/>
      <c r="Q39" s="57">
        <f t="shared" si="4"/>
        <v>3.9785599823175109E-2</v>
      </c>
      <c r="R39" s="71">
        <v>4</v>
      </c>
      <c r="S39" s="155" t="s">
        <v>275</v>
      </c>
      <c r="T39" s="147" t="s">
        <v>276</v>
      </c>
      <c r="U39" s="63"/>
      <c r="V39" s="63"/>
      <c r="W39" s="63"/>
      <c r="X39" s="63"/>
      <c r="Y39" s="63"/>
      <c r="Z39" s="63"/>
      <c r="AA39" s="63"/>
      <c r="AB39" s="63"/>
      <c r="AC39" s="63"/>
      <c r="AD39" s="63"/>
      <c r="AE39" s="63"/>
      <c r="AF39" s="63"/>
      <c r="AG39" s="63"/>
      <c r="AH39" s="63"/>
      <c r="AI39" s="63"/>
      <c r="AJ39" s="63"/>
      <c r="AK39" s="63"/>
      <c r="AL39" s="63"/>
    </row>
    <row r="40" spans="1:40" ht="15" customHeight="1" x14ac:dyDescent="0.2">
      <c r="A40" s="170"/>
      <c r="B40" s="181"/>
      <c r="C40" s="181"/>
      <c r="D40" s="50" t="s">
        <v>872</v>
      </c>
      <c r="E40" s="50" t="s">
        <v>279</v>
      </c>
      <c r="F40" s="50" t="s">
        <v>14</v>
      </c>
      <c r="G40" s="181"/>
      <c r="H40" s="181"/>
      <c r="I40" s="181"/>
      <c r="J40" s="51" t="s">
        <v>27</v>
      </c>
      <c r="K40" s="50" t="s">
        <v>27</v>
      </c>
      <c r="L40" s="53">
        <v>0.15</v>
      </c>
      <c r="M40" s="14" t="s">
        <v>1497</v>
      </c>
      <c r="N40" s="54">
        <f>L40*H39</f>
        <v>450</v>
      </c>
      <c r="O40" s="181"/>
      <c r="P40" s="181"/>
      <c r="Q40" s="57">
        <f t="shared" si="4"/>
        <v>2.4865999889484443E-3</v>
      </c>
      <c r="R40" s="71">
        <v>3</v>
      </c>
      <c r="S40" s="14" t="s">
        <v>283</v>
      </c>
      <c r="T40" s="14" t="s">
        <v>284</v>
      </c>
      <c r="U40" s="63"/>
      <c r="V40" s="63"/>
      <c r="W40" s="63"/>
      <c r="X40" s="63"/>
      <c r="Y40" s="63"/>
      <c r="Z40" s="63"/>
      <c r="AA40" s="63"/>
      <c r="AB40" s="63"/>
      <c r="AC40" s="63"/>
      <c r="AD40" s="63"/>
      <c r="AE40" s="63"/>
      <c r="AF40" s="63"/>
      <c r="AG40" s="63"/>
      <c r="AH40" s="63"/>
      <c r="AI40" s="63"/>
      <c r="AJ40" s="63"/>
      <c r="AK40" s="63"/>
      <c r="AL40" s="63"/>
    </row>
    <row r="41" spans="1:40" ht="15" customHeight="1" x14ac:dyDescent="0.2">
      <c r="A41" s="170"/>
      <c r="B41" s="181"/>
      <c r="C41" s="181"/>
      <c r="D41" s="50" t="s">
        <v>286</v>
      </c>
      <c r="E41" s="50" t="s">
        <v>287</v>
      </c>
      <c r="F41" s="50" t="s">
        <v>10</v>
      </c>
      <c r="G41" s="181"/>
      <c r="H41" s="181"/>
      <c r="I41" s="181"/>
      <c r="J41" s="51">
        <v>0.16666666666666666</v>
      </c>
      <c r="K41" s="50" t="s">
        <v>27</v>
      </c>
      <c r="L41" s="53">
        <v>2.5</v>
      </c>
      <c r="M41" s="14" t="s">
        <v>1500</v>
      </c>
      <c r="N41" s="54">
        <f>L41*J41*H39</f>
        <v>1250</v>
      </c>
      <c r="O41" s="181"/>
      <c r="P41" s="181"/>
      <c r="Q41" s="57">
        <f t="shared" si="4"/>
        <v>6.907222191523457E-3</v>
      </c>
      <c r="R41" s="71">
        <v>2</v>
      </c>
      <c r="S41" s="14" t="s">
        <v>291</v>
      </c>
      <c r="T41" s="14" t="s">
        <v>292</v>
      </c>
      <c r="U41" s="63"/>
      <c r="V41" s="63"/>
      <c r="W41" s="63"/>
      <c r="X41" s="63"/>
      <c r="Y41" s="63"/>
      <c r="Z41" s="63"/>
      <c r="AA41" s="63"/>
      <c r="AB41" s="63"/>
      <c r="AC41" s="63"/>
      <c r="AD41" s="63"/>
      <c r="AE41" s="63"/>
      <c r="AF41" s="63"/>
      <c r="AG41" s="63"/>
      <c r="AH41" s="63"/>
      <c r="AI41" s="63"/>
      <c r="AJ41" s="63"/>
      <c r="AK41" s="63"/>
      <c r="AL41" s="63"/>
    </row>
    <row r="42" spans="1:40" ht="15" customHeight="1" x14ac:dyDescent="0.2">
      <c r="A42" s="170"/>
      <c r="B42" s="197"/>
      <c r="C42" s="176"/>
      <c r="D42" s="50" t="s">
        <v>293</v>
      </c>
      <c r="E42" s="50" t="s">
        <v>294</v>
      </c>
      <c r="F42" s="50" t="s">
        <v>12</v>
      </c>
      <c r="G42" s="176"/>
      <c r="H42" s="176"/>
      <c r="I42" s="176"/>
      <c r="J42" s="51">
        <v>4.1666666666666664E-2</v>
      </c>
      <c r="K42" s="50" t="s">
        <v>27</v>
      </c>
      <c r="L42" s="53">
        <v>50</v>
      </c>
      <c r="M42" s="14" t="s">
        <v>1501</v>
      </c>
      <c r="N42" s="54">
        <f>L42*J42*H39</f>
        <v>6249.9999999999991</v>
      </c>
      <c r="O42" s="181"/>
      <c r="P42" s="181"/>
      <c r="Q42" s="57">
        <f t="shared" si="4"/>
        <v>3.4536110957617279E-2</v>
      </c>
      <c r="R42" s="71">
        <v>3</v>
      </c>
      <c r="S42" s="40" t="s">
        <v>296</v>
      </c>
      <c r="T42" s="14" t="s">
        <v>297</v>
      </c>
      <c r="U42" s="63"/>
      <c r="V42" s="63"/>
      <c r="W42" s="63"/>
      <c r="X42" s="63"/>
      <c r="Y42" s="63"/>
      <c r="Z42" s="63"/>
      <c r="AA42" s="63"/>
      <c r="AB42" s="63"/>
      <c r="AC42" s="63"/>
      <c r="AD42" s="63"/>
      <c r="AE42" s="63"/>
      <c r="AF42" s="63"/>
      <c r="AG42" s="63"/>
      <c r="AH42" s="63"/>
      <c r="AI42" s="63"/>
      <c r="AJ42" s="63"/>
      <c r="AK42" s="63"/>
      <c r="AL42" s="63"/>
    </row>
    <row r="43" spans="1:40" ht="15" customHeight="1" x14ac:dyDescent="0.2">
      <c r="A43" s="170"/>
      <c r="B43" s="68" t="s">
        <v>299</v>
      </c>
      <c r="C43" s="69" t="s">
        <v>300</v>
      </c>
      <c r="D43" s="50" t="s">
        <v>301</v>
      </c>
      <c r="E43" s="50" t="s">
        <v>27</v>
      </c>
      <c r="F43" s="50" t="s">
        <v>27</v>
      </c>
      <c r="G43" s="70">
        <v>10</v>
      </c>
      <c r="H43" s="53">
        <v>21</v>
      </c>
      <c r="I43" s="50" t="s">
        <v>166</v>
      </c>
      <c r="J43" s="51" t="s">
        <v>27</v>
      </c>
      <c r="K43" s="50" t="s">
        <v>27</v>
      </c>
      <c r="L43" s="53" t="s">
        <v>27</v>
      </c>
      <c r="M43" s="50" t="s">
        <v>304</v>
      </c>
      <c r="N43" s="54">
        <f t="shared" ref="N43:N44" si="5">H43*G43</f>
        <v>210</v>
      </c>
      <c r="O43" s="181"/>
      <c r="P43" s="181"/>
      <c r="Q43" s="51">
        <f>N43/O2</f>
        <v>1.1604133281759407E-3</v>
      </c>
      <c r="R43" s="71">
        <v>4</v>
      </c>
      <c r="S43" s="14" t="s">
        <v>305</v>
      </c>
      <c r="T43" s="14" t="s">
        <v>306</v>
      </c>
    </row>
    <row r="44" spans="1:40" ht="15" customHeight="1" x14ac:dyDescent="0.2">
      <c r="A44" s="170"/>
      <c r="B44" s="183" t="s">
        <v>310</v>
      </c>
      <c r="C44" s="183" t="s">
        <v>312</v>
      </c>
      <c r="D44" s="179" t="s">
        <v>313</v>
      </c>
      <c r="E44" s="179" t="s">
        <v>27</v>
      </c>
      <c r="F44" s="179" t="s">
        <v>27</v>
      </c>
      <c r="G44" s="182">
        <v>8</v>
      </c>
      <c r="H44" s="178">
        <v>85</v>
      </c>
      <c r="I44" s="179" t="s">
        <v>166</v>
      </c>
      <c r="J44" s="175" t="s">
        <v>27</v>
      </c>
      <c r="K44" s="179" t="s">
        <v>27</v>
      </c>
      <c r="L44" s="178" t="s">
        <v>27</v>
      </c>
      <c r="M44" s="179" t="s">
        <v>1502</v>
      </c>
      <c r="N44" s="180">
        <f t="shared" si="5"/>
        <v>680</v>
      </c>
      <c r="O44" s="181"/>
      <c r="P44" s="181"/>
      <c r="Q44" s="175">
        <f>N44/$O$2</f>
        <v>3.7575288721887604E-3</v>
      </c>
      <c r="R44" s="190">
        <v>3</v>
      </c>
      <c r="S44" s="40" t="s">
        <v>316</v>
      </c>
      <c r="T44" s="14" t="s">
        <v>318</v>
      </c>
    </row>
    <row r="45" spans="1:40" ht="16.5" customHeight="1" x14ac:dyDescent="0.2">
      <c r="A45" s="170"/>
      <c r="B45" s="176"/>
      <c r="C45" s="176"/>
      <c r="D45" s="176"/>
      <c r="E45" s="176"/>
      <c r="F45" s="176"/>
      <c r="G45" s="176"/>
      <c r="H45" s="176"/>
      <c r="I45" s="176"/>
      <c r="J45" s="176"/>
      <c r="K45" s="176"/>
      <c r="L45" s="176"/>
      <c r="M45" s="176"/>
      <c r="N45" s="176"/>
      <c r="O45" s="181"/>
      <c r="P45" s="181"/>
      <c r="Q45" s="176"/>
      <c r="R45" s="176"/>
      <c r="S45" s="40" t="s">
        <v>319</v>
      </c>
      <c r="T45" s="14" t="s">
        <v>320</v>
      </c>
    </row>
    <row r="46" spans="1:40" ht="16.5" customHeight="1" x14ac:dyDescent="0.2">
      <c r="A46" s="170"/>
      <c r="B46" s="94" t="s">
        <v>310</v>
      </c>
      <c r="C46" s="94" t="s">
        <v>566</v>
      </c>
      <c r="D46" s="34" t="s">
        <v>653</v>
      </c>
      <c r="E46" s="34" t="s">
        <v>27</v>
      </c>
      <c r="F46" s="34" t="s">
        <v>27</v>
      </c>
      <c r="G46" s="95">
        <v>11</v>
      </c>
      <c r="H46" s="35">
        <v>21</v>
      </c>
      <c r="I46" s="34" t="s">
        <v>166</v>
      </c>
      <c r="J46" s="36" t="s">
        <v>27</v>
      </c>
      <c r="K46" s="34" t="s">
        <v>27</v>
      </c>
      <c r="L46" s="35" t="s">
        <v>27</v>
      </c>
      <c r="M46" s="34" t="s">
        <v>1503</v>
      </c>
      <c r="N46" s="47">
        <f>H46*G46</f>
        <v>231</v>
      </c>
      <c r="O46" s="181"/>
      <c r="P46" s="181"/>
      <c r="Q46" s="36">
        <f t="shared" ref="Q46:Q47" si="6">N46/$O$2</f>
        <v>1.2764546609935349E-3</v>
      </c>
      <c r="R46" s="56">
        <v>3</v>
      </c>
      <c r="S46" s="40" t="s">
        <v>903</v>
      </c>
      <c r="T46" s="14" t="s">
        <v>905</v>
      </c>
    </row>
    <row r="47" spans="1:40" ht="14.25" customHeight="1" x14ac:dyDescent="0.2">
      <c r="A47" s="170"/>
      <c r="B47" s="183" t="s">
        <v>1504</v>
      </c>
      <c r="C47" s="183" t="s">
        <v>961</v>
      </c>
      <c r="D47" s="179" t="s">
        <v>962</v>
      </c>
      <c r="E47" s="179" t="s">
        <v>434</v>
      </c>
      <c r="F47" s="179" t="s">
        <v>18</v>
      </c>
      <c r="G47" s="178">
        <v>2</v>
      </c>
      <c r="H47" s="182">
        <v>500</v>
      </c>
      <c r="I47" s="183" t="s">
        <v>166</v>
      </c>
      <c r="J47" s="175">
        <v>2.0833333333333332E-2</v>
      </c>
      <c r="K47" s="179" t="s">
        <v>27</v>
      </c>
      <c r="L47" s="178">
        <v>158</v>
      </c>
      <c r="M47" s="179" t="s">
        <v>956</v>
      </c>
      <c r="N47" s="180">
        <f>L47*J47*H47*G47</f>
        <v>3291.6666666666665</v>
      </c>
      <c r="O47" s="181"/>
      <c r="P47" s="181"/>
      <c r="Q47" s="175">
        <f t="shared" si="6"/>
        <v>1.8189018437678436E-2</v>
      </c>
      <c r="R47" s="190">
        <v>5</v>
      </c>
      <c r="S47" s="14" t="s">
        <v>970</v>
      </c>
      <c r="T47" s="132" t="s">
        <v>971</v>
      </c>
      <c r="U47" s="141"/>
      <c r="V47" s="85"/>
      <c r="W47" s="85"/>
      <c r="X47" s="85"/>
      <c r="Y47" s="85"/>
      <c r="Z47" s="85"/>
      <c r="AA47" s="85"/>
      <c r="AB47" s="85"/>
      <c r="AC47" s="85"/>
      <c r="AD47" s="85"/>
      <c r="AE47" s="85"/>
      <c r="AF47" s="85"/>
      <c r="AG47" s="85"/>
      <c r="AH47" s="85"/>
      <c r="AI47" s="85"/>
      <c r="AJ47" s="85"/>
      <c r="AK47" s="85"/>
      <c r="AL47" s="85"/>
      <c r="AM47" s="85"/>
      <c r="AN47" s="85"/>
    </row>
    <row r="48" spans="1:40" ht="14.25" customHeight="1" x14ac:dyDescent="0.2">
      <c r="A48" s="170"/>
      <c r="B48" s="181"/>
      <c r="C48" s="181"/>
      <c r="D48" s="181"/>
      <c r="E48" s="181"/>
      <c r="F48" s="181"/>
      <c r="G48" s="181"/>
      <c r="H48" s="181"/>
      <c r="I48" s="181"/>
      <c r="J48" s="181"/>
      <c r="K48" s="181"/>
      <c r="L48" s="181"/>
      <c r="M48" s="181"/>
      <c r="N48" s="181"/>
      <c r="O48" s="181"/>
      <c r="P48" s="181"/>
      <c r="Q48" s="181"/>
      <c r="R48" s="181"/>
      <c r="S48" s="14" t="s">
        <v>451</v>
      </c>
      <c r="T48" s="210" t="s">
        <v>452</v>
      </c>
      <c r="U48" s="173"/>
      <c r="V48" s="85"/>
      <c r="W48" s="85"/>
      <c r="X48" s="85"/>
      <c r="Y48" s="85"/>
      <c r="Z48" s="85"/>
      <c r="AA48" s="85"/>
      <c r="AB48" s="85"/>
      <c r="AC48" s="85"/>
      <c r="AD48" s="85"/>
      <c r="AE48" s="85"/>
      <c r="AF48" s="85"/>
      <c r="AG48" s="85"/>
      <c r="AH48" s="85"/>
      <c r="AI48" s="85"/>
      <c r="AJ48" s="85"/>
      <c r="AK48" s="85"/>
      <c r="AL48" s="85"/>
      <c r="AM48" s="85"/>
      <c r="AN48" s="85"/>
    </row>
    <row r="49" spans="1:40" ht="14.25" customHeight="1" x14ac:dyDescent="0.2">
      <c r="A49" s="170"/>
      <c r="B49" s="181"/>
      <c r="C49" s="181"/>
      <c r="D49" s="181"/>
      <c r="E49" s="176"/>
      <c r="F49" s="176"/>
      <c r="G49" s="181"/>
      <c r="H49" s="181"/>
      <c r="I49" s="181"/>
      <c r="J49" s="176"/>
      <c r="K49" s="176"/>
      <c r="L49" s="176"/>
      <c r="M49" s="176"/>
      <c r="N49" s="176"/>
      <c r="O49" s="181"/>
      <c r="P49" s="181"/>
      <c r="Q49" s="176"/>
      <c r="R49" s="176"/>
      <c r="S49" s="14" t="s">
        <v>443</v>
      </c>
      <c r="T49" s="85" t="s">
        <v>444</v>
      </c>
      <c r="U49" s="85"/>
      <c r="V49" s="85"/>
      <c r="W49" s="85"/>
      <c r="X49" s="85"/>
      <c r="Y49" s="85"/>
      <c r="Z49" s="85"/>
      <c r="AA49" s="85"/>
      <c r="AB49" s="85"/>
      <c r="AC49" s="85"/>
      <c r="AD49" s="85"/>
      <c r="AE49" s="85"/>
      <c r="AF49" s="85"/>
      <c r="AG49" s="85"/>
      <c r="AH49" s="85"/>
      <c r="AI49" s="85"/>
      <c r="AJ49" s="85"/>
      <c r="AK49" s="85"/>
      <c r="AL49" s="85"/>
      <c r="AM49" s="85"/>
      <c r="AN49" s="85"/>
    </row>
    <row r="50" spans="1:40" ht="14.25" customHeight="1" x14ac:dyDescent="0.2">
      <c r="A50" s="170"/>
      <c r="B50" s="181"/>
      <c r="C50" s="181"/>
      <c r="D50" s="176"/>
      <c r="E50" s="50" t="s">
        <v>287</v>
      </c>
      <c r="F50" s="50" t="s">
        <v>19</v>
      </c>
      <c r="G50" s="176"/>
      <c r="H50" s="176"/>
      <c r="I50" s="176"/>
      <c r="J50" s="51">
        <v>2.5000000000000001E-3</v>
      </c>
      <c r="K50" s="50" t="s">
        <v>27</v>
      </c>
      <c r="L50" s="53">
        <v>0.17</v>
      </c>
      <c r="M50" s="14" t="s">
        <v>1506</v>
      </c>
      <c r="N50" s="54">
        <f>L50*H47*G47</f>
        <v>170</v>
      </c>
      <c r="O50" s="181"/>
      <c r="P50" s="181"/>
      <c r="Q50" s="51">
        <f t="shared" ref="Q50:Q51" si="7">N50/$O$2</f>
        <v>9.3938221804719011E-4</v>
      </c>
      <c r="R50" s="62">
        <v>5</v>
      </c>
      <c r="S50" s="40" t="s">
        <v>460</v>
      </c>
      <c r="T50" s="85" t="s">
        <v>461</v>
      </c>
      <c r="U50" s="85"/>
      <c r="V50" s="141"/>
      <c r="W50" s="85"/>
      <c r="X50" s="85"/>
      <c r="Y50" s="85"/>
      <c r="Z50" s="85"/>
      <c r="AA50" s="85"/>
      <c r="AB50" s="85"/>
      <c r="AC50" s="85"/>
      <c r="AD50" s="85"/>
      <c r="AE50" s="85"/>
      <c r="AF50" s="85"/>
      <c r="AG50" s="85"/>
      <c r="AH50" s="85"/>
      <c r="AI50" s="85"/>
      <c r="AJ50" s="85"/>
      <c r="AK50" s="85"/>
      <c r="AL50" s="85"/>
      <c r="AM50" s="85"/>
      <c r="AN50" s="85"/>
    </row>
    <row r="51" spans="1:40" ht="14.25" customHeight="1" x14ac:dyDescent="0.2">
      <c r="A51" s="170"/>
      <c r="B51" s="181"/>
      <c r="C51" s="181"/>
      <c r="D51" s="179" t="s">
        <v>1224</v>
      </c>
      <c r="E51" s="179" t="s">
        <v>13</v>
      </c>
      <c r="F51" s="179" t="s">
        <v>13</v>
      </c>
      <c r="G51" s="178">
        <v>9</v>
      </c>
      <c r="H51" s="178">
        <v>12</v>
      </c>
      <c r="I51" s="179" t="s">
        <v>142</v>
      </c>
      <c r="J51" s="175">
        <v>0.33333333333333331</v>
      </c>
      <c r="K51" s="179">
        <v>0.14583333333333334</v>
      </c>
      <c r="L51" s="178">
        <v>169</v>
      </c>
      <c r="M51" s="179" t="s">
        <v>1508</v>
      </c>
      <c r="N51" s="180">
        <f>J51*L51*K51*G51*12</f>
        <v>887.24999999999977</v>
      </c>
      <c r="O51" s="181"/>
      <c r="P51" s="181"/>
      <c r="Q51" s="175">
        <f t="shared" si="7"/>
        <v>4.9027463115433488E-3</v>
      </c>
      <c r="R51" s="190">
        <v>2</v>
      </c>
      <c r="S51" s="14" t="s">
        <v>181</v>
      </c>
      <c r="T51" s="61" t="s">
        <v>1509</v>
      </c>
      <c r="U51" s="85"/>
      <c r="V51" s="141"/>
      <c r="W51" s="85"/>
      <c r="X51" s="85"/>
      <c r="Y51" s="85"/>
      <c r="Z51" s="85"/>
      <c r="AA51" s="85"/>
      <c r="AB51" s="85"/>
      <c r="AC51" s="85"/>
      <c r="AD51" s="85"/>
      <c r="AE51" s="85"/>
      <c r="AF51" s="85"/>
      <c r="AG51" s="85"/>
      <c r="AH51" s="85"/>
      <c r="AI51" s="85"/>
      <c r="AJ51" s="85"/>
      <c r="AK51" s="85"/>
      <c r="AL51" s="85"/>
      <c r="AM51" s="85"/>
      <c r="AN51" s="85"/>
    </row>
    <row r="52" spans="1:40" ht="14.25" customHeight="1" x14ac:dyDescent="0.2">
      <c r="A52" s="170"/>
      <c r="B52" s="176"/>
      <c r="C52" s="176"/>
      <c r="D52" s="176"/>
      <c r="E52" s="176"/>
      <c r="F52" s="176"/>
      <c r="G52" s="176"/>
      <c r="H52" s="176"/>
      <c r="I52" s="176"/>
      <c r="J52" s="176"/>
      <c r="K52" s="176"/>
      <c r="L52" s="176"/>
      <c r="M52" s="176"/>
      <c r="N52" s="176"/>
      <c r="O52" s="181"/>
      <c r="P52" s="181"/>
      <c r="Q52" s="176"/>
      <c r="R52" s="176"/>
      <c r="S52" s="40" t="s">
        <v>992</v>
      </c>
      <c r="T52" s="85" t="s">
        <v>993</v>
      </c>
      <c r="U52" s="85"/>
      <c r="V52" s="141"/>
      <c r="W52" s="85"/>
      <c r="X52" s="85"/>
      <c r="Y52" s="85"/>
      <c r="Z52" s="85"/>
      <c r="AA52" s="85"/>
      <c r="AB52" s="85"/>
      <c r="AC52" s="85"/>
      <c r="AD52" s="85"/>
      <c r="AE52" s="85"/>
      <c r="AF52" s="85"/>
      <c r="AG52" s="85"/>
      <c r="AH52" s="85"/>
      <c r="AI52" s="85"/>
      <c r="AJ52" s="85"/>
      <c r="AK52" s="85"/>
      <c r="AL52" s="85"/>
      <c r="AM52" s="85"/>
      <c r="AN52" s="85"/>
    </row>
    <row r="53" spans="1:40" ht="14.25" customHeight="1" x14ac:dyDescent="0.2">
      <c r="A53" s="170"/>
      <c r="B53" s="183" t="s">
        <v>1504</v>
      </c>
      <c r="C53" s="183" t="s">
        <v>1513</v>
      </c>
      <c r="D53" s="179" t="s">
        <v>1514</v>
      </c>
      <c r="E53" s="179" t="s">
        <v>13</v>
      </c>
      <c r="F53" s="179" t="s">
        <v>1515</v>
      </c>
      <c r="G53" s="178">
        <v>15</v>
      </c>
      <c r="H53" s="187">
        <v>1800</v>
      </c>
      <c r="I53" s="183" t="s">
        <v>166</v>
      </c>
      <c r="J53" s="175">
        <v>0.375</v>
      </c>
      <c r="K53" s="179">
        <v>0.29166666666666669</v>
      </c>
      <c r="L53" s="178">
        <v>169</v>
      </c>
      <c r="M53" s="179" t="s">
        <v>1517</v>
      </c>
      <c r="N53" s="180">
        <v>11470.875</v>
      </c>
      <c r="O53" s="181"/>
      <c r="P53" s="181"/>
      <c r="Q53" s="175">
        <f>N53/$O$2</f>
        <v>6.3385505884953314E-2</v>
      </c>
      <c r="R53" s="190">
        <v>3</v>
      </c>
      <c r="S53" s="14" t="s">
        <v>1519</v>
      </c>
      <c r="T53" s="14" t="s">
        <v>1520</v>
      </c>
      <c r="U53" s="14"/>
    </row>
    <row r="54" spans="1:40" ht="14.25" customHeight="1" x14ac:dyDescent="0.2">
      <c r="A54" s="170"/>
      <c r="B54" s="181"/>
      <c r="C54" s="181"/>
      <c r="D54" s="176"/>
      <c r="E54" s="176"/>
      <c r="F54" s="176"/>
      <c r="G54" s="176"/>
      <c r="H54" s="181"/>
      <c r="I54" s="181"/>
      <c r="J54" s="176"/>
      <c r="K54" s="176"/>
      <c r="L54" s="176"/>
      <c r="M54" s="176"/>
      <c r="N54" s="176"/>
      <c r="O54" s="181"/>
      <c r="P54" s="181"/>
      <c r="Q54" s="176"/>
      <c r="R54" s="176"/>
      <c r="S54" s="14" t="s">
        <v>1521</v>
      </c>
      <c r="T54" s="14" t="s">
        <v>1522</v>
      </c>
      <c r="U54" s="14"/>
    </row>
    <row r="55" spans="1:40" ht="14.25" customHeight="1" x14ac:dyDescent="0.2">
      <c r="A55" s="170"/>
      <c r="B55" s="181"/>
      <c r="C55" s="181"/>
      <c r="D55" s="179" t="s">
        <v>433</v>
      </c>
      <c r="E55" s="179" t="s">
        <v>434</v>
      </c>
      <c r="F55" s="179" t="s">
        <v>435</v>
      </c>
      <c r="G55" s="178">
        <v>2</v>
      </c>
      <c r="H55" s="181"/>
      <c r="I55" s="181"/>
      <c r="J55" s="175">
        <v>2.0833333333333332E-2</v>
      </c>
      <c r="K55" s="193" t="s">
        <v>27</v>
      </c>
      <c r="L55" s="194">
        <v>158</v>
      </c>
      <c r="M55" s="193" t="s">
        <v>1524</v>
      </c>
      <c r="N55" s="180">
        <f>L55*J55*H53*G55</f>
        <v>11850</v>
      </c>
      <c r="O55" s="181"/>
      <c r="P55" s="181"/>
      <c r="Q55" s="175">
        <f>N55/$O$2</f>
        <v>6.5480466375642365E-2</v>
      </c>
      <c r="R55" s="190">
        <v>3</v>
      </c>
      <c r="S55" s="40" t="s">
        <v>1527</v>
      </c>
      <c r="T55" s="14" t="s">
        <v>1528</v>
      </c>
      <c r="U55" s="14"/>
    </row>
    <row r="56" spans="1:40" ht="14.25" customHeight="1" x14ac:dyDescent="0.2">
      <c r="A56" s="170"/>
      <c r="B56" s="181"/>
      <c r="C56" s="181"/>
      <c r="D56" s="181"/>
      <c r="E56" s="181"/>
      <c r="F56" s="181"/>
      <c r="G56" s="181"/>
      <c r="H56" s="181"/>
      <c r="I56" s="181"/>
      <c r="J56" s="181"/>
      <c r="K56" s="181"/>
      <c r="L56" s="181"/>
      <c r="M56" s="181"/>
      <c r="N56" s="181"/>
      <c r="O56" s="181"/>
      <c r="P56" s="181"/>
      <c r="Q56" s="181"/>
      <c r="R56" s="181"/>
      <c r="S56" s="40" t="s">
        <v>1530</v>
      </c>
      <c r="T56" s="14" t="s">
        <v>1531</v>
      </c>
      <c r="U56" s="14"/>
    </row>
    <row r="57" spans="1:40" ht="14.25" customHeight="1" x14ac:dyDescent="0.2">
      <c r="A57" s="170"/>
      <c r="B57" s="181"/>
      <c r="C57" s="181"/>
      <c r="D57" s="181"/>
      <c r="E57" s="181"/>
      <c r="F57" s="181"/>
      <c r="G57" s="181"/>
      <c r="H57" s="181"/>
      <c r="I57" s="181"/>
      <c r="J57" s="181"/>
      <c r="K57" s="181"/>
      <c r="L57" s="181"/>
      <c r="M57" s="181"/>
      <c r="N57" s="181"/>
      <c r="O57" s="181"/>
      <c r="P57" s="181"/>
      <c r="Q57" s="181"/>
      <c r="R57" s="181"/>
      <c r="S57" s="14" t="s">
        <v>451</v>
      </c>
      <c r="T57" s="210" t="s">
        <v>452</v>
      </c>
      <c r="U57" s="173"/>
    </row>
    <row r="58" spans="1:40" ht="14.25" customHeight="1" x14ac:dyDescent="0.2">
      <c r="A58" s="170"/>
      <c r="B58" s="181"/>
      <c r="C58" s="181"/>
      <c r="D58" s="181"/>
      <c r="E58" s="181"/>
      <c r="F58" s="181"/>
      <c r="G58" s="181"/>
      <c r="H58" s="181"/>
      <c r="I58" s="181"/>
      <c r="J58" s="181"/>
      <c r="K58" s="181"/>
      <c r="L58" s="181"/>
      <c r="M58" s="181"/>
      <c r="N58" s="181"/>
      <c r="O58" s="181"/>
      <c r="P58" s="181"/>
      <c r="Q58" s="181"/>
      <c r="R58" s="181"/>
      <c r="S58" s="14" t="s">
        <v>443</v>
      </c>
      <c r="T58" s="14" t="s">
        <v>444</v>
      </c>
      <c r="U58" s="157"/>
    </row>
    <row r="59" spans="1:40" ht="14.25" customHeight="1" x14ac:dyDescent="0.2">
      <c r="A59" s="170"/>
      <c r="B59" s="181"/>
      <c r="C59" s="181"/>
      <c r="D59" s="181"/>
      <c r="E59" s="176"/>
      <c r="F59" s="176"/>
      <c r="G59" s="181"/>
      <c r="H59" s="181"/>
      <c r="I59" s="181"/>
      <c r="J59" s="176"/>
      <c r="K59" s="176"/>
      <c r="L59" s="176"/>
      <c r="M59" s="176"/>
      <c r="N59" s="176"/>
      <c r="O59" s="181"/>
      <c r="P59" s="181"/>
      <c r="Q59" s="176"/>
      <c r="R59" s="176"/>
      <c r="S59" s="40" t="s">
        <v>460</v>
      </c>
      <c r="T59" s="14" t="s">
        <v>461</v>
      </c>
      <c r="U59" s="14"/>
    </row>
    <row r="60" spans="1:40" ht="14.25" customHeight="1" x14ac:dyDescent="0.2">
      <c r="A60" s="170"/>
      <c r="B60" s="176"/>
      <c r="C60" s="176"/>
      <c r="D60" s="176"/>
      <c r="E60" s="14" t="s">
        <v>287</v>
      </c>
      <c r="F60" s="14" t="s">
        <v>19</v>
      </c>
      <c r="G60" s="176"/>
      <c r="H60" s="176"/>
      <c r="I60" s="176"/>
      <c r="J60" s="51">
        <v>2.5000000000000001E-3</v>
      </c>
      <c r="K60" s="50" t="s">
        <v>27</v>
      </c>
      <c r="L60" s="53">
        <v>0.17</v>
      </c>
      <c r="M60" s="14" t="s">
        <v>1532</v>
      </c>
      <c r="N60" s="54">
        <f>L60*H53*G55</f>
        <v>612</v>
      </c>
      <c r="O60" s="181"/>
      <c r="P60" s="181"/>
      <c r="Q60" s="51">
        <f t="shared" ref="Q60:Q61" si="8">N60/$O$2</f>
        <v>3.3817759849698844E-3</v>
      </c>
      <c r="R60" s="62">
        <v>3</v>
      </c>
      <c r="S60" s="40" t="s">
        <v>460</v>
      </c>
      <c r="T60" s="14" t="s">
        <v>461</v>
      </c>
      <c r="U60" s="14"/>
    </row>
    <row r="61" spans="1:40" ht="14.25" customHeight="1" x14ac:dyDescent="0.2">
      <c r="A61" s="170"/>
      <c r="B61" s="183" t="s">
        <v>321</v>
      </c>
      <c r="C61" s="184" t="s">
        <v>322</v>
      </c>
      <c r="D61" s="179" t="s">
        <v>323</v>
      </c>
      <c r="E61" s="179" t="s">
        <v>13</v>
      </c>
      <c r="F61" s="179" t="s">
        <v>13</v>
      </c>
      <c r="G61" s="182">
        <v>1</v>
      </c>
      <c r="H61" s="182">
        <v>160000</v>
      </c>
      <c r="I61" s="183" t="s">
        <v>166</v>
      </c>
      <c r="J61" s="175">
        <v>4.1666666666666666E-3</v>
      </c>
      <c r="K61" s="179" t="s">
        <v>27</v>
      </c>
      <c r="L61" s="178">
        <v>0.56899999999999995</v>
      </c>
      <c r="M61" s="179" t="s">
        <v>1534</v>
      </c>
      <c r="N61" s="180">
        <f>H61*L61</f>
        <v>91039.999999999985</v>
      </c>
      <c r="O61" s="181"/>
      <c r="P61" s="181"/>
      <c r="Q61" s="175">
        <f t="shared" si="8"/>
        <v>0.50306680665303638</v>
      </c>
      <c r="R61" s="192">
        <v>3</v>
      </c>
      <c r="S61" s="14" t="s">
        <v>325</v>
      </c>
      <c r="T61" s="14" t="s">
        <v>326</v>
      </c>
      <c r="U61" s="14"/>
    </row>
    <row r="62" spans="1:40" ht="14.25" customHeight="1" x14ac:dyDescent="0.2">
      <c r="A62" s="170"/>
      <c r="B62" s="181"/>
      <c r="C62" s="181"/>
      <c r="D62" s="181"/>
      <c r="E62" s="181"/>
      <c r="F62" s="181"/>
      <c r="G62" s="181"/>
      <c r="H62" s="181"/>
      <c r="I62" s="181"/>
      <c r="J62" s="181"/>
      <c r="K62" s="181"/>
      <c r="L62" s="181"/>
      <c r="M62" s="181"/>
      <c r="N62" s="181"/>
      <c r="O62" s="181"/>
      <c r="P62" s="181"/>
      <c r="Q62" s="181"/>
      <c r="R62" s="181"/>
      <c r="S62" s="14" t="s">
        <v>327</v>
      </c>
      <c r="T62" s="14" t="s">
        <v>328</v>
      </c>
      <c r="U62" s="14"/>
    </row>
    <row r="63" spans="1:40" ht="14.25" customHeight="1" x14ac:dyDescent="0.2">
      <c r="A63" s="170"/>
      <c r="B63" s="181"/>
      <c r="C63" s="181"/>
      <c r="D63" s="176"/>
      <c r="E63" s="176"/>
      <c r="F63" s="176"/>
      <c r="G63" s="176"/>
      <c r="H63" s="181"/>
      <c r="I63" s="181"/>
      <c r="J63" s="176"/>
      <c r="K63" s="176"/>
      <c r="L63" s="176"/>
      <c r="M63" s="176"/>
      <c r="N63" s="176"/>
      <c r="O63" s="181"/>
      <c r="P63" s="181"/>
      <c r="Q63" s="176"/>
      <c r="R63" s="176"/>
      <c r="S63" s="155" t="s">
        <v>329</v>
      </c>
      <c r="T63" s="147" t="s">
        <v>330</v>
      </c>
    </row>
    <row r="64" spans="1:40" ht="14.25" customHeight="1" x14ac:dyDescent="0.2">
      <c r="A64" s="170"/>
      <c r="B64" s="181"/>
      <c r="C64" s="181"/>
      <c r="D64" s="179" t="s">
        <v>331</v>
      </c>
      <c r="E64" s="179" t="s">
        <v>279</v>
      </c>
      <c r="F64" s="179" t="s">
        <v>15</v>
      </c>
      <c r="G64" s="178">
        <v>1</v>
      </c>
      <c r="H64" s="181"/>
      <c r="I64" s="181"/>
      <c r="J64" s="175" t="s">
        <v>27</v>
      </c>
      <c r="K64" s="179" t="s">
        <v>27</v>
      </c>
      <c r="L64" s="178">
        <v>0.215</v>
      </c>
      <c r="M64" s="179" t="s">
        <v>1538</v>
      </c>
      <c r="N64" s="180">
        <f>H61*L64</f>
        <v>34400</v>
      </c>
      <c r="O64" s="181"/>
      <c r="P64" s="181"/>
      <c r="Q64" s="175">
        <f>N64/$O$2</f>
        <v>0.19008675471072553</v>
      </c>
      <c r="R64" s="191">
        <v>2</v>
      </c>
      <c r="S64" s="14" t="s">
        <v>333</v>
      </c>
      <c r="T64" s="14" t="s">
        <v>334</v>
      </c>
    </row>
    <row r="65" spans="1:20" ht="14.25" customHeight="1" x14ac:dyDescent="0.2">
      <c r="A65" s="170"/>
      <c r="B65" s="181"/>
      <c r="C65" s="181"/>
      <c r="D65" s="176"/>
      <c r="E65" s="176"/>
      <c r="F65" s="176"/>
      <c r="G65" s="176"/>
      <c r="H65" s="181"/>
      <c r="I65" s="181"/>
      <c r="J65" s="176"/>
      <c r="K65" s="176"/>
      <c r="L65" s="176"/>
      <c r="M65" s="176"/>
      <c r="N65" s="176"/>
      <c r="O65" s="181"/>
      <c r="P65" s="181"/>
      <c r="Q65" s="176"/>
      <c r="R65" s="176"/>
      <c r="S65" s="40" t="s">
        <v>335</v>
      </c>
      <c r="T65" s="14" t="s">
        <v>336</v>
      </c>
    </row>
    <row r="66" spans="1:20" ht="15" customHeight="1" x14ac:dyDescent="0.2">
      <c r="A66" s="170"/>
      <c r="B66" s="181"/>
      <c r="C66" s="181"/>
      <c r="D66" s="179" t="s">
        <v>5</v>
      </c>
      <c r="E66" s="179" t="s">
        <v>92</v>
      </c>
      <c r="F66" s="179" t="s">
        <v>5</v>
      </c>
      <c r="G66" s="178">
        <v>1</v>
      </c>
      <c r="H66" s="181"/>
      <c r="I66" s="181"/>
      <c r="J66" s="175">
        <v>5.2083333333333336E-2</v>
      </c>
      <c r="K66" s="179" t="s">
        <v>27</v>
      </c>
      <c r="L66" s="178">
        <v>1.56</v>
      </c>
      <c r="M66" s="179" t="s">
        <v>1544</v>
      </c>
      <c r="N66" s="180">
        <f>L66*H61</f>
        <v>249600</v>
      </c>
      <c r="O66" s="181"/>
      <c r="P66" s="181"/>
      <c r="Q66" s="175">
        <f>N66/$O$2</f>
        <v>1.3792341272034039</v>
      </c>
      <c r="R66" s="191">
        <v>2</v>
      </c>
      <c r="S66" s="40" t="s">
        <v>338</v>
      </c>
      <c r="T66" s="14" t="s">
        <v>339</v>
      </c>
    </row>
    <row r="67" spans="1:20" ht="14.25" customHeight="1" x14ac:dyDescent="0.2">
      <c r="A67" s="170"/>
      <c r="B67" s="181"/>
      <c r="C67" s="181"/>
      <c r="D67" s="176"/>
      <c r="E67" s="176"/>
      <c r="F67" s="176"/>
      <c r="G67" s="176"/>
      <c r="H67" s="181"/>
      <c r="I67" s="181"/>
      <c r="J67" s="176"/>
      <c r="K67" s="176"/>
      <c r="L67" s="176"/>
      <c r="M67" s="176"/>
      <c r="N67" s="176"/>
      <c r="O67" s="181"/>
      <c r="P67" s="181"/>
      <c r="Q67" s="176"/>
      <c r="R67" s="176"/>
      <c r="S67" s="40" t="s">
        <v>340</v>
      </c>
      <c r="T67" s="14" t="s">
        <v>341</v>
      </c>
    </row>
    <row r="68" spans="1:20" ht="17.25" customHeight="1" x14ac:dyDescent="0.2">
      <c r="A68" s="170"/>
      <c r="B68" s="181"/>
      <c r="C68" s="181"/>
      <c r="D68" s="179" t="s">
        <v>286</v>
      </c>
      <c r="E68" s="179" t="s">
        <v>287</v>
      </c>
      <c r="F68" s="179" t="s">
        <v>10</v>
      </c>
      <c r="G68" s="182">
        <v>2</v>
      </c>
      <c r="H68" s="181"/>
      <c r="I68" s="181"/>
      <c r="J68" s="175">
        <v>0.125</v>
      </c>
      <c r="K68" s="179" t="s">
        <v>27</v>
      </c>
      <c r="L68" s="178">
        <v>2.5</v>
      </c>
      <c r="M68" s="179" t="s">
        <v>1547</v>
      </c>
      <c r="N68" s="180">
        <f>L68*H61*J68*G68</f>
        <v>100000</v>
      </c>
      <c r="O68" s="181"/>
      <c r="P68" s="181"/>
      <c r="Q68" s="175">
        <f>N68/$O$2</f>
        <v>0.55257777532187657</v>
      </c>
      <c r="R68" s="191">
        <v>3</v>
      </c>
      <c r="S68" s="14" t="s">
        <v>343</v>
      </c>
      <c r="T68" s="14" t="s">
        <v>344</v>
      </c>
    </row>
    <row r="69" spans="1:20" ht="14.25" customHeight="1" x14ac:dyDescent="0.2">
      <c r="A69" s="170"/>
      <c r="B69" s="181"/>
      <c r="C69" s="181"/>
      <c r="D69" s="181"/>
      <c r="E69" s="181"/>
      <c r="F69" s="181"/>
      <c r="G69" s="181"/>
      <c r="H69" s="181"/>
      <c r="I69" s="181"/>
      <c r="J69" s="181"/>
      <c r="K69" s="181"/>
      <c r="L69" s="181"/>
      <c r="M69" s="181"/>
      <c r="N69" s="181"/>
      <c r="O69" s="181"/>
      <c r="P69" s="181"/>
      <c r="Q69" s="181"/>
      <c r="R69" s="181"/>
      <c r="S69" s="97" t="s">
        <v>345</v>
      </c>
      <c r="T69" s="44" t="s">
        <v>346</v>
      </c>
    </row>
    <row r="70" spans="1:20" ht="14.25" customHeight="1" x14ac:dyDescent="0.2">
      <c r="A70" s="170"/>
      <c r="B70" s="181"/>
      <c r="C70" s="181"/>
      <c r="D70" s="181"/>
      <c r="E70" s="181"/>
      <c r="F70" s="181"/>
      <c r="G70" s="181"/>
      <c r="H70" s="181"/>
      <c r="I70" s="181"/>
      <c r="J70" s="181"/>
      <c r="K70" s="181"/>
      <c r="L70" s="181"/>
      <c r="M70" s="181"/>
      <c r="N70" s="181"/>
      <c r="O70" s="181"/>
      <c r="P70" s="181"/>
      <c r="Q70" s="181"/>
      <c r="R70" s="181"/>
      <c r="S70" s="14" t="s">
        <v>347</v>
      </c>
      <c r="T70" s="14" t="s">
        <v>348</v>
      </c>
    </row>
    <row r="71" spans="1:20" ht="14.25" customHeight="1" x14ac:dyDescent="0.2">
      <c r="A71" s="170"/>
      <c r="B71" s="176"/>
      <c r="C71" s="176"/>
      <c r="D71" s="176"/>
      <c r="E71" s="176"/>
      <c r="F71" s="176"/>
      <c r="G71" s="176"/>
      <c r="H71" s="176"/>
      <c r="I71" s="176"/>
      <c r="J71" s="176"/>
      <c r="K71" s="176"/>
      <c r="L71" s="176"/>
      <c r="M71" s="176"/>
      <c r="N71" s="176"/>
      <c r="O71" s="176"/>
      <c r="P71" s="176"/>
      <c r="Q71" s="176"/>
      <c r="R71" s="176"/>
      <c r="S71" s="14" t="s">
        <v>349</v>
      </c>
      <c r="T71" s="14" t="s">
        <v>350</v>
      </c>
    </row>
    <row r="72" spans="1:20" ht="14.25" customHeight="1" x14ac:dyDescent="0.2"/>
    <row r="73" spans="1:20" ht="14.25" customHeight="1" x14ac:dyDescent="0.2"/>
    <row r="74" spans="1:20" ht="14.25" customHeight="1" x14ac:dyDescent="0.2">
      <c r="F74" s="28" t="s">
        <v>309</v>
      </c>
      <c r="G74" s="28" t="s">
        <v>128</v>
      </c>
      <c r="H74" s="28" t="s">
        <v>1552</v>
      </c>
    </row>
    <row r="75" spans="1:20" ht="14.25" customHeight="1" x14ac:dyDescent="0.2">
      <c r="F75" s="50" t="s">
        <v>140</v>
      </c>
      <c r="G75" s="72">
        <f t="shared" ref="G75:G90" si="9">SUMIF($F$2:$F$71,$F75,N$2:N$71)</f>
        <v>13673558.333333334</v>
      </c>
      <c r="H75" s="73">
        <f t="shared" ref="H75:H90" si="10">SUMIF($F$2:$F$71,$F75,Q$2:Q$71)</f>
        <v>75.557044445672403</v>
      </c>
    </row>
    <row r="76" spans="1:20" ht="14.25" customHeight="1" x14ac:dyDescent="0.2">
      <c r="F76" s="14" t="s">
        <v>156</v>
      </c>
      <c r="G76" s="72">
        <f t="shared" si="9"/>
        <v>571773.83888888883</v>
      </c>
      <c r="H76" s="73">
        <f t="shared" si="10"/>
        <v>3.1594951588047131</v>
      </c>
    </row>
    <row r="77" spans="1:20" ht="14.25" customHeight="1" x14ac:dyDescent="0.2">
      <c r="F77" s="159" t="s">
        <v>9</v>
      </c>
      <c r="G77" s="72">
        <f t="shared" si="9"/>
        <v>824160</v>
      </c>
      <c r="H77" s="73">
        <f t="shared" si="10"/>
        <v>4.5541249930927776</v>
      </c>
    </row>
    <row r="78" spans="1:20" ht="14.25" customHeight="1" x14ac:dyDescent="0.2">
      <c r="F78" s="160" t="s">
        <v>7</v>
      </c>
      <c r="G78" s="72">
        <f t="shared" si="9"/>
        <v>288720</v>
      </c>
      <c r="H78" s="73">
        <f t="shared" si="10"/>
        <v>1.5954025529093219</v>
      </c>
    </row>
    <row r="79" spans="1:20" ht="14.25" customHeight="1" x14ac:dyDescent="0.2">
      <c r="F79" s="160" t="s">
        <v>8</v>
      </c>
      <c r="G79" s="72">
        <f t="shared" si="9"/>
        <v>208080</v>
      </c>
      <c r="H79" s="73">
        <f t="shared" si="10"/>
        <v>1.1498038348897608</v>
      </c>
    </row>
    <row r="80" spans="1:20" ht="14.25" customHeight="1" x14ac:dyDescent="0.2">
      <c r="F80" s="50" t="s">
        <v>712</v>
      </c>
      <c r="G80" s="72">
        <f t="shared" si="9"/>
        <v>242000</v>
      </c>
      <c r="H80" s="73">
        <f t="shared" si="10"/>
        <v>1.3372382162789413</v>
      </c>
    </row>
    <row r="81" spans="6:8" ht="14.25" customHeight="1" x14ac:dyDescent="0.2">
      <c r="F81" s="50" t="s">
        <v>14</v>
      </c>
      <c r="G81" s="72">
        <f t="shared" si="9"/>
        <v>3750</v>
      </c>
      <c r="H81" s="73">
        <f t="shared" si="10"/>
        <v>2.072166657457037E-2</v>
      </c>
    </row>
    <row r="82" spans="6:8" ht="14.25" customHeight="1" x14ac:dyDescent="0.2">
      <c r="F82" s="34" t="s">
        <v>12</v>
      </c>
      <c r="G82" s="72">
        <f t="shared" si="9"/>
        <v>48050</v>
      </c>
      <c r="H82" s="73">
        <f t="shared" si="10"/>
        <v>0.2655136210421617</v>
      </c>
    </row>
    <row r="83" spans="6:8" ht="14.25" customHeight="1" x14ac:dyDescent="0.2">
      <c r="F83" s="50" t="s">
        <v>10</v>
      </c>
      <c r="G83" s="72">
        <f t="shared" si="9"/>
        <v>101250</v>
      </c>
      <c r="H83" s="73">
        <f t="shared" si="10"/>
        <v>0.55948499751340008</v>
      </c>
    </row>
    <row r="84" spans="6:8" ht="14.25" customHeight="1" x14ac:dyDescent="0.2">
      <c r="F84" s="50" t="s">
        <v>18</v>
      </c>
      <c r="G84" s="72">
        <f t="shared" si="9"/>
        <v>15141.666666666666</v>
      </c>
      <c r="H84" s="73">
        <f t="shared" si="10"/>
        <v>8.3669484813320802E-2</v>
      </c>
    </row>
    <row r="85" spans="6:8" ht="14.25" customHeight="1" x14ac:dyDescent="0.2">
      <c r="F85" s="50" t="s">
        <v>19</v>
      </c>
      <c r="G85" s="72">
        <f t="shared" si="9"/>
        <v>782</v>
      </c>
      <c r="H85" s="73">
        <f t="shared" si="10"/>
        <v>4.3211582030170748E-3</v>
      </c>
    </row>
    <row r="86" spans="6:8" ht="14.25" customHeight="1" x14ac:dyDescent="0.2">
      <c r="F86" s="50" t="s">
        <v>13</v>
      </c>
      <c r="G86" s="72">
        <f t="shared" si="9"/>
        <v>91927.249999999985</v>
      </c>
      <c r="H86" s="73">
        <f t="shared" si="10"/>
        <v>0.50796955296457968</v>
      </c>
    </row>
    <row r="87" spans="6:8" ht="14.25" customHeight="1" x14ac:dyDescent="0.2">
      <c r="F87" s="50" t="s">
        <v>1515</v>
      </c>
      <c r="G87" s="72">
        <f t="shared" si="9"/>
        <v>11470.875</v>
      </c>
      <c r="H87" s="73">
        <f t="shared" si="10"/>
        <v>6.3385505884953314E-2</v>
      </c>
    </row>
    <row r="88" spans="6:8" ht="14.25" customHeight="1" x14ac:dyDescent="0.2">
      <c r="F88" s="50" t="s">
        <v>15</v>
      </c>
      <c r="G88" s="72">
        <f t="shared" si="9"/>
        <v>34400</v>
      </c>
      <c r="H88" s="73">
        <f t="shared" si="10"/>
        <v>0.19008675471072553</v>
      </c>
    </row>
    <row r="89" spans="6:8" ht="14.25" customHeight="1" x14ac:dyDescent="0.2">
      <c r="F89" s="50" t="s">
        <v>5</v>
      </c>
      <c r="G89" s="72">
        <f t="shared" si="9"/>
        <v>249600</v>
      </c>
      <c r="H89" s="73">
        <f t="shared" si="10"/>
        <v>1.3792341272034039</v>
      </c>
    </row>
    <row r="90" spans="6:8" ht="14.25" customHeight="1" x14ac:dyDescent="0.2">
      <c r="F90" s="50" t="s">
        <v>399</v>
      </c>
      <c r="G90" s="72">
        <f t="shared" si="9"/>
        <v>600000</v>
      </c>
      <c r="H90" s="73">
        <f t="shared" si="10"/>
        <v>3.3154666519312594</v>
      </c>
    </row>
    <row r="91" spans="6:8" ht="14.25" customHeight="1" x14ac:dyDescent="0.2">
      <c r="G91" s="75"/>
    </row>
    <row r="92" spans="6:8" ht="14.25" customHeight="1" x14ac:dyDescent="0.2">
      <c r="G92" s="75"/>
    </row>
    <row r="93" spans="6:8" ht="14.25" customHeight="1" x14ac:dyDescent="0.2">
      <c r="F93" s="93" t="s">
        <v>631</v>
      </c>
      <c r="G93" s="28" t="s">
        <v>128</v>
      </c>
      <c r="H93" s="28" t="s">
        <v>1572</v>
      </c>
    </row>
    <row r="94" spans="6:8" ht="14.25" customHeight="1" x14ac:dyDescent="0.2">
      <c r="F94" s="50" t="s">
        <v>140</v>
      </c>
      <c r="G94" s="72">
        <f t="shared" ref="G94:G102" si="11">SUMIF($E$2:$E$71,$F94,N$2:N$71)</f>
        <v>14273558.333333334</v>
      </c>
      <c r="H94" s="73">
        <f t="shared" ref="H94:H102" si="12">SUMIF($E$2:$E$71,$F94,Q$2:Q$71)</f>
        <v>78.872511097603663</v>
      </c>
    </row>
    <row r="95" spans="6:8" ht="14.25" customHeight="1" x14ac:dyDescent="0.2">
      <c r="F95" s="14" t="s">
        <v>155</v>
      </c>
      <c r="G95" s="72">
        <f t="shared" si="11"/>
        <v>1892733.8388888887</v>
      </c>
      <c r="H95" s="73">
        <f t="shared" si="12"/>
        <v>10.458826539696576</v>
      </c>
    </row>
    <row r="96" spans="6:8" ht="14.25" customHeight="1" x14ac:dyDescent="0.2">
      <c r="F96" s="50" t="s">
        <v>712</v>
      </c>
      <c r="G96" s="72">
        <f t="shared" si="11"/>
        <v>242000</v>
      </c>
      <c r="H96" s="73">
        <f t="shared" si="12"/>
        <v>1.3372382162789413</v>
      </c>
    </row>
    <row r="97" spans="6:8" ht="14.25" customHeight="1" x14ac:dyDescent="0.2">
      <c r="F97" s="50" t="s">
        <v>279</v>
      </c>
      <c r="G97" s="72">
        <f t="shared" si="11"/>
        <v>38150</v>
      </c>
      <c r="H97" s="73">
        <f t="shared" si="12"/>
        <v>0.21080842128529589</v>
      </c>
    </row>
    <row r="98" spans="6:8" ht="14.25" customHeight="1" x14ac:dyDescent="0.2">
      <c r="F98" s="34" t="s">
        <v>294</v>
      </c>
      <c r="G98" s="72">
        <f t="shared" si="11"/>
        <v>48050</v>
      </c>
      <c r="H98" s="73">
        <f t="shared" si="12"/>
        <v>0.2655136210421617</v>
      </c>
    </row>
    <row r="99" spans="6:8" ht="14.25" customHeight="1" x14ac:dyDescent="0.2">
      <c r="F99" s="50" t="s">
        <v>287</v>
      </c>
      <c r="G99" s="72">
        <f t="shared" si="11"/>
        <v>102032</v>
      </c>
      <c r="H99" s="73">
        <f t="shared" si="12"/>
        <v>0.56380615571641712</v>
      </c>
    </row>
    <row r="100" spans="6:8" ht="14.25" customHeight="1" x14ac:dyDescent="0.2">
      <c r="F100" s="50" t="s">
        <v>434</v>
      </c>
      <c r="G100" s="72">
        <f t="shared" si="11"/>
        <v>15141.666666666666</v>
      </c>
      <c r="H100" s="73">
        <f t="shared" si="12"/>
        <v>8.3669484813320802E-2</v>
      </c>
    </row>
    <row r="101" spans="6:8" ht="14.25" customHeight="1" x14ac:dyDescent="0.2">
      <c r="F101" s="50" t="s">
        <v>13</v>
      </c>
      <c r="G101" s="72">
        <f t="shared" si="11"/>
        <v>103398.12499999999</v>
      </c>
      <c r="H101" s="73">
        <f t="shared" si="12"/>
        <v>0.57135505884953308</v>
      </c>
    </row>
    <row r="102" spans="6:8" ht="14.25" customHeight="1" x14ac:dyDescent="0.2">
      <c r="F102" s="50" t="s">
        <v>92</v>
      </c>
      <c r="G102" s="72">
        <f t="shared" si="11"/>
        <v>249600</v>
      </c>
      <c r="H102" s="73">
        <f t="shared" si="12"/>
        <v>1.3792341272034039</v>
      </c>
    </row>
    <row r="103" spans="6:8" ht="14.25" customHeight="1" x14ac:dyDescent="0.2"/>
    <row r="104" spans="6:8" ht="14.25" customHeight="1" x14ac:dyDescent="0.2"/>
    <row r="105" spans="6:8" ht="14.25" customHeight="1" x14ac:dyDescent="0.2"/>
    <row r="106" spans="6:8" ht="14.25" customHeight="1" x14ac:dyDescent="0.2"/>
    <row r="107" spans="6:8" ht="14.25" customHeight="1" x14ac:dyDescent="0.2"/>
    <row r="108" spans="6:8" ht="14.25" customHeight="1" x14ac:dyDescent="0.2"/>
    <row r="109" spans="6:8" ht="14.25" customHeight="1" x14ac:dyDescent="0.2"/>
    <row r="110" spans="6:8" ht="14.25" customHeight="1" x14ac:dyDescent="0.2"/>
    <row r="111" spans="6:8" ht="14.25" customHeight="1" x14ac:dyDescent="0.2"/>
    <row r="112" spans="6:8"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65">
    <mergeCell ref="R17:R20"/>
    <mergeCell ref="L21:L23"/>
    <mergeCell ref="M21:M23"/>
    <mergeCell ref="N21:N23"/>
    <mergeCell ref="R21:R23"/>
    <mergeCell ref="D14:D16"/>
    <mergeCell ref="E14:E16"/>
    <mergeCell ref="F14:F16"/>
    <mergeCell ref="G14:G16"/>
    <mergeCell ref="D17:D20"/>
    <mergeCell ref="E17:E20"/>
    <mergeCell ref="F17:F20"/>
    <mergeCell ref="G17:G20"/>
    <mergeCell ref="D21:D23"/>
    <mergeCell ref="E21:E23"/>
    <mergeCell ref="F21:F23"/>
    <mergeCell ref="G21:G23"/>
    <mergeCell ref="K14:K16"/>
    <mergeCell ref="K21:K23"/>
    <mergeCell ref="Q17:Q20"/>
    <mergeCell ref="Q21:Q23"/>
    <mergeCell ref="L17:L20"/>
    <mergeCell ref="M17:M20"/>
    <mergeCell ref="N17:N20"/>
    <mergeCell ref="R24:R25"/>
    <mergeCell ref="J26:J29"/>
    <mergeCell ref="K26:K29"/>
    <mergeCell ref="N26:N29"/>
    <mergeCell ref="R26:R29"/>
    <mergeCell ref="J31:J32"/>
    <mergeCell ref="D24:D25"/>
    <mergeCell ref="E24:E25"/>
    <mergeCell ref="H26:H30"/>
    <mergeCell ref="I26:I30"/>
    <mergeCell ref="F24:F25"/>
    <mergeCell ref="D26:D29"/>
    <mergeCell ref="E26:E29"/>
    <mergeCell ref="F26:F29"/>
    <mergeCell ref="G26:G30"/>
    <mergeCell ref="G24:G25"/>
    <mergeCell ref="I21:I25"/>
    <mergeCell ref="J21:J23"/>
    <mergeCell ref="J24:J25"/>
    <mergeCell ref="K24:K25"/>
    <mergeCell ref="H14:H25"/>
    <mergeCell ref="R14:R16"/>
    <mergeCell ref="Q61:Q63"/>
    <mergeCell ref="R61:R63"/>
    <mergeCell ref="Q64:Q65"/>
    <mergeCell ref="R64:R65"/>
    <mergeCell ref="J34:J36"/>
    <mergeCell ref="Q24:Q25"/>
    <mergeCell ref="Q26:Q29"/>
    <mergeCell ref="H31:H36"/>
    <mergeCell ref="I31:I36"/>
    <mergeCell ref="K31:K32"/>
    <mergeCell ref="L31:L32"/>
    <mergeCell ref="Q31:Q32"/>
    <mergeCell ref="Q55:Q59"/>
    <mergeCell ref="Q47:Q49"/>
    <mergeCell ref="J53:J54"/>
    <mergeCell ref="K53:K54"/>
    <mergeCell ref="L53:L54"/>
    <mergeCell ref="M53:M54"/>
    <mergeCell ref="N53:N54"/>
    <mergeCell ref="L26:L29"/>
    <mergeCell ref="M26:M29"/>
    <mergeCell ref="L24:L25"/>
    <mergeCell ref="M24:M25"/>
    <mergeCell ref="N66:N67"/>
    <mergeCell ref="J68:J71"/>
    <mergeCell ref="K68:K71"/>
    <mergeCell ref="L68:L71"/>
    <mergeCell ref="M68:M71"/>
    <mergeCell ref="R55:R59"/>
    <mergeCell ref="Q53:Q54"/>
    <mergeCell ref="R53:R54"/>
    <mergeCell ref="J55:J59"/>
    <mergeCell ref="K55:K59"/>
    <mergeCell ref="L55:L59"/>
    <mergeCell ref="M55:M59"/>
    <mergeCell ref="N55:N59"/>
    <mergeCell ref="J64:J65"/>
    <mergeCell ref="K64:K65"/>
    <mergeCell ref="L64:L65"/>
    <mergeCell ref="M64:M65"/>
    <mergeCell ref="J61:J63"/>
    <mergeCell ref="P2:P71"/>
    <mergeCell ref="Q2:Q3"/>
    <mergeCell ref="R2:R3"/>
    <mergeCell ref="Q7:Q8"/>
    <mergeCell ref="R7:R8"/>
    <mergeCell ref="Q14:Q16"/>
    <mergeCell ref="M2:M3"/>
    <mergeCell ref="N2:N3"/>
    <mergeCell ref="M14:M16"/>
    <mergeCell ref="N14:N16"/>
    <mergeCell ref="K47:K49"/>
    <mergeCell ref="L47:L49"/>
    <mergeCell ref="M47:M49"/>
    <mergeCell ref="N47:N49"/>
    <mergeCell ref="H53:H60"/>
    <mergeCell ref="I53:I60"/>
    <mergeCell ref="N24:N25"/>
    <mergeCell ref="H12:H13"/>
    <mergeCell ref="J12:J13"/>
    <mergeCell ref="K12:K13"/>
    <mergeCell ref="I12:I13"/>
    <mergeCell ref="I17:I20"/>
    <mergeCell ref="J17:J20"/>
    <mergeCell ref="K17:K20"/>
    <mergeCell ref="M7:M8"/>
    <mergeCell ref="N7:N8"/>
    <mergeCell ref="J7:J8"/>
    <mergeCell ref="J10:J11"/>
    <mergeCell ref="H7:H11"/>
    <mergeCell ref="I7:I11"/>
    <mergeCell ref="K5:K6"/>
    <mergeCell ref="I14:I16"/>
    <mergeCell ref="J14:J16"/>
    <mergeCell ref="L14:L16"/>
    <mergeCell ref="H61:H71"/>
    <mergeCell ref="I61:I71"/>
    <mergeCell ref="K61:K63"/>
    <mergeCell ref="L61:L63"/>
    <mergeCell ref="M61:M63"/>
    <mergeCell ref="J66:J67"/>
    <mergeCell ref="K66:K67"/>
    <mergeCell ref="L66:L67"/>
    <mergeCell ref="M66:M67"/>
    <mergeCell ref="K7:K8"/>
    <mergeCell ref="L7:L8"/>
    <mergeCell ref="K10:K11"/>
    <mergeCell ref="H37:H38"/>
    <mergeCell ref="I37:I38"/>
    <mergeCell ref="H39:H42"/>
    <mergeCell ref="I39:I42"/>
    <mergeCell ref="B5:B6"/>
    <mergeCell ref="C5:C6"/>
    <mergeCell ref="H5:H6"/>
    <mergeCell ref="I5:I6"/>
    <mergeCell ref="J5:J6"/>
    <mergeCell ref="D7:D8"/>
    <mergeCell ref="G7:G9"/>
    <mergeCell ref="G12:G13"/>
    <mergeCell ref="E7:E8"/>
    <mergeCell ref="F7:F8"/>
    <mergeCell ref="G10:G11"/>
    <mergeCell ref="B2:B4"/>
    <mergeCell ref="B7:B13"/>
    <mergeCell ref="B26:B42"/>
    <mergeCell ref="C26:C30"/>
    <mergeCell ref="B47:B52"/>
    <mergeCell ref="C47:C52"/>
    <mergeCell ref="D68:D71"/>
    <mergeCell ref="B14:B25"/>
    <mergeCell ref="C14:C25"/>
    <mergeCell ref="D2:D3"/>
    <mergeCell ref="E66:E67"/>
    <mergeCell ref="F66:F67"/>
    <mergeCell ref="G66:G67"/>
    <mergeCell ref="B44:B45"/>
    <mergeCell ref="E47:E49"/>
    <mergeCell ref="F44:F45"/>
    <mergeCell ref="Q66:Q67"/>
    <mergeCell ref="R66:R67"/>
    <mergeCell ref="Q68:Q71"/>
    <mergeCell ref="R68:R71"/>
    <mergeCell ref="E68:E71"/>
    <mergeCell ref="F68:F71"/>
    <mergeCell ref="G68:G71"/>
    <mergeCell ref="H47:H50"/>
    <mergeCell ref="I47:I50"/>
    <mergeCell ref="N61:N63"/>
    <mergeCell ref="N64:N65"/>
    <mergeCell ref="N68:N71"/>
    <mergeCell ref="O2:O71"/>
    <mergeCell ref="H2:H4"/>
    <mergeCell ref="I2:I4"/>
    <mergeCell ref="J2:J4"/>
    <mergeCell ref="K2:K4"/>
    <mergeCell ref="L2:L3"/>
    <mergeCell ref="C39:C42"/>
    <mergeCell ref="G39:G42"/>
    <mergeCell ref="C44:C45"/>
    <mergeCell ref="D44:D45"/>
    <mergeCell ref="E44:E45"/>
    <mergeCell ref="D47:D50"/>
    <mergeCell ref="A2:A71"/>
    <mergeCell ref="C2:C4"/>
    <mergeCell ref="E2:E3"/>
    <mergeCell ref="F2:F3"/>
    <mergeCell ref="G2:G4"/>
    <mergeCell ref="G5:G6"/>
    <mergeCell ref="C7:C13"/>
    <mergeCell ref="B61:B71"/>
    <mergeCell ref="C61:C71"/>
    <mergeCell ref="D61:D63"/>
    <mergeCell ref="E61:E63"/>
    <mergeCell ref="F61:F63"/>
    <mergeCell ref="G61:G63"/>
    <mergeCell ref="D64:D65"/>
    <mergeCell ref="E64:E65"/>
    <mergeCell ref="F64:F65"/>
    <mergeCell ref="G64:G65"/>
    <mergeCell ref="D66:D67"/>
    <mergeCell ref="C31:C36"/>
    <mergeCell ref="D31:D32"/>
    <mergeCell ref="D34:D36"/>
    <mergeCell ref="E31:E32"/>
    <mergeCell ref="F31:F32"/>
    <mergeCell ref="G31:G36"/>
    <mergeCell ref="E34:E36"/>
    <mergeCell ref="F34:F36"/>
    <mergeCell ref="C37:C38"/>
    <mergeCell ref="G37:G38"/>
    <mergeCell ref="N44:N45"/>
    <mergeCell ref="Q44:Q45"/>
    <mergeCell ref="R44:R45"/>
    <mergeCell ref="J44:J45"/>
    <mergeCell ref="T48:U48"/>
    <mergeCell ref="M31:M32"/>
    <mergeCell ref="N31:N32"/>
    <mergeCell ref="R31:R32"/>
    <mergeCell ref="K34:K36"/>
    <mergeCell ref="L34:L36"/>
    <mergeCell ref="M34:M36"/>
    <mergeCell ref="N34:N36"/>
    <mergeCell ref="Q34:Q36"/>
    <mergeCell ref="R34:R36"/>
    <mergeCell ref="T32:AC32"/>
    <mergeCell ref="J51:J52"/>
    <mergeCell ref="K51:K52"/>
    <mergeCell ref="L51:L52"/>
    <mergeCell ref="M51:M52"/>
    <mergeCell ref="G44:G45"/>
    <mergeCell ref="H44:H45"/>
    <mergeCell ref="I44:I45"/>
    <mergeCell ref="K44:K45"/>
    <mergeCell ref="L44:L45"/>
    <mergeCell ref="M44:M45"/>
    <mergeCell ref="T57:U57"/>
    <mergeCell ref="F47:F49"/>
    <mergeCell ref="G47:G50"/>
    <mergeCell ref="D51:D52"/>
    <mergeCell ref="E51:E52"/>
    <mergeCell ref="F51:F52"/>
    <mergeCell ref="G51:G52"/>
    <mergeCell ref="B53:B60"/>
    <mergeCell ref="C53:C60"/>
    <mergeCell ref="D53:D54"/>
    <mergeCell ref="E53:E54"/>
    <mergeCell ref="F53:F54"/>
    <mergeCell ref="G53:G54"/>
    <mergeCell ref="D55:D60"/>
    <mergeCell ref="E55:E59"/>
    <mergeCell ref="F55:F59"/>
    <mergeCell ref="G55:G60"/>
    <mergeCell ref="R47:R49"/>
    <mergeCell ref="N51:N52"/>
    <mergeCell ref="Q51:Q52"/>
    <mergeCell ref="R51:R52"/>
    <mergeCell ref="J47:J49"/>
    <mergeCell ref="H51:H52"/>
    <mergeCell ref="I51:I52"/>
  </mergeCells>
  <conditionalFormatting sqref="R2:R6 R14:R21 R24 R26:R30 R37:R44 R53:R67">
    <cfRule type="colorScale" priority="9">
      <colorScale>
        <cfvo type="min"/>
        <cfvo type="percentile" val="50"/>
        <cfvo type="max"/>
        <color rgb="FFF8696B"/>
        <color rgb="FFFFEB84"/>
        <color rgb="FF63BE7B"/>
      </colorScale>
    </cfRule>
  </conditionalFormatting>
  <conditionalFormatting sqref="R2:R24 R26:R67">
    <cfRule type="colorScale" priority="1">
      <colorScale>
        <cfvo type="min"/>
        <cfvo type="percentile" val="50"/>
        <cfvo type="max"/>
        <color rgb="FFF8696B"/>
        <color rgb="FFFFEB84"/>
        <color rgb="FF63BE7B"/>
      </colorScale>
    </cfRule>
  </conditionalFormatting>
  <conditionalFormatting sqref="R2:R67">
    <cfRule type="colorScale" priority="2">
      <colorScale>
        <cfvo type="min"/>
        <cfvo type="percentile" val="50"/>
        <cfvo type="max"/>
        <color rgb="FFF8696B"/>
        <color rgb="FFFFEB84"/>
        <color rgb="FF63BE7B"/>
      </colorScale>
    </cfRule>
  </conditionalFormatting>
  <conditionalFormatting sqref="R7:R13">
    <cfRule type="colorScale" priority="3">
      <colorScale>
        <cfvo type="min"/>
        <cfvo type="percentile" val="50"/>
        <cfvo type="max"/>
        <color rgb="FFF8696B"/>
        <color rgb="FFFFEB84"/>
        <color rgb="FF63BE7B"/>
      </colorScale>
    </cfRule>
  </conditionalFormatting>
  <conditionalFormatting sqref="R9:R13 R7">
    <cfRule type="colorScale" priority="4">
      <colorScale>
        <cfvo type="min"/>
        <cfvo type="percentile" val="50"/>
        <cfvo type="max"/>
        <color rgb="FFF8696B"/>
        <color rgb="FFFFEB84"/>
        <color rgb="FF63BE7B"/>
      </colorScale>
    </cfRule>
  </conditionalFormatting>
  <conditionalFormatting sqref="R31:R34">
    <cfRule type="colorScale" priority="5">
      <colorScale>
        <cfvo type="min"/>
        <cfvo type="percentile" val="50"/>
        <cfvo type="max"/>
        <color rgb="FFF8696B"/>
        <color rgb="FFFFEB84"/>
        <color rgb="FF63BE7B"/>
      </colorScale>
    </cfRule>
  </conditionalFormatting>
  <conditionalFormatting sqref="R33:R34 R31">
    <cfRule type="colorScale" priority="6">
      <colorScale>
        <cfvo type="min"/>
        <cfvo type="percentile" val="50"/>
        <cfvo type="max"/>
        <color rgb="FFF8696B"/>
        <color rgb="FFFFEB84"/>
        <color rgb="FF63BE7B"/>
      </colorScale>
    </cfRule>
  </conditionalFormatting>
  <conditionalFormatting sqref="R46">
    <cfRule type="colorScale" priority="7">
      <colorScale>
        <cfvo type="min"/>
        <cfvo type="percentile" val="50"/>
        <cfvo type="max"/>
        <color rgb="FFF8696B"/>
        <color rgb="FFFFEB84"/>
        <color rgb="FF63BE7B"/>
      </colorScale>
    </cfRule>
  </conditionalFormatting>
  <conditionalFormatting sqref="R50:R51 R47">
    <cfRule type="colorScale" priority="8">
      <colorScale>
        <cfvo type="min"/>
        <cfvo type="percentile" val="50"/>
        <cfvo type="max"/>
        <color rgb="FFF8696B"/>
        <color rgb="FFFFEB84"/>
        <color rgb="FF63BE7B"/>
      </colorScale>
    </cfRule>
  </conditionalFormatting>
  <conditionalFormatting sqref="R68:R71">
    <cfRule type="colorScale" priority="10">
      <colorScale>
        <cfvo type="min"/>
        <cfvo type="percentile" val="50"/>
        <cfvo type="max"/>
        <color rgb="FFF8696B"/>
        <color rgb="FFFFEB84"/>
        <color rgb="FF63BE7B"/>
      </colorScale>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onditionalFormatting>
  <hyperlinks>
    <hyperlink ref="S4" r:id="rId1" xr:uid="{00000000-0004-0000-1800-000000000000}"/>
    <hyperlink ref="S7" r:id="rId2" xr:uid="{00000000-0004-0000-1800-000001000000}"/>
    <hyperlink ref="S10" r:id="rId3" location="_Toc479145359 " xr:uid="{00000000-0004-0000-1800-000002000000}"/>
    <hyperlink ref="S12" r:id="rId4" location="_Toc479145359 " xr:uid="{00000000-0004-0000-1800-000003000000}"/>
    <hyperlink ref="S15" r:id="rId5" xr:uid="{00000000-0004-0000-1800-000004000000}"/>
    <hyperlink ref="S18" r:id="rId6" xr:uid="{00000000-0004-0000-1800-000005000000}"/>
    <hyperlink ref="S22" r:id="rId7" xr:uid="{00000000-0004-0000-1800-000006000000}"/>
    <hyperlink ref="S25" r:id="rId8" xr:uid="{00000000-0004-0000-1800-000007000000}"/>
    <hyperlink ref="S29" r:id="rId9" location=":~:text=The%20minimum%20thickness%20for%20commercial,to%202.5%20psf%20of%20reinforcing). " xr:uid="{00000000-0004-0000-1800-000008000000}"/>
    <hyperlink ref="S37" r:id="rId10" xr:uid="{00000000-0004-0000-1800-000009000000}"/>
    <hyperlink ref="S38" r:id="rId11" location=":~:text=The%20minimum%20thickness%20for%20commercial,to%202.5%20psf%20of%20reinforcing). " xr:uid="{00000000-0004-0000-1800-00000A000000}"/>
    <hyperlink ref="S39" r:id="rId12" xr:uid="{00000000-0004-0000-1800-00000B000000}"/>
    <hyperlink ref="S42" r:id="rId13" location=":~:text=The%20most%20common%20type%20of,in%20exposed%20metal%20building%20applications. " xr:uid="{00000000-0004-0000-1800-00000C000000}"/>
    <hyperlink ref="S44" r:id="rId14" xr:uid="{00000000-0004-0000-1800-00000D000000}"/>
    <hyperlink ref="S45" r:id="rId15" xr:uid="{00000000-0004-0000-1800-00000E000000}"/>
    <hyperlink ref="S46" r:id="rId16" xr:uid="{00000000-0004-0000-1800-00000F000000}"/>
    <hyperlink ref="S50" r:id="rId17" xr:uid="{00000000-0004-0000-1800-000010000000}"/>
    <hyperlink ref="S52" r:id="rId18" xr:uid="{00000000-0004-0000-1800-000011000000}"/>
    <hyperlink ref="S55" r:id="rId19" xr:uid="{00000000-0004-0000-1800-000012000000}"/>
    <hyperlink ref="S56" r:id="rId20" xr:uid="{00000000-0004-0000-1800-000013000000}"/>
    <hyperlink ref="S59" r:id="rId21" xr:uid="{00000000-0004-0000-1800-000014000000}"/>
    <hyperlink ref="S60" r:id="rId22" xr:uid="{00000000-0004-0000-1800-000015000000}"/>
    <hyperlink ref="S63" r:id="rId23" xr:uid="{00000000-0004-0000-1800-000016000000}"/>
    <hyperlink ref="S65" r:id="rId24" xr:uid="{00000000-0004-0000-1800-000017000000}"/>
    <hyperlink ref="S66" r:id="rId25" location=":~:text=Planning%20on%20using%20a%20standing,over%205%2F8%E2%80%9D%20plywood. " xr:uid="{00000000-0004-0000-1800-000018000000}"/>
    <hyperlink ref="S67" r:id="rId26" xr:uid="{00000000-0004-0000-1800-000019000000}"/>
  </hyperlinks>
  <pageMargins left="0.7" right="0.7" top="0.75" bottom="0.75" header="0" footer="0"/>
  <pageSetup orientation="portrait"/>
  <drawing r:id="rId27"/>
  <legacyDrawing r:id="rId28"/>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40" width="8.6640625" customWidth="1"/>
  </cols>
  <sheetData>
    <row r="1" spans="1:40" ht="14.25" customHeight="1" x14ac:dyDescent="0.2">
      <c r="A1" s="80" t="s">
        <v>115</v>
      </c>
      <c r="B1" s="81" t="s">
        <v>116</v>
      </c>
      <c r="C1" s="80" t="s">
        <v>117</v>
      </c>
      <c r="D1" s="80" t="s">
        <v>118</v>
      </c>
      <c r="E1" s="80" t="s">
        <v>119</v>
      </c>
      <c r="F1" s="80" t="s">
        <v>121</v>
      </c>
      <c r="G1" s="80" t="s">
        <v>122</v>
      </c>
      <c r="H1" s="82" t="s">
        <v>123</v>
      </c>
      <c r="I1" s="82" t="s">
        <v>124</v>
      </c>
      <c r="J1" s="82" t="s">
        <v>125</v>
      </c>
      <c r="K1" s="82" t="s">
        <v>126</v>
      </c>
      <c r="L1" s="82" t="s">
        <v>127</v>
      </c>
      <c r="M1" s="82" t="s">
        <v>124</v>
      </c>
      <c r="N1" s="82" t="s">
        <v>128</v>
      </c>
      <c r="O1" s="82" t="s">
        <v>130</v>
      </c>
      <c r="P1" s="82" t="s">
        <v>131</v>
      </c>
      <c r="Q1" s="80" t="s">
        <v>1444</v>
      </c>
      <c r="R1" s="80" t="s">
        <v>133</v>
      </c>
      <c r="S1" s="80" t="s">
        <v>134</v>
      </c>
      <c r="T1" s="83" t="s">
        <v>135</v>
      </c>
      <c r="U1" s="32"/>
      <c r="V1" s="33"/>
      <c r="W1" s="33"/>
      <c r="X1" s="33"/>
      <c r="Y1" s="33"/>
      <c r="Z1" s="33"/>
      <c r="AA1" s="33"/>
      <c r="AB1" s="33"/>
      <c r="AC1" s="33"/>
      <c r="AD1" s="33"/>
      <c r="AE1" s="33"/>
      <c r="AF1" s="33"/>
      <c r="AG1" s="33"/>
      <c r="AH1" s="33"/>
      <c r="AI1" s="33"/>
      <c r="AJ1" s="33"/>
      <c r="AK1" s="33"/>
      <c r="AL1" s="33"/>
      <c r="AM1" s="84"/>
      <c r="AN1" s="84"/>
    </row>
    <row r="2" spans="1:40" ht="14.25" customHeight="1" x14ac:dyDescent="0.2">
      <c r="A2" s="185" t="s">
        <v>138</v>
      </c>
      <c r="B2" s="183" t="s">
        <v>164</v>
      </c>
      <c r="C2" s="183" t="s">
        <v>165</v>
      </c>
      <c r="D2" s="14" t="s">
        <v>140</v>
      </c>
      <c r="E2" s="41" t="s">
        <v>140</v>
      </c>
      <c r="F2" s="41" t="s">
        <v>140</v>
      </c>
      <c r="G2" s="182">
        <v>1</v>
      </c>
      <c r="H2" s="182">
        <v>16256</v>
      </c>
      <c r="I2" s="183" t="s">
        <v>166</v>
      </c>
      <c r="J2" s="175">
        <v>0.5</v>
      </c>
      <c r="K2" s="179" t="s">
        <v>27</v>
      </c>
      <c r="L2" s="14">
        <v>150</v>
      </c>
      <c r="M2" s="14" t="s">
        <v>1447</v>
      </c>
      <c r="N2" s="38">
        <f>L2*J2*H2</f>
        <v>1219200</v>
      </c>
      <c r="O2" s="186">
        <v>19774</v>
      </c>
      <c r="P2" s="187" t="s">
        <v>356</v>
      </c>
      <c r="Q2" s="19">
        <f>N2/O2</f>
        <v>61.656720946697682</v>
      </c>
      <c r="R2" s="49">
        <v>5</v>
      </c>
      <c r="S2" s="14" t="s">
        <v>388</v>
      </c>
      <c r="T2" s="85" t="s">
        <v>389</v>
      </c>
      <c r="U2" s="85"/>
      <c r="V2" s="85"/>
      <c r="W2" s="85"/>
      <c r="X2" s="85"/>
      <c r="Y2" s="85"/>
      <c r="Z2" s="85"/>
      <c r="AA2" s="85"/>
      <c r="AB2" s="85"/>
      <c r="AC2" s="85"/>
      <c r="AD2" s="85"/>
      <c r="AE2" s="85"/>
      <c r="AF2" s="85"/>
      <c r="AG2" s="85"/>
      <c r="AH2" s="85"/>
      <c r="AI2" s="85"/>
      <c r="AJ2" s="85"/>
      <c r="AK2" s="85"/>
      <c r="AL2" s="85"/>
      <c r="AM2" s="85"/>
      <c r="AN2" s="85"/>
    </row>
    <row r="3" spans="1:40" ht="14.25" customHeight="1" x14ac:dyDescent="0.2">
      <c r="A3" s="181"/>
      <c r="B3" s="176"/>
      <c r="C3" s="176"/>
      <c r="D3" s="14" t="s">
        <v>154</v>
      </c>
      <c r="E3" s="41" t="s">
        <v>155</v>
      </c>
      <c r="F3" s="41" t="s">
        <v>156</v>
      </c>
      <c r="G3" s="176"/>
      <c r="H3" s="176"/>
      <c r="I3" s="176"/>
      <c r="J3" s="176"/>
      <c r="K3" s="176"/>
      <c r="L3" s="14">
        <v>6</v>
      </c>
      <c r="M3" s="14" t="s">
        <v>1454</v>
      </c>
      <c r="N3" s="38">
        <f>L3*J2*H2</f>
        <v>48768</v>
      </c>
      <c r="O3" s="181"/>
      <c r="P3" s="181"/>
      <c r="Q3" s="19">
        <f>N3/O2</f>
        <v>2.4662688378679074</v>
      </c>
      <c r="R3" s="49">
        <v>5</v>
      </c>
      <c r="S3" s="14" t="s">
        <v>174</v>
      </c>
      <c r="T3" s="85" t="s">
        <v>175</v>
      </c>
      <c r="U3" s="85"/>
      <c r="V3" s="85"/>
      <c r="W3" s="85"/>
      <c r="X3" s="85"/>
      <c r="Y3" s="85"/>
      <c r="Z3" s="85"/>
      <c r="AA3" s="85"/>
      <c r="AB3" s="85"/>
      <c r="AC3" s="85"/>
      <c r="AD3" s="85"/>
      <c r="AE3" s="85"/>
      <c r="AF3" s="85"/>
      <c r="AG3" s="85"/>
      <c r="AH3" s="85"/>
      <c r="AI3" s="85"/>
      <c r="AJ3" s="85"/>
      <c r="AK3" s="85"/>
      <c r="AL3" s="85"/>
      <c r="AM3" s="85"/>
      <c r="AN3" s="85"/>
    </row>
    <row r="4" spans="1:40" ht="14.25" customHeight="1" x14ac:dyDescent="0.2">
      <c r="A4" s="181"/>
      <c r="B4" s="183" t="s">
        <v>209</v>
      </c>
      <c r="C4" s="184" t="s">
        <v>363</v>
      </c>
      <c r="D4" s="179" t="s">
        <v>239</v>
      </c>
      <c r="E4" s="179" t="s">
        <v>155</v>
      </c>
      <c r="F4" s="179" t="s">
        <v>7</v>
      </c>
      <c r="G4" s="182">
        <v>1</v>
      </c>
      <c r="H4" s="182">
        <v>20570</v>
      </c>
      <c r="I4" s="183" t="s">
        <v>166</v>
      </c>
      <c r="J4" s="175">
        <v>3.3333333333333335E-3</v>
      </c>
      <c r="K4" s="179" t="s">
        <v>27</v>
      </c>
      <c r="L4" s="178">
        <v>1.6559999999999999</v>
      </c>
      <c r="M4" s="179" t="s">
        <v>1458</v>
      </c>
      <c r="N4" s="195">
        <f>L4*H4</f>
        <v>34063.919999999998</v>
      </c>
      <c r="O4" s="181"/>
      <c r="P4" s="181"/>
      <c r="Q4" s="175">
        <f>N4/O2</f>
        <v>1.7226620815211893</v>
      </c>
      <c r="R4" s="190">
        <v>3</v>
      </c>
      <c r="S4" s="40" t="s">
        <v>365</v>
      </c>
      <c r="T4" s="85" t="s">
        <v>366</v>
      </c>
      <c r="U4" s="85"/>
      <c r="V4" s="85"/>
      <c r="W4" s="85"/>
      <c r="X4" s="85"/>
      <c r="Y4" s="85"/>
      <c r="Z4" s="85"/>
      <c r="AA4" s="85"/>
      <c r="AB4" s="85"/>
      <c r="AC4" s="85"/>
      <c r="AD4" s="85"/>
      <c r="AE4" s="85"/>
      <c r="AF4" s="85"/>
      <c r="AG4" s="85"/>
      <c r="AH4" s="85"/>
      <c r="AI4" s="85"/>
      <c r="AJ4" s="85"/>
      <c r="AK4" s="85"/>
      <c r="AL4" s="85"/>
      <c r="AM4" s="85"/>
      <c r="AN4" s="85"/>
    </row>
    <row r="5" spans="1:40" ht="14.25" customHeight="1" x14ac:dyDescent="0.2">
      <c r="A5" s="181"/>
      <c r="B5" s="181"/>
      <c r="C5" s="181"/>
      <c r="D5" s="181"/>
      <c r="E5" s="181"/>
      <c r="F5" s="181"/>
      <c r="G5" s="181"/>
      <c r="H5" s="181"/>
      <c r="I5" s="181"/>
      <c r="J5" s="181"/>
      <c r="K5" s="181"/>
      <c r="L5" s="181"/>
      <c r="M5" s="181"/>
      <c r="N5" s="181"/>
      <c r="O5" s="181"/>
      <c r="P5" s="181"/>
      <c r="Q5" s="181"/>
      <c r="R5" s="181"/>
      <c r="S5" s="14" t="s">
        <v>368</v>
      </c>
      <c r="T5" s="85" t="s">
        <v>369</v>
      </c>
      <c r="U5" s="85"/>
      <c r="V5" s="85"/>
      <c r="W5" s="85"/>
      <c r="X5" s="85"/>
      <c r="Y5" s="85"/>
      <c r="Z5" s="85"/>
      <c r="AA5" s="85"/>
      <c r="AB5" s="85"/>
      <c r="AC5" s="85"/>
      <c r="AD5" s="85"/>
      <c r="AE5" s="85"/>
      <c r="AF5" s="85"/>
      <c r="AG5" s="85"/>
      <c r="AH5" s="85"/>
      <c r="AI5" s="85"/>
      <c r="AJ5" s="85"/>
      <c r="AK5" s="85"/>
      <c r="AL5" s="85"/>
      <c r="AM5" s="85"/>
      <c r="AN5" s="85"/>
    </row>
    <row r="6" spans="1:40" ht="14.25" customHeight="1" x14ac:dyDescent="0.2">
      <c r="A6" s="181"/>
      <c r="B6" s="181"/>
      <c r="C6" s="181"/>
      <c r="D6" s="176"/>
      <c r="E6" s="176"/>
      <c r="F6" s="176"/>
      <c r="G6" s="176"/>
      <c r="H6" s="181"/>
      <c r="I6" s="181"/>
      <c r="J6" s="176"/>
      <c r="K6" s="176"/>
      <c r="L6" s="176"/>
      <c r="M6" s="176"/>
      <c r="N6" s="176"/>
      <c r="O6" s="181"/>
      <c r="P6" s="181"/>
      <c r="Q6" s="176"/>
      <c r="R6" s="176"/>
      <c r="S6" s="40" t="s">
        <v>370</v>
      </c>
      <c r="T6" s="85" t="s">
        <v>372</v>
      </c>
      <c r="U6" s="85"/>
      <c r="V6" s="85"/>
      <c r="W6" s="85"/>
      <c r="X6" s="85"/>
      <c r="Y6" s="85"/>
      <c r="Z6" s="85"/>
      <c r="AA6" s="85"/>
      <c r="AB6" s="85"/>
      <c r="AC6" s="85"/>
      <c r="AD6" s="85"/>
      <c r="AE6" s="85"/>
      <c r="AF6" s="85"/>
      <c r="AG6" s="85"/>
      <c r="AH6" s="85"/>
      <c r="AI6" s="85"/>
      <c r="AJ6" s="85"/>
      <c r="AK6" s="85"/>
      <c r="AL6" s="85"/>
      <c r="AM6" s="85"/>
      <c r="AN6" s="85"/>
    </row>
    <row r="7" spans="1:40" ht="14.25" customHeight="1" x14ac:dyDescent="0.2">
      <c r="A7" s="181"/>
      <c r="B7" s="181"/>
      <c r="C7" s="181"/>
      <c r="D7" s="179" t="s">
        <v>1468</v>
      </c>
      <c r="E7" s="179" t="s">
        <v>155</v>
      </c>
      <c r="F7" s="179" t="s">
        <v>9</v>
      </c>
      <c r="G7" s="178">
        <v>22</v>
      </c>
      <c r="H7" s="181"/>
      <c r="I7" s="181"/>
      <c r="J7" s="175" t="s">
        <v>1469</v>
      </c>
      <c r="K7" s="179">
        <v>50</v>
      </c>
      <c r="L7" s="178">
        <v>13.7</v>
      </c>
      <c r="M7" s="179" t="s">
        <v>376</v>
      </c>
      <c r="N7" s="180">
        <f>L7*K7*G7</f>
        <v>15070</v>
      </c>
      <c r="O7" s="181"/>
      <c r="P7" s="181"/>
      <c r="Q7" s="175">
        <f>N7/O2</f>
        <v>0.76211186406392228</v>
      </c>
      <c r="R7" s="190">
        <v>2</v>
      </c>
      <c r="S7" s="14" t="s">
        <v>213</v>
      </c>
      <c r="T7" s="14" t="s">
        <v>1472</v>
      </c>
      <c r="U7" s="85"/>
      <c r="V7" s="85"/>
      <c r="W7" s="85"/>
      <c r="X7" s="85"/>
      <c r="Y7" s="85"/>
      <c r="Z7" s="85"/>
      <c r="AA7" s="85"/>
      <c r="AB7" s="85"/>
      <c r="AC7" s="85"/>
      <c r="AD7" s="85"/>
      <c r="AE7" s="85"/>
      <c r="AF7" s="85"/>
      <c r="AG7" s="85"/>
      <c r="AH7" s="85"/>
      <c r="AI7" s="85"/>
      <c r="AJ7" s="85"/>
      <c r="AK7" s="85"/>
      <c r="AL7" s="85"/>
      <c r="AM7" s="85"/>
      <c r="AN7" s="85"/>
    </row>
    <row r="8" spans="1:40" ht="14.25" customHeight="1" x14ac:dyDescent="0.2">
      <c r="A8" s="181"/>
      <c r="B8" s="181"/>
      <c r="C8" s="181"/>
      <c r="D8" s="181"/>
      <c r="E8" s="181"/>
      <c r="F8" s="181"/>
      <c r="G8" s="181"/>
      <c r="H8" s="181"/>
      <c r="I8" s="181"/>
      <c r="J8" s="181"/>
      <c r="K8" s="181"/>
      <c r="L8" s="181"/>
      <c r="M8" s="181"/>
      <c r="N8" s="181"/>
      <c r="O8" s="181"/>
      <c r="P8" s="181"/>
      <c r="Q8" s="181"/>
      <c r="R8" s="181"/>
      <c r="S8" s="40" t="s">
        <v>378</v>
      </c>
      <c r="T8" s="14" t="s">
        <v>1473</v>
      </c>
      <c r="U8" s="85"/>
      <c r="V8" s="85"/>
      <c r="W8" s="85"/>
      <c r="X8" s="85"/>
      <c r="Y8" s="85"/>
      <c r="Z8" s="85"/>
      <c r="AA8" s="85"/>
      <c r="AB8" s="85"/>
      <c r="AC8" s="85"/>
      <c r="AD8" s="85"/>
      <c r="AE8" s="85"/>
      <c r="AF8" s="85"/>
      <c r="AG8" s="85"/>
      <c r="AH8" s="85"/>
      <c r="AI8" s="85"/>
      <c r="AJ8" s="85"/>
      <c r="AK8" s="85"/>
      <c r="AL8" s="85"/>
      <c r="AM8" s="85"/>
      <c r="AN8" s="85"/>
    </row>
    <row r="9" spans="1:40" ht="14.25" customHeight="1" x14ac:dyDescent="0.2">
      <c r="A9" s="181"/>
      <c r="B9" s="181"/>
      <c r="C9" s="197"/>
      <c r="D9" s="176"/>
      <c r="E9" s="176"/>
      <c r="F9" s="176"/>
      <c r="G9" s="176"/>
      <c r="H9" s="181"/>
      <c r="I9" s="181"/>
      <c r="J9" s="176"/>
      <c r="K9" s="176"/>
      <c r="L9" s="176"/>
      <c r="M9" s="176"/>
      <c r="N9" s="176"/>
      <c r="O9" s="181"/>
      <c r="P9" s="181"/>
      <c r="Q9" s="176"/>
      <c r="R9" s="176"/>
      <c r="S9" s="14" t="s">
        <v>181</v>
      </c>
      <c r="T9" s="14" t="s">
        <v>1475</v>
      </c>
      <c r="U9" s="85"/>
      <c r="V9" s="85"/>
      <c r="W9" s="85"/>
      <c r="X9" s="85"/>
      <c r="Y9" s="85"/>
      <c r="Z9" s="85"/>
      <c r="AA9" s="85"/>
      <c r="AB9" s="85"/>
      <c r="AC9" s="85"/>
      <c r="AD9" s="85"/>
      <c r="AE9" s="85"/>
      <c r="AF9" s="85"/>
      <c r="AG9" s="85"/>
      <c r="AH9" s="85"/>
      <c r="AI9" s="85"/>
      <c r="AJ9" s="85"/>
      <c r="AK9" s="85"/>
      <c r="AL9" s="85"/>
      <c r="AM9" s="85"/>
      <c r="AN9" s="85"/>
    </row>
    <row r="10" spans="1:40" ht="14.25" customHeight="1" x14ac:dyDescent="0.2">
      <c r="A10" s="181"/>
      <c r="B10" s="176"/>
      <c r="C10" s="148"/>
      <c r="D10" s="123" t="s">
        <v>373</v>
      </c>
      <c r="E10" s="123" t="s">
        <v>155</v>
      </c>
      <c r="F10" s="123" t="s">
        <v>8</v>
      </c>
      <c r="G10" s="124">
        <v>8</v>
      </c>
      <c r="H10" s="176"/>
      <c r="I10" s="176"/>
      <c r="J10" s="120" t="s">
        <v>231</v>
      </c>
      <c r="K10" s="123">
        <v>45</v>
      </c>
      <c r="L10" s="124">
        <v>97</v>
      </c>
      <c r="M10" s="123" t="s">
        <v>376</v>
      </c>
      <c r="N10" s="128">
        <f>L10*K10*G10</f>
        <v>34920</v>
      </c>
      <c r="O10" s="181"/>
      <c r="P10" s="181"/>
      <c r="Q10" s="120">
        <f>N10/$O$2</f>
        <v>1.7659552948315971</v>
      </c>
      <c r="R10" s="129">
        <v>2</v>
      </c>
      <c r="S10" s="40" t="s">
        <v>1480</v>
      </c>
      <c r="T10" s="14" t="s">
        <v>1481</v>
      </c>
      <c r="U10" s="85"/>
      <c r="V10" s="85"/>
      <c r="W10" s="85"/>
      <c r="X10" s="85"/>
      <c r="Y10" s="85"/>
      <c r="Z10" s="85"/>
      <c r="AA10" s="85"/>
      <c r="AB10" s="85"/>
      <c r="AC10" s="85"/>
      <c r="AD10" s="85"/>
      <c r="AE10" s="85"/>
      <c r="AF10" s="85"/>
      <c r="AG10" s="85"/>
      <c r="AH10" s="85"/>
      <c r="AI10" s="85"/>
      <c r="AJ10" s="85"/>
      <c r="AK10" s="85"/>
      <c r="AL10" s="85"/>
      <c r="AM10" s="85"/>
      <c r="AN10" s="85"/>
    </row>
    <row r="11" spans="1:40" ht="15" customHeight="1" x14ac:dyDescent="0.2">
      <c r="A11" s="181"/>
      <c r="B11" s="183" t="s">
        <v>251</v>
      </c>
      <c r="C11" s="184" t="s">
        <v>252</v>
      </c>
      <c r="D11" s="179" t="s">
        <v>398</v>
      </c>
      <c r="E11" s="179" t="s">
        <v>140</v>
      </c>
      <c r="F11" s="179" t="s">
        <v>399</v>
      </c>
      <c r="G11" s="178">
        <v>1</v>
      </c>
      <c r="H11" s="182">
        <v>14000</v>
      </c>
      <c r="I11" s="183" t="s">
        <v>166</v>
      </c>
      <c r="J11" s="175">
        <v>0.66666666666666663</v>
      </c>
      <c r="K11" s="179" t="s">
        <v>27</v>
      </c>
      <c r="L11" s="178">
        <v>150</v>
      </c>
      <c r="M11" s="179" t="s">
        <v>1485</v>
      </c>
      <c r="N11" s="180">
        <f>L11*H11*J11</f>
        <v>1400000</v>
      </c>
      <c r="O11" s="181"/>
      <c r="P11" s="181"/>
      <c r="Q11" s="198">
        <f>N11/O2</f>
        <v>70.800040457165977</v>
      </c>
      <c r="R11" s="190">
        <v>4</v>
      </c>
      <c r="S11" s="40" t="s">
        <v>259</v>
      </c>
      <c r="T11" s="14" t="s">
        <v>260</v>
      </c>
      <c r="U11" s="61"/>
      <c r="V11" s="61"/>
      <c r="W11" s="61"/>
      <c r="X11" s="61"/>
      <c r="Y11" s="61"/>
      <c r="Z11" s="61"/>
      <c r="AA11" s="61"/>
      <c r="AB11" s="61"/>
      <c r="AC11" s="61"/>
      <c r="AD11" s="61"/>
      <c r="AE11" s="61"/>
      <c r="AF11" s="61"/>
      <c r="AG11" s="61"/>
      <c r="AH11" s="61"/>
      <c r="AI11" s="61"/>
      <c r="AJ11" s="61"/>
      <c r="AK11" s="61"/>
      <c r="AL11" s="61"/>
      <c r="AM11" s="85"/>
      <c r="AN11" s="85"/>
    </row>
    <row r="12" spans="1:40" ht="15" customHeight="1" x14ac:dyDescent="0.2">
      <c r="A12" s="181"/>
      <c r="B12" s="181"/>
      <c r="C12" s="181"/>
      <c r="D12" s="176"/>
      <c r="E12" s="176"/>
      <c r="F12" s="176"/>
      <c r="G12" s="181"/>
      <c r="H12" s="181"/>
      <c r="I12" s="181"/>
      <c r="J12" s="176"/>
      <c r="K12" s="176"/>
      <c r="L12" s="176"/>
      <c r="M12" s="176"/>
      <c r="N12" s="176"/>
      <c r="O12" s="181"/>
      <c r="P12" s="181"/>
      <c r="Q12" s="176"/>
      <c r="R12" s="176"/>
      <c r="S12" s="40" t="s">
        <v>1490</v>
      </c>
      <c r="T12" s="14" t="s">
        <v>1491</v>
      </c>
      <c r="U12" s="61"/>
      <c r="V12" s="61"/>
      <c r="W12" s="61"/>
      <c r="X12" s="61"/>
      <c r="Y12" s="61"/>
      <c r="Z12" s="61"/>
      <c r="AA12" s="61"/>
      <c r="AB12" s="61"/>
      <c r="AC12" s="61"/>
      <c r="AD12" s="61"/>
      <c r="AE12" s="61"/>
      <c r="AF12" s="61"/>
      <c r="AG12" s="61"/>
      <c r="AH12" s="61"/>
      <c r="AI12" s="61"/>
      <c r="AJ12" s="61"/>
      <c r="AK12" s="61"/>
      <c r="AL12" s="61"/>
      <c r="AM12" s="85"/>
      <c r="AN12" s="85"/>
    </row>
    <row r="13" spans="1:40" ht="15" customHeight="1" x14ac:dyDescent="0.2">
      <c r="A13" s="181"/>
      <c r="B13" s="176"/>
      <c r="C13" s="176"/>
      <c r="D13" s="50" t="s">
        <v>409</v>
      </c>
      <c r="E13" s="50" t="s">
        <v>155</v>
      </c>
      <c r="F13" s="50" t="s">
        <v>156</v>
      </c>
      <c r="G13" s="176"/>
      <c r="H13" s="176"/>
      <c r="I13" s="176"/>
      <c r="J13" s="51" t="s">
        <v>27</v>
      </c>
      <c r="K13" s="50" t="s">
        <v>27</v>
      </c>
      <c r="L13" s="53">
        <v>1.9</v>
      </c>
      <c r="M13" s="14" t="s">
        <v>1492</v>
      </c>
      <c r="N13" s="54">
        <f>L13*H11</f>
        <v>26600</v>
      </c>
      <c r="O13" s="181"/>
      <c r="P13" s="181"/>
      <c r="Q13" s="57">
        <f>N13/O2</f>
        <v>1.3452007686861536</v>
      </c>
      <c r="R13" s="71">
        <v>3</v>
      </c>
      <c r="S13" s="40" t="s">
        <v>262</v>
      </c>
      <c r="T13" s="14" t="s">
        <v>407</v>
      </c>
      <c r="U13" s="61"/>
      <c r="V13" s="61"/>
      <c r="W13" s="61"/>
      <c r="X13" s="61"/>
      <c r="Y13" s="61"/>
      <c r="Z13" s="61"/>
      <c r="AA13" s="61"/>
      <c r="AB13" s="61"/>
      <c r="AC13" s="61"/>
      <c r="AD13" s="61"/>
      <c r="AE13" s="61"/>
      <c r="AF13" s="61"/>
      <c r="AG13" s="61"/>
      <c r="AH13" s="61"/>
      <c r="AI13" s="61"/>
      <c r="AJ13" s="61"/>
      <c r="AK13" s="61"/>
      <c r="AL13" s="61"/>
      <c r="AM13" s="85"/>
      <c r="AN13" s="85"/>
    </row>
    <row r="14" spans="1:40" ht="14.25" customHeight="1" x14ac:dyDescent="0.2">
      <c r="A14" s="181"/>
      <c r="B14" s="68" t="s">
        <v>463</v>
      </c>
      <c r="C14" s="68" t="s">
        <v>1494</v>
      </c>
      <c r="D14" s="50" t="s">
        <v>653</v>
      </c>
      <c r="E14" s="50" t="s">
        <v>27</v>
      </c>
      <c r="F14" s="50" t="s">
        <v>27</v>
      </c>
      <c r="G14" s="70">
        <v>5</v>
      </c>
      <c r="H14" s="53">
        <f>36/12*84/12</f>
        <v>21</v>
      </c>
      <c r="I14" s="50" t="s">
        <v>166</v>
      </c>
      <c r="J14" s="51" t="s">
        <v>27</v>
      </c>
      <c r="K14" s="50" t="s">
        <v>27</v>
      </c>
      <c r="L14" s="59" t="s">
        <v>27</v>
      </c>
      <c r="M14" s="50" t="s">
        <v>304</v>
      </c>
      <c r="N14" s="54">
        <f t="shared" ref="N14:N16" si="0">H14*G14</f>
        <v>105</v>
      </c>
      <c r="O14" s="181"/>
      <c r="P14" s="181"/>
      <c r="Q14" s="51">
        <f>N14/O2</f>
        <v>5.3100030342874485E-3</v>
      </c>
      <c r="R14" s="71">
        <v>4</v>
      </c>
      <c r="S14" s="14" t="s">
        <v>307</v>
      </c>
      <c r="T14" s="14" t="s">
        <v>308</v>
      </c>
      <c r="U14" s="85"/>
      <c r="V14" s="85"/>
      <c r="W14" s="85"/>
      <c r="X14" s="85"/>
      <c r="Y14" s="85"/>
      <c r="Z14" s="85"/>
      <c r="AA14" s="85"/>
      <c r="AB14" s="85"/>
      <c r="AC14" s="85"/>
      <c r="AD14" s="85"/>
      <c r="AE14" s="85"/>
      <c r="AF14" s="85"/>
      <c r="AG14" s="85"/>
      <c r="AH14" s="85"/>
      <c r="AI14" s="85"/>
      <c r="AJ14" s="85"/>
      <c r="AK14" s="85"/>
      <c r="AL14" s="85"/>
      <c r="AM14" s="85"/>
      <c r="AN14" s="85"/>
    </row>
    <row r="15" spans="1:40" ht="16.5" customHeight="1" x14ac:dyDescent="0.2">
      <c r="A15" s="181"/>
      <c r="B15" s="69" t="s">
        <v>310</v>
      </c>
      <c r="C15" s="69" t="s">
        <v>1498</v>
      </c>
      <c r="D15" s="34" t="s">
        <v>67</v>
      </c>
      <c r="E15" s="34" t="s">
        <v>27</v>
      </c>
      <c r="F15" s="34" t="s">
        <v>27</v>
      </c>
      <c r="G15" s="70">
        <v>3</v>
      </c>
      <c r="H15" s="53">
        <v>21</v>
      </c>
      <c r="I15" s="50" t="s">
        <v>166</v>
      </c>
      <c r="J15" s="36">
        <v>0.11458333333333334</v>
      </c>
      <c r="K15" s="34" t="s">
        <v>27</v>
      </c>
      <c r="L15" s="35" t="s">
        <v>27</v>
      </c>
      <c r="M15" s="34" t="s">
        <v>1499</v>
      </c>
      <c r="N15" s="55">
        <f t="shared" si="0"/>
        <v>63</v>
      </c>
      <c r="O15" s="181"/>
      <c r="P15" s="181"/>
      <c r="Q15" s="36">
        <f>N15/$O$2</f>
        <v>3.1860018205724689E-3</v>
      </c>
      <c r="R15" s="56">
        <v>2</v>
      </c>
      <c r="S15" s="14" t="s">
        <v>307</v>
      </c>
      <c r="T15" s="14" t="s">
        <v>308</v>
      </c>
      <c r="U15" s="14"/>
      <c r="V15" s="14"/>
      <c r="W15" s="14"/>
      <c r="X15" s="14"/>
      <c r="Y15" s="14"/>
      <c r="Z15" s="14"/>
      <c r="AA15" s="14"/>
      <c r="AB15" s="14"/>
      <c r="AC15" s="14"/>
      <c r="AD15" s="14"/>
      <c r="AE15" s="14"/>
      <c r="AF15" s="14"/>
      <c r="AG15" s="14"/>
      <c r="AH15" s="14"/>
      <c r="AI15" s="14"/>
      <c r="AJ15" s="14"/>
      <c r="AK15" s="14"/>
      <c r="AL15" s="14"/>
      <c r="AM15" s="14"/>
      <c r="AN15" s="14"/>
    </row>
    <row r="16" spans="1:40" ht="16.5" customHeight="1" x14ac:dyDescent="0.2">
      <c r="A16" s="181"/>
      <c r="B16" s="127" t="s">
        <v>463</v>
      </c>
      <c r="C16" s="127" t="s">
        <v>300</v>
      </c>
      <c r="D16" s="34" t="s">
        <v>301</v>
      </c>
      <c r="E16" s="34" t="s">
        <v>27</v>
      </c>
      <c r="F16" s="34" t="s">
        <v>27</v>
      </c>
      <c r="G16" s="95">
        <v>23</v>
      </c>
      <c r="H16" s="52">
        <v>21</v>
      </c>
      <c r="I16" s="35" t="s">
        <v>166</v>
      </c>
      <c r="J16" s="36" t="s">
        <v>27</v>
      </c>
      <c r="K16" s="34" t="s">
        <v>27</v>
      </c>
      <c r="L16" s="35" t="s">
        <v>27</v>
      </c>
      <c r="M16" s="34" t="s">
        <v>304</v>
      </c>
      <c r="N16" s="55">
        <f t="shared" si="0"/>
        <v>483</v>
      </c>
      <c r="O16" s="181"/>
      <c r="P16" s="181"/>
      <c r="Q16" s="36">
        <f>N16/O2</f>
        <v>2.4426013957722262E-2</v>
      </c>
      <c r="R16" s="156">
        <v>4</v>
      </c>
      <c r="S16" s="14" t="s">
        <v>307</v>
      </c>
      <c r="T16" s="14" t="s">
        <v>308</v>
      </c>
      <c r="U16" s="85"/>
      <c r="V16" s="85"/>
      <c r="W16" s="85"/>
      <c r="X16" s="85"/>
      <c r="Y16" s="85"/>
      <c r="Z16" s="85"/>
      <c r="AA16" s="85"/>
      <c r="AB16" s="85"/>
      <c r="AC16" s="85"/>
      <c r="AD16" s="85"/>
      <c r="AE16" s="85"/>
      <c r="AF16" s="85"/>
      <c r="AG16" s="85"/>
      <c r="AH16" s="85"/>
      <c r="AI16" s="85"/>
      <c r="AJ16" s="85"/>
      <c r="AK16" s="85"/>
      <c r="AL16" s="85"/>
      <c r="AM16" s="85"/>
      <c r="AN16" s="85"/>
    </row>
    <row r="17" spans="1:40" ht="14.25" customHeight="1" x14ac:dyDescent="0.2">
      <c r="A17" s="181"/>
      <c r="B17" s="183" t="s">
        <v>417</v>
      </c>
      <c r="C17" s="183" t="s">
        <v>662</v>
      </c>
      <c r="D17" s="179" t="s">
        <v>663</v>
      </c>
      <c r="E17" s="179" t="s">
        <v>13</v>
      </c>
      <c r="F17" s="179" t="s">
        <v>13</v>
      </c>
      <c r="G17" s="182">
        <v>55</v>
      </c>
      <c r="H17" s="178">
        <v>25</v>
      </c>
      <c r="I17" s="179" t="s">
        <v>166</v>
      </c>
      <c r="J17" s="175" t="s">
        <v>27</v>
      </c>
      <c r="K17" s="179" t="s">
        <v>27</v>
      </c>
      <c r="L17" s="178">
        <v>1</v>
      </c>
      <c r="M17" s="179" t="s">
        <v>422</v>
      </c>
      <c r="N17" s="180">
        <f>L17*G17*H17</f>
        <v>1375</v>
      </c>
      <c r="O17" s="181"/>
      <c r="P17" s="181"/>
      <c r="Q17" s="175">
        <f>N17/O2</f>
        <v>6.9535754020430871E-2</v>
      </c>
      <c r="R17" s="190">
        <v>2</v>
      </c>
      <c r="S17" s="14" t="s">
        <v>623</v>
      </c>
      <c r="T17" s="85" t="s">
        <v>913</v>
      </c>
      <c r="U17" s="85"/>
      <c r="V17" s="85"/>
      <c r="W17" s="85"/>
      <c r="X17" s="85"/>
      <c r="Y17" s="85"/>
      <c r="Z17" s="85"/>
      <c r="AA17" s="85"/>
      <c r="AB17" s="85"/>
      <c r="AC17" s="85"/>
      <c r="AD17" s="85"/>
      <c r="AE17" s="85"/>
      <c r="AF17" s="85"/>
      <c r="AG17" s="85"/>
      <c r="AH17" s="85"/>
      <c r="AI17" s="85"/>
      <c r="AJ17" s="85"/>
      <c r="AK17" s="85"/>
      <c r="AL17" s="85"/>
      <c r="AM17" s="85"/>
      <c r="AN17" s="85"/>
    </row>
    <row r="18" spans="1:40" ht="14.25" customHeight="1" x14ac:dyDescent="0.2">
      <c r="A18" s="181"/>
      <c r="B18" s="181"/>
      <c r="C18" s="181"/>
      <c r="D18" s="181"/>
      <c r="E18" s="181"/>
      <c r="F18" s="181"/>
      <c r="G18" s="181"/>
      <c r="H18" s="181"/>
      <c r="I18" s="181"/>
      <c r="J18" s="181"/>
      <c r="K18" s="181"/>
      <c r="L18" s="181"/>
      <c r="M18" s="181"/>
      <c r="N18" s="181"/>
      <c r="O18" s="181"/>
      <c r="P18" s="181"/>
      <c r="Q18" s="181"/>
      <c r="R18" s="181"/>
      <c r="S18" s="40" t="s">
        <v>667</v>
      </c>
      <c r="T18" s="85" t="s">
        <v>668</v>
      </c>
      <c r="U18" s="85"/>
      <c r="V18" s="85"/>
      <c r="W18" s="85"/>
      <c r="X18" s="85"/>
      <c r="Y18" s="85"/>
      <c r="Z18" s="85"/>
      <c r="AA18" s="85"/>
      <c r="AB18" s="85"/>
      <c r="AC18" s="85"/>
      <c r="AD18" s="85"/>
      <c r="AE18" s="85"/>
      <c r="AF18" s="85"/>
      <c r="AG18" s="85"/>
      <c r="AH18" s="85"/>
      <c r="AI18" s="85"/>
      <c r="AJ18" s="85"/>
      <c r="AK18" s="85"/>
      <c r="AL18" s="85"/>
      <c r="AM18" s="85"/>
      <c r="AN18" s="85"/>
    </row>
    <row r="19" spans="1:40" ht="14.25" customHeight="1" x14ac:dyDescent="0.2">
      <c r="A19" s="181"/>
      <c r="B19" s="181"/>
      <c r="C19" s="181"/>
      <c r="D19" s="181"/>
      <c r="E19" s="181"/>
      <c r="F19" s="181"/>
      <c r="G19" s="181"/>
      <c r="H19" s="181"/>
      <c r="I19" s="181"/>
      <c r="J19" s="181"/>
      <c r="K19" s="181"/>
      <c r="L19" s="181"/>
      <c r="M19" s="181"/>
      <c r="N19" s="181"/>
      <c r="O19" s="181"/>
      <c r="P19" s="181"/>
      <c r="Q19" s="181"/>
      <c r="R19" s="181"/>
      <c r="S19" s="14" t="s">
        <v>669</v>
      </c>
      <c r="T19" s="85" t="s">
        <v>670</v>
      </c>
      <c r="U19" s="85"/>
      <c r="V19" s="85"/>
      <c r="W19" s="85"/>
      <c r="X19" s="85"/>
      <c r="Y19" s="85"/>
      <c r="Z19" s="85"/>
      <c r="AA19" s="85"/>
      <c r="AB19" s="85"/>
      <c r="AC19" s="85"/>
      <c r="AD19" s="85"/>
      <c r="AE19" s="85"/>
      <c r="AF19" s="85"/>
      <c r="AG19" s="85"/>
      <c r="AH19" s="85"/>
      <c r="AI19" s="85"/>
      <c r="AJ19" s="85"/>
      <c r="AK19" s="85"/>
      <c r="AL19" s="85"/>
      <c r="AM19" s="85"/>
      <c r="AN19" s="85"/>
    </row>
    <row r="20" spans="1:40" ht="14.25" customHeight="1" x14ac:dyDescent="0.2">
      <c r="A20" s="181"/>
      <c r="B20" s="181"/>
      <c r="C20" s="181"/>
      <c r="D20" s="176"/>
      <c r="E20" s="176"/>
      <c r="F20" s="176"/>
      <c r="G20" s="181"/>
      <c r="H20" s="176"/>
      <c r="I20" s="176"/>
      <c r="J20" s="176"/>
      <c r="K20" s="176"/>
      <c r="L20" s="176"/>
      <c r="M20" s="176"/>
      <c r="N20" s="176"/>
      <c r="O20" s="181"/>
      <c r="P20" s="181"/>
      <c r="Q20" s="176"/>
      <c r="R20" s="176"/>
      <c r="S20" s="14" t="s">
        <v>671</v>
      </c>
      <c r="T20" s="85" t="s">
        <v>672</v>
      </c>
      <c r="U20" s="85"/>
      <c r="V20" s="85"/>
      <c r="W20" s="85"/>
      <c r="X20" s="85"/>
      <c r="Y20" s="85"/>
      <c r="Z20" s="85"/>
      <c r="AA20" s="85"/>
      <c r="AB20" s="85"/>
      <c r="AC20" s="85"/>
      <c r="AD20" s="85"/>
      <c r="AE20" s="85"/>
      <c r="AF20" s="85"/>
      <c r="AG20" s="85"/>
      <c r="AH20" s="85"/>
      <c r="AI20" s="85"/>
      <c r="AJ20" s="85"/>
      <c r="AK20" s="85"/>
      <c r="AL20" s="85"/>
      <c r="AM20" s="85"/>
      <c r="AN20" s="85"/>
    </row>
    <row r="21" spans="1:40" ht="14.25" customHeight="1" x14ac:dyDescent="0.2">
      <c r="A21" s="181"/>
      <c r="B21" s="181"/>
      <c r="C21" s="181"/>
      <c r="D21" s="179" t="s">
        <v>433</v>
      </c>
      <c r="E21" s="179" t="s">
        <v>434</v>
      </c>
      <c r="F21" s="179" t="s">
        <v>435</v>
      </c>
      <c r="G21" s="181"/>
      <c r="H21" s="178">
        <v>25</v>
      </c>
      <c r="I21" s="179" t="s">
        <v>166</v>
      </c>
      <c r="J21" s="175">
        <v>2.0833333333333332E-2</v>
      </c>
      <c r="K21" s="193" t="s">
        <v>27</v>
      </c>
      <c r="L21" s="194">
        <v>158</v>
      </c>
      <c r="M21" s="193" t="s">
        <v>1505</v>
      </c>
      <c r="N21" s="180">
        <f>L21*J21*H21*G17*2</f>
        <v>9052.0833333333321</v>
      </c>
      <c r="O21" s="181"/>
      <c r="P21" s="181"/>
      <c r="Q21" s="175">
        <f>N21/O2</f>
        <v>0.4577770473011698</v>
      </c>
      <c r="R21" s="190">
        <v>2</v>
      </c>
      <c r="S21" s="14" t="s">
        <v>623</v>
      </c>
      <c r="T21" s="85" t="s">
        <v>922</v>
      </c>
      <c r="U21" s="85"/>
      <c r="V21" s="85"/>
      <c r="W21" s="85"/>
      <c r="X21" s="85"/>
      <c r="Y21" s="85"/>
      <c r="Z21" s="85"/>
      <c r="AA21" s="85"/>
      <c r="AB21" s="85"/>
      <c r="AC21" s="85"/>
      <c r="AD21" s="85"/>
      <c r="AE21" s="85"/>
      <c r="AF21" s="85"/>
      <c r="AG21" s="85"/>
      <c r="AH21" s="85"/>
      <c r="AI21" s="85"/>
      <c r="AJ21" s="85"/>
      <c r="AK21" s="85"/>
      <c r="AL21" s="85"/>
      <c r="AM21" s="85"/>
      <c r="AN21" s="85"/>
    </row>
    <row r="22" spans="1:40" ht="14.25" customHeight="1" x14ac:dyDescent="0.2">
      <c r="A22" s="181"/>
      <c r="B22" s="181"/>
      <c r="C22" s="181"/>
      <c r="D22" s="181"/>
      <c r="E22" s="181"/>
      <c r="F22" s="181"/>
      <c r="G22" s="181"/>
      <c r="H22" s="181"/>
      <c r="I22" s="181"/>
      <c r="J22" s="181"/>
      <c r="K22" s="181"/>
      <c r="L22" s="181"/>
      <c r="M22" s="181"/>
      <c r="N22" s="181"/>
      <c r="O22" s="181"/>
      <c r="P22" s="181"/>
      <c r="Q22" s="181"/>
      <c r="R22" s="181"/>
      <c r="S22" s="14" t="s">
        <v>443</v>
      </c>
      <c r="T22" s="85" t="s">
        <v>444</v>
      </c>
      <c r="U22" s="85"/>
      <c r="V22" s="85"/>
      <c r="W22" s="85"/>
      <c r="X22" s="85"/>
      <c r="Y22" s="85"/>
      <c r="Z22" s="85"/>
      <c r="AA22" s="85"/>
      <c r="AB22" s="85"/>
      <c r="AC22" s="85"/>
      <c r="AD22" s="85"/>
      <c r="AE22" s="85"/>
      <c r="AF22" s="85"/>
      <c r="AG22" s="85"/>
      <c r="AH22" s="85"/>
      <c r="AI22" s="85"/>
      <c r="AJ22" s="85"/>
      <c r="AK22" s="85"/>
      <c r="AL22" s="85"/>
      <c r="AM22" s="85"/>
      <c r="AN22" s="85"/>
    </row>
    <row r="23" spans="1:40" ht="14.25" customHeight="1" x14ac:dyDescent="0.2">
      <c r="A23" s="181"/>
      <c r="B23" s="181"/>
      <c r="C23" s="181"/>
      <c r="D23" s="181"/>
      <c r="E23" s="181"/>
      <c r="F23" s="181"/>
      <c r="G23" s="181"/>
      <c r="H23" s="181"/>
      <c r="I23" s="181"/>
      <c r="J23" s="181"/>
      <c r="K23" s="181"/>
      <c r="L23" s="181"/>
      <c r="M23" s="181"/>
      <c r="N23" s="181"/>
      <c r="O23" s="181"/>
      <c r="P23" s="181"/>
      <c r="Q23" s="181"/>
      <c r="R23" s="181"/>
      <c r="S23" s="14" t="s">
        <v>451</v>
      </c>
      <c r="T23" s="85" t="s">
        <v>452</v>
      </c>
      <c r="U23" s="85"/>
      <c r="V23" s="85"/>
      <c r="W23" s="85"/>
      <c r="X23" s="85"/>
      <c r="Y23" s="85"/>
      <c r="Z23" s="85"/>
      <c r="AA23" s="85"/>
      <c r="AB23" s="85"/>
      <c r="AC23" s="85"/>
      <c r="AD23" s="85"/>
      <c r="AE23" s="85"/>
      <c r="AF23" s="85"/>
      <c r="AG23" s="85"/>
      <c r="AH23" s="85"/>
      <c r="AI23" s="85"/>
      <c r="AJ23" s="85"/>
      <c r="AK23" s="85"/>
      <c r="AL23" s="85"/>
      <c r="AM23" s="85"/>
      <c r="AN23" s="85"/>
    </row>
    <row r="24" spans="1:40" ht="14.25" customHeight="1" x14ac:dyDescent="0.2">
      <c r="A24" s="181"/>
      <c r="B24" s="181"/>
      <c r="C24" s="181"/>
      <c r="D24" s="176"/>
      <c r="E24" s="176"/>
      <c r="F24" s="176"/>
      <c r="G24" s="181"/>
      <c r="H24" s="181"/>
      <c r="I24" s="181"/>
      <c r="J24" s="176"/>
      <c r="K24" s="176"/>
      <c r="L24" s="176"/>
      <c r="M24" s="176"/>
      <c r="N24" s="176"/>
      <c r="O24" s="181"/>
      <c r="P24" s="181"/>
      <c r="Q24" s="176"/>
      <c r="R24" s="176"/>
      <c r="S24" s="40" t="s">
        <v>447</v>
      </c>
      <c r="T24" s="85" t="s">
        <v>449</v>
      </c>
      <c r="U24" s="85"/>
      <c r="V24" s="85"/>
      <c r="W24" s="85"/>
      <c r="X24" s="85"/>
      <c r="Y24" s="85"/>
      <c r="Z24" s="85"/>
      <c r="AA24" s="85"/>
      <c r="AB24" s="85"/>
      <c r="AC24" s="85"/>
      <c r="AD24" s="85"/>
      <c r="AE24" s="85"/>
      <c r="AF24" s="85"/>
      <c r="AG24" s="85"/>
      <c r="AH24" s="85"/>
      <c r="AI24" s="85"/>
      <c r="AJ24" s="85"/>
      <c r="AK24" s="85"/>
      <c r="AL24" s="85"/>
      <c r="AM24" s="85"/>
      <c r="AN24" s="85"/>
    </row>
    <row r="25" spans="1:40" ht="17.25" customHeight="1" x14ac:dyDescent="0.2">
      <c r="A25" s="181"/>
      <c r="B25" s="181"/>
      <c r="C25" s="181"/>
      <c r="D25" s="179" t="s">
        <v>677</v>
      </c>
      <c r="E25" s="179" t="s">
        <v>287</v>
      </c>
      <c r="F25" s="179" t="s">
        <v>19</v>
      </c>
      <c r="G25" s="181"/>
      <c r="H25" s="181"/>
      <c r="I25" s="181"/>
      <c r="J25" s="175">
        <v>2.5000000000000001E-3</v>
      </c>
      <c r="K25" s="179" t="s">
        <v>27</v>
      </c>
      <c r="L25" s="178">
        <v>0.17</v>
      </c>
      <c r="M25" s="179" t="s">
        <v>1511</v>
      </c>
      <c r="N25" s="195">
        <f>L25*H21*G17*2</f>
        <v>467.5</v>
      </c>
      <c r="O25" s="181"/>
      <c r="P25" s="181"/>
      <c r="Q25" s="175">
        <f>N25/O2</f>
        <v>2.3642156366946495E-2</v>
      </c>
      <c r="R25" s="190">
        <v>2</v>
      </c>
      <c r="S25" s="14" t="s">
        <v>451</v>
      </c>
      <c r="T25" s="85" t="s">
        <v>452</v>
      </c>
      <c r="U25" s="85"/>
      <c r="V25" s="85"/>
      <c r="W25" s="85"/>
      <c r="X25" s="85"/>
      <c r="Y25" s="85"/>
      <c r="Z25" s="85"/>
      <c r="AA25" s="85"/>
      <c r="AB25" s="85"/>
      <c r="AC25" s="85"/>
      <c r="AD25" s="85"/>
      <c r="AE25" s="85"/>
      <c r="AF25" s="85"/>
      <c r="AG25" s="85"/>
      <c r="AH25" s="85"/>
      <c r="AI25" s="85"/>
      <c r="AJ25" s="85"/>
      <c r="AK25" s="85"/>
      <c r="AL25" s="85"/>
      <c r="AM25" s="85"/>
      <c r="AN25" s="85"/>
    </row>
    <row r="26" spans="1:40" ht="14.25" customHeight="1" x14ac:dyDescent="0.2">
      <c r="A26" s="181"/>
      <c r="B26" s="176"/>
      <c r="C26" s="176"/>
      <c r="D26" s="176"/>
      <c r="E26" s="176"/>
      <c r="F26" s="176"/>
      <c r="G26" s="176"/>
      <c r="H26" s="176"/>
      <c r="I26" s="176"/>
      <c r="J26" s="176"/>
      <c r="K26" s="176"/>
      <c r="L26" s="176"/>
      <c r="M26" s="176"/>
      <c r="N26" s="176"/>
      <c r="O26" s="181"/>
      <c r="P26" s="181"/>
      <c r="Q26" s="176"/>
      <c r="R26" s="176"/>
      <c r="S26" s="40" t="s">
        <v>460</v>
      </c>
      <c r="T26" s="85" t="s">
        <v>461</v>
      </c>
      <c r="U26" s="85"/>
      <c r="V26" s="85"/>
      <c r="W26" s="85"/>
      <c r="X26" s="85"/>
      <c r="Y26" s="85"/>
      <c r="Z26" s="85"/>
      <c r="AA26" s="85"/>
      <c r="AB26" s="85"/>
      <c r="AC26" s="85"/>
      <c r="AD26" s="85"/>
      <c r="AE26" s="85"/>
      <c r="AF26" s="85"/>
      <c r="AG26" s="85"/>
      <c r="AH26" s="85"/>
      <c r="AI26" s="85"/>
      <c r="AJ26" s="85"/>
      <c r="AK26" s="85"/>
      <c r="AL26" s="85"/>
      <c r="AM26" s="85"/>
      <c r="AN26" s="85"/>
    </row>
    <row r="27" spans="1:40" ht="14.25" customHeight="1" x14ac:dyDescent="0.2">
      <c r="A27" s="181"/>
      <c r="B27" s="183" t="s">
        <v>1024</v>
      </c>
      <c r="C27" s="183" t="s">
        <v>715</v>
      </c>
      <c r="D27" s="179" t="s">
        <v>1025</v>
      </c>
      <c r="E27" s="179" t="s">
        <v>13</v>
      </c>
      <c r="F27" s="179" t="s">
        <v>13</v>
      </c>
      <c r="G27" s="182">
        <v>1</v>
      </c>
      <c r="H27" s="182">
        <v>20570</v>
      </c>
      <c r="I27" s="183" t="s">
        <v>166</v>
      </c>
      <c r="J27" s="178">
        <f>0.05/12</f>
        <v>4.1666666666666666E-3</v>
      </c>
      <c r="K27" s="179" t="s">
        <v>27</v>
      </c>
      <c r="L27" s="178">
        <v>0.56899999999999995</v>
      </c>
      <c r="M27" s="179" t="s">
        <v>1526</v>
      </c>
      <c r="N27" s="180">
        <f>H27*L27</f>
        <v>11704.329999999998</v>
      </c>
      <c r="O27" s="181"/>
      <c r="P27" s="181"/>
      <c r="Q27" s="175">
        <f>N27/O2</f>
        <v>0.59190502680287238</v>
      </c>
      <c r="R27" s="177">
        <v>4</v>
      </c>
      <c r="S27" s="14" t="s">
        <v>325</v>
      </c>
      <c r="T27" s="85" t="s">
        <v>326</v>
      </c>
      <c r="U27" s="85"/>
      <c r="V27" s="85"/>
      <c r="W27" s="85"/>
      <c r="X27" s="85"/>
      <c r="Y27" s="85"/>
      <c r="Z27" s="85"/>
      <c r="AA27" s="85"/>
      <c r="AB27" s="85"/>
      <c r="AC27" s="85"/>
      <c r="AD27" s="85"/>
      <c r="AE27" s="85"/>
      <c r="AF27" s="85"/>
      <c r="AG27" s="85"/>
      <c r="AH27" s="85"/>
      <c r="AI27" s="85"/>
      <c r="AJ27" s="85"/>
      <c r="AK27" s="85"/>
      <c r="AL27" s="85"/>
      <c r="AM27" s="85"/>
      <c r="AN27" s="85"/>
    </row>
    <row r="28" spans="1:40" ht="14.25" customHeight="1" x14ac:dyDescent="0.2">
      <c r="A28" s="181"/>
      <c r="B28" s="181"/>
      <c r="C28" s="181"/>
      <c r="D28" s="181"/>
      <c r="E28" s="181"/>
      <c r="F28" s="181"/>
      <c r="G28" s="181"/>
      <c r="H28" s="181"/>
      <c r="I28" s="181"/>
      <c r="J28" s="181"/>
      <c r="K28" s="181"/>
      <c r="L28" s="181"/>
      <c r="M28" s="181"/>
      <c r="N28" s="181"/>
      <c r="O28" s="181"/>
      <c r="P28" s="181"/>
      <c r="Q28" s="181"/>
      <c r="R28" s="181"/>
      <c r="S28" s="14" t="s">
        <v>327</v>
      </c>
      <c r="T28" s="85" t="s">
        <v>328</v>
      </c>
      <c r="U28" s="85"/>
      <c r="V28" s="85"/>
      <c r="W28" s="85"/>
      <c r="X28" s="85"/>
      <c r="Y28" s="85"/>
      <c r="Z28" s="85"/>
      <c r="AA28" s="85"/>
      <c r="AB28" s="85"/>
      <c r="AC28" s="85"/>
      <c r="AD28" s="85"/>
      <c r="AE28" s="85"/>
      <c r="AF28" s="85"/>
      <c r="AG28" s="85"/>
      <c r="AH28" s="85"/>
      <c r="AI28" s="85"/>
      <c r="AJ28" s="85"/>
      <c r="AK28" s="85"/>
      <c r="AL28" s="85"/>
      <c r="AM28" s="85"/>
      <c r="AN28" s="85"/>
    </row>
    <row r="29" spans="1:40" ht="14.25" customHeight="1" x14ac:dyDescent="0.2">
      <c r="A29" s="181"/>
      <c r="B29" s="181"/>
      <c r="C29" s="181"/>
      <c r="D29" s="176"/>
      <c r="E29" s="176"/>
      <c r="F29" s="176"/>
      <c r="G29" s="176"/>
      <c r="H29" s="181"/>
      <c r="I29" s="181"/>
      <c r="J29" s="176"/>
      <c r="K29" s="176"/>
      <c r="L29" s="176"/>
      <c r="M29" s="176"/>
      <c r="N29" s="176"/>
      <c r="O29" s="181"/>
      <c r="P29" s="181"/>
      <c r="Q29" s="176"/>
      <c r="R29" s="176"/>
      <c r="S29" s="14" t="s">
        <v>1028</v>
      </c>
      <c r="T29" s="85" t="s">
        <v>330</v>
      </c>
      <c r="U29" s="85"/>
      <c r="V29" s="85"/>
      <c r="W29" s="85"/>
      <c r="X29" s="85"/>
      <c r="Y29" s="85"/>
      <c r="Z29" s="85"/>
      <c r="AA29" s="85"/>
      <c r="AB29" s="85"/>
      <c r="AC29" s="85"/>
      <c r="AD29" s="85"/>
      <c r="AE29" s="85"/>
      <c r="AF29" s="85"/>
      <c r="AG29" s="85"/>
      <c r="AH29" s="85"/>
      <c r="AI29" s="85"/>
      <c r="AJ29" s="85"/>
      <c r="AK29" s="85"/>
      <c r="AL29" s="85"/>
      <c r="AM29" s="85"/>
      <c r="AN29" s="85"/>
    </row>
    <row r="30" spans="1:40" ht="14.25" customHeight="1" x14ac:dyDescent="0.2">
      <c r="A30" s="181"/>
      <c r="B30" s="181"/>
      <c r="C30" s="181"/>
      <c r="D30" s="179" t="s">
        <v>872</v>
      </c>
      <c r="E30" s="179" t="s">
        <v>279</v>
      </c>
      <c r="F30" s="179" t="s">
        <v>15</v>
      </c>
      <c r="G30" s="178">
        <v>1</v>
      </c>
      <c r="H30" s="181"/>
      <c r="I30" s="181"/>
      <c r="J30" s="175" t="s">
        <v>27</v>
      </c>
      <c r="K30" s="179" t="s">
        <v>27</v>
      </c>
      <c r="L30" s="178">
        <v>0.215</v>
      </c>
      <c r="M30" s="179" t="s">
        <v>1539</v>
      </c>
      <c r="N30" s="180">
        <f>L30*H27</f>
        <v>4422.55</v>
      </c>
      <c r="O30" s="181"/>
      <c r="P30" s="181"/>
      <c r="Q30" s="175">
        <f>N30/O2</f>
        <v>0.22365479923131384</v>
      </c>
      <c r="R30" s="177">
        <v>4</v>
      </c>
      <c r="S30" s="14" t="s">
        <v>1031</v>
      </c>
      <c r="T30" s="85" t="s">
        <v>334</v>
      </c>
      <c r="U30" s="85"/>
      <c r="V30" s="85"/>
      <c r="W30" s="85"/>
      <c r="X30" s="85"/>
      <c r="Y30" s="85"/>
      <c r="Z30" s="85"/>
      <c r="AA30" s="85"/>
      <c r="AB30" s="85"/>
      <c r="AC30" s="85"/>
      <c r="AD30" s="85"/>
      <c r="AE30" s="85"/>
      <c r="AF30" s="85"/>
      <c r="AG30" s="85"/>
      <c r="AH30" s="85"/>
      <c r="AI30" s="85"/>
      <c r="AJ30" s="85"/>
      <c r="AK30" s="85"/>
      <c r="AL30" s="85"/>
      <c r="AM30" s="85"/>
      <c r="AN30" s="85"/>
    </row>
    <row r="31" spans="1:40" ht="14.25" customHeight="1" x14ac:dyDescent="0.2">
      <c r="A31" s="181"/>
      <c r="B31" s="181"/>
      <c r="C31" s="181"/>
      <c r="D31" s="176"/>
      <c r="E31" s="176"/>
      <c r="F31" s="176"/>
      <c r="G31" s="176"/>
      <c r="H31" s="181"/>
      <c r="I31" s="181"/>
      <c r="J31" s="176"/>
      <c r="K31" s="176"/>
      <c r="L31" s="176"/>
      <c r="M31" s="176"/>
      <c r="N31" s="176"/>
      <c r="O31" s="181"/>
      <c r="P31" s="181"/>
      <c r="Q31" s="176"/>
      <c r="R31" s="176"/>
      <c r="S31" s="14" t="s">
        <v>530</v>
      </c>
      <c r="T31" s="85" t="s">
        <v>336</v>
      </c>
      <c r="U31" s="85"/>
      <c r="V31" s="85"/>
      <c r="W31" s="85"/>
      <c r="X31" s="85"/>
      <c r="Y31" s="85"/>
      <c r="Z31" s="85"/>
      <c r="AA31" s="85"/>
      <c r="AB31" s="85"/>
      <c r="AC31" s="85"/>
      <c r="AD31" s="85"/>
      <c r="AE31" s="85"/>
      <c r="AF31" s="85"/>
      <c r="AG31" s="85"/>
      <c r="AH31" s="85"/>
      <c r="AI31" s="85"/>
      <c r="AJ31" s="85"/>
      <c r="AK31" s="85"/>
      <c r="AL31" s="85"/>
      <c r="AM31" s="85"/>
      <c r="AN31" s="85"/>
    </row>
    <row r="32" spans="1:40" ht="17.25" customHeight="1" x14ac:dyDescent="0.2">
      <c r="A32" s="181"/>
      <c r="B32" s="181"/>
      <c r="C32" s="181"/>
      <c r="D32" s="179" t="s">
        <v>286</v>
      </c>
      <c r="E32" s="179" t="s">
        <v>287</v>
      </c>
      <c r="F32" s="179" t="s">
        <v>10</v>
      </c>
      <c r="G32" s="182">
        <v>2</v>
      </c>
      <c r="H32" s="181"/>
      <c r="I32" s="181"/>
      <c r="J32" s="175">
        <v>0.125</v>
      </c>
      <c r="K32" s="179" t="s">
        <v>27</v>
      </c>
      <c r="L32" s="178">
        <v>2.5</v>
      </c>
      <c r="M32" s="179" t="s">
        <v>1546</v>
      </c>
      <c r="N32" s="180">
        <f>L32*H27*J32*G32</f>
        <v>12856.25</v>
      </c>
      <c r="O32" s="181"/>
      <c r="P32" s="181"/>
      <c r="Q32" s="175">
        <f>N32/$O$2</f>
        <v>0.65015930009102862</v>
      </c>
      <c r="R32" s="191">
        <v>3</v>
      </c>
      <c r="S32" s="14" t="s">
        <v>343</v>
      </c>
      <c r="T32" s="14" t="s">
        <v>344</v>
      </c>
    </row>
    <row r="33" spans="1:40" ht="14.25" customHeight="1" x14ac:dyDescent="0.2">
      <c r="A33" s="181"/>
      <c r="B33" s="181"/>
      <c r="C33" s="181"/>
      <c r="D33" s="181"/>
      <c r="E33" s="181"/>
      <c r="F33" s="181"/>
      <c r="G33" s="181"/>
      <c r="H33" s="181"/>
      <c r="I33" s="181"/>
      <c r="J33" s="181"/>
      <c r="K33" s="181"/>
      <c r="L33" s="181"/>
      <c r="M33" s="181"/>
      <c r="N33" s="181"/>
      <c r="O33" s="181"/>
      <c r="P33" s="181"/>
      <c r="Q33" s="181"/>
      <c r="R33" s="181"/>
      <c r="S33" s="97" t="s">
        <v>345</v>
      </c>
      <c r="T33" s="44" t="s">
        <v>346</v>
      </c>
    </row>
    <row r="34" spans="1:40" ht="14.25" customHeight="1" x14ac:dyDescent="0.2">
      <c r="A34" s="181"/>
      <c r="B34" s="181"/>
      <c r="C34" s="181"/>
      <c r="D34" s="181"/>
      <c r="E34" s="181"/>
      <c r="F34" s="181"/>
      <c r="G34" s="181"/>
      <c r="H34" s="181"/>
      <c r="I34" s="181"/>
      <c r="J34" s="181"/>
      <c r="K34" s="181"/>
      <c r="L34" s="181"/>
      <c r="M34" s="181"/>
      <c r="N34" s="181"/>
      <c r="O34" s="181"/>
      <c r="P34" s="181"/>
      <c r="Q34" s="181"/>
      <c r="R34" s="181"/>
      <c r="S34" s="14" t="s">
        <v>347</v>
      </c>
      <c r="T34" s="14" t="s">
        <v>348</v>
      </c>
    </row>
    <row r="35" spans="1:40" ht="14.25" customHeight="1" x14ac:dyDescent="0.2">
      <c r="A35" s="181"/>
      <c r="B35" s="181"/>
      <c r="C35" s="181"/>
      <c r="D35" s="176"/>
      <c r="E35" s="176"/>
      <c r="F35" s="176"/>
      <c r="G35" s="176"/>
      <c r="H35" s="181"/>
      <c r="I35" s="181"/>
      <c r="J35" s="176"/>
      <c r="K35" s="176"/>
      <c r="L35" s="176"/>
      <c r="M35" s="176"/>
      <c r="N35" s="176"/>
      <c r="O35" s="181"/>
      <c r="P35" s="181"/>
      <c r="Q35" s="176"/>
      <c r="R35" s="176"/>
      <c r="S35" s="14" t="s">
        <v>349</v>
      </c>
      <c r="T35" s="14" t="s">
        <v>350</v>
      </c>
    </row>
    <row r="36" spans="1:40" ht="15" customHeight="1" x14ac:dyDescent="0.2">
      <c r="A36" s="181"/>
      <c r="B36" s="181"/>
      <c r="C36" s="181"/>
      <c r="D36" s="179" t="s">
        <v>239</v>
      </c>
      <c r="E36" s="179" t="s">
        <v>92</v>
      </c>
      <c r="F36" s="179" t="s">
        <v>5</v>
      </c>
      <c r="G36" s="178">
        <v>1</v>
      </c>
      <c r="H36" s="181"/>
      <c r="I36" s="181"/>
      <c r="J36" s="175">
        <f>5/8/12</f>
        <v>5.2083333333333336E-2</v>
      </c>
      <c r="K36" s="179" t="s">
        <v>27</v>
      </c>
      <c r="L36" s="178">
        <v>1.56</v>
      </c>
      <c r="M36" s="179" t="s">
        <v>1550</v>
      </c>
      <c r="N36" s="180">
        <f>L36*H27</f>
        <v>32089.200000000001</v>
      </c>
      <c r="O36" s="181"/>
      <c r="P36" s="181"/>
      <c r="Q36" s="175">
        <f>N36/O2</f>
        <v>1.6227976130272075</v>
      </c>
      <c r="R36" s="177">
        <v>4</v>
      </c>
      <c r="S36" s="14" t="s">
        <v>736</v>
      </c>
      <c r="T36" s="85" t="s">
        <v>339</v>
      </c>
      <c r="U36" s="85"/>
      <c r="V36" s="85"/>
      <c r="W36" s="85"/>
      <c r="X36" s="85"/>
      <c r="Y36" s="85"/>
      <c r="Z36" s="85"/>
      <c r="AA36" s="85"/>
      <c r="AB36" s="85"/>
      <c r="AC36" s="85"/>
      <c r="AD36" s="85"/>
      <c r="AE36" s="85"/>
      <c r="AF36" s="85"/>
      <c r="AG36" s="85"/>
      <c r="AH36" s="85"/>
      <c r="AI36" s="85"/>
      <c r="AJ36" s="85"/>
      <c r="AK36" s="85"/>
      <c r="AL36" s="85"/>
      <c r="AM36" s="85"/>
      <c r="AN36" s="85"/>
    </row>
    <row r="37" spans="1:40" ht="14.25" customHeight="1" x14ac:dyDescent="0.2">
      <c r="A37" s="181"/>
      <c r="B37" s="181"/>
      <c r="C37" s="181"/>
      <c r="D37" s="181"/>
      <c r="E37" s="181"/>
      <c r="F37" s="181"/>
      <c r="G37" s="181"/>
      <c r="H37" s="181"/>
      <c r="I37" s="181"/>
      <c r="J37" s="181"/>
      <c r="K37" s="181"/>
      <c r="L37" s="181"/>
      <c r="M37" s="181"/>
      <c r="N37" s="181"/>
      <c r="O37" s="181"/>
      <c r="P37" s="181"/>
      <c r="Q37" s="181"/>
      <c r="R37" s="181"/>
      <c r="S37" s="14" t="s">
        <v>738</v>
      </c>
      <c r="T37" s="85" t="s">
        <v>341</v>
      </c>
      <c r="U37" s="85"/>
      <c r="V37" s="85"/>
      <c r="W37" s="85"/>
      <c r="X37" s="85"/>
      <c r="Y37" s="85"/>
      <c r="Z37" s="85"/>
      <c r="AA37" s="85"/>
      <c r="AB37" s="85"/>
      <c r="AC37" s="85"/>
      <c r="AD37" s="85"/>
      <c r="AE37" s="85"/>
      <c r="AF37" s="85"/>
      <c r="AG37" s="85"/>
      <c r="AH37" s="85"/>
      <c r="AI37" s="85"/>
      <c r="AJ37" s="85"/>
      <c r="AK37" s="85"/>
      <c r="AL37" s="85"/>
      <c r="AM37" s="85"/>
      <c r="AN37" s="85"/>
    </row>
    <row r="38" spans="1:40" ht="14.25" customHeight="1" x14ac:dyDescent="0.2">
      <c r="A38" s="176"/>
      <c r="B38" s="176"/>
      <c r="C38" s="176"/>
      <c r="D38" s="176"/>
      <c r="E38" s="176"/>
      <c r="F38" s="176"/>
      <c r="G38" s="176"/>
      <c r="H38" s="176"/>
      <c r="I38" s="176"/>
      <c r="J38" s="176"/>
      <c r="K38" s="176"/>
      <c r="L38" s="176"/>
      <c r="M38" s="176"/>
      <c r="N38" s="176"/>
      <c r="O38" s="176"/>
      <c r="P38" s="176"/>
      <c r="Q38" s="176"/>
      <c r="R38" s="176"/>
      <c r="S38" s="14" t="s">
        <v>1031</v>
      </c>
      <c r="T38" s="85" t="s">
        <v>1034</v>
      </c>
      <c r="U38" s="85"/>
      <c r="V38" s="85"/>
      <c r="W38" s="85"/>
      <c r="X38" s="85"/>
      <c r="Y38" s="85"/>
      <c r="Z38" s="85"/>
      <c r="AA38" s="85"/>
      <c r="AB38" s="85"/>
      <c r="AC38" s="85"/>
      <c r="AD38" s="85"/>
      <c r="AE38" s="85"/>
      <c r="AF38" s="85"/>
      <c r="AG38" s="85"/>
      <c r="AH38" s="85"/>
      <c r="AI38" s="85"/>
      <c r="AJ38" s="85"/>
      <c r="AK38" s="85"/>
      <c r="AL38" s="85"/>
      <c r="AM38" s="85"/>
      <c r="AN38" s="85"/>
    </row>
    <row r="39" spans="1:40" ht="14.25" customHeight="1" x14ac:dyDescent="0.2">
      <c r="T39" s="84"/>
    </row>
    <row r="40" spans="1:40" ht="14.25" customHeight="1" x14ac:dyDescent="0.2">
      <c r="T40" s="84"/>
    </row>
    <row r="41" spans="1:40" ht="14.25" customHeight="1" x14ac:dyDescent="0.2">
      <c r="F41" s="28" t="s">
        <v>121</v>
      </c>
      <c r="G41" s="28" t="s">
        <v>128</v>
      </c>
      <c r="H41" s="28" t="s">
        <v>1557</v>
      </c>
      <c r="T41" s="84"/>
    </row>
    <row r="42" spans="1:40" ht="14.25" customHeight="1" x14ac:dyDescent="0.2">
      <c r="F42" s="41" t="s">
        <v>140</v>
      </c>
      <c r="G42" s="72">
        <f t="shared" ref="G42:G53" si="1">SUMIF($F$2:$F$38,F42,N$2:N$38)</f>
        <v>1219200</v>
      </c>
      <c r="H42" s="73">
        <f t="shared" ref="H42:H53" si="2">SUMIF($F$2:$F$38,F42,Q$2:Q$38)</f>
        <v>61.656720946697682</v>
      </c>
      <c r="T42" s="84"/>
    </row>
    <row r="43" spans="1:40" ht="14.25" customHeight="1" x14ac:dyDescent="0.2">
      <c r="F43" s="41" t="s">
        <v>156</v>
      </c>
      <c r="G43" s="72">
        <f t="shared" si="1"/>
        <v>75368</v>
      </c>
      <c r="H43" s="73">
        <f t="shared" si="2"/>
        <v>3.811469606554061</v>
      </c>
      <c r="T43" s="84"/>
    </row>
    <row r="44" spans="1:40" ht="14.25" customHeight="1" x14ac:dyDescent="0.2">
      <c r="F44" s="50" t="s">
        <v>7</v>
      </c>
      <c r="G44" s="72">
        <f t="shared" si="1"/>
        <v>34063.919999999998</v>
      </c>
      <c r="H44" s="73">
        <f t="shared" si="2"/>
        <v>1.7226620815211893</v>
      </c>
      <c r="T44" s="84"/>
    </row>
    <row r="45" spans="1:40" ht="14.25" customHeight="1" x14ac:dyDescent="0.2">
      <c r="F45" s="34" t="s">
        <v>9</v>
      </c>
      <c r="G45" s="72">
        <f t="shared" si="1"/>
        <v>15070</v>
      </c>
      <c r="H45" s="73">
        <f t="shared" si="2"/>
        <v>0.76211186406392228</v>
      </c>
      <c r="T45" s="84"/>
    </row>
    <row r="46" spans="1:40" ht="14.25" customHeight="1" x14ac:dyDescent="0.2">
      <c r="F46" s="123" t="s">
        <v>8</v>
      </c>
      <c r="G46" s="72">
        <f t="shared" si="1"/>
        <v>34920</v>
      </c>
      <c r="H46" s="73">
        <f t="shared" si="2"/>
        <v>1.7659552948315971</v>
      </c>
      <c r="T46" s="84"/>
    </row>
    <row r="47" spans="1:40" ht="14.25" customHeight="1" x14ac:dyDescent="0.2">
      <c r="F47" s="50" t="s">
        <v>399</v>
      </c>
      <c r="G47" s="72">
        <f t="shared" si="1"/>
        <v>1400000</v>
      </c>
      <c r="H47" s="73">
        <f t="shared" si="2"/>
        <v>70.800040457165977</v>
      </c>
      <c r="T47" s="84"/>
    </row>
    <row r="48" spans="1:40" ht="14.25" customHeight="1" x14ac:dyDescent="0.2">
      <c r="F48" s="34" t="s">
        <v>13</v>
      </c>
      <c r="G48" s="72">
        <f t="shared" si="1"/>
        <v>13079.329999999998</v>
      </c>
      <c r="H48" s="73">
        <f t="shared" si="2"/>
        <v>0.66144078082330326</v>
      </c>
      <c r="T48" s="84"/>
    </row>
    <row r="49" spans="6:20" ht="14.25" customHeight="1" x14ac:dyDescent="0.2">
      <c r="F49" s="50" t="s">
        <v>435</v>
      </c>
      <c r="G49" s="72">
        <f t="shared" si="1"/>
        <v>9052.0833333333321</v>
      </c>
      <c r="H49" s="73">
        <f t="shared" si="2"/>
        <v>0.4577770473011698</v>
      </c>
      <c r="T49" s="84"/>
    </row>
    <row r="50" spans="6:20" ht="14.25" customHeight="1" x14ac:dyDescent="0.2">
      <c r="F50" s="50" t="s">
        <v>19</v>
      </c>
      <c r="G50" s="72">
        <f t="shared" si="1"/>
        <v>467.5</v>
      </c>
      <c r="H50" s="73">
        <f t="shared" si="2"/>
        <v>2.3642156366946495E-2</v>
      </c>
      <c r="T50" s="84"/>
    </row>
    <row r="51" spans="6:20" ht="14.25" customHeight="1" x14ac:dyDescent="0.2">
      <c r="F51" s="50" t="s">
        <v>15</v>
      </c>
      <c r="G51" s="72">
        <f t="shared" si="1"/>
        <v>4422.55</v>
      </c>
      <c r="H51" s="73">
        <f t="shared" si="2"/>
        <v>0.22365479923131384</v>
      </c>
      <c r="T51" s="84"/>
    </row>
    <row r="52" spans="6:20" ht="14.25" customHeight="1" x14ac:dyDescent="0.2">
      <c r="F52" s="50" t="s">
        <v>10</v>
      </c>
      <c r="G52" s="72">
        <f t="shared" si="1"/>
        <v>12856.25</v>
      </c>
      <c r="H52" s="73">
        <f t="shared" si="2"/>
        <v>0.65015930009102862</v>
      </c>
      <c r="T52" s="84"/>
    </row>
    <row r="53" spans="6:20" ht="14.25" customHeight="1" x14ac:dyDescent="0.2">
      <c r="F53" s="50" t="s">
        <v>5</v>
      </c>
      <c r="G53" s="72">
        <f t="shared" si="1"/>
        <v>32089.200000000001</v>
      </c>
      <c r="H53" s="73">
        <f t="shared" si="2"/>
        <v>1.6227976130272075</v>
      </c>
      <c r="T53" s="84"/>
    </row>
    <row r="54" spans="6:20" ht="14.25" customHeight="1" x14ac:dyDescent="0.2">
      <c r="G54" s="75"/>
      <c r="H54" s="111"/>
      <c r="T54" s="84"/>
    </row>
    <row r="55" spans="6:20" ht="14.25" customHeight="1" x14ac:dyDescent="0.2">
      <c r="G55" s="75"/>
      <c r="T55" s="84"/>
    </row>
    <row r="56" spans="6:20" ht="14.25" customHeight="1" x14ac:dyDescent="0.2">
      <c r="F56" s="93" t="s">
        <v>631</v>
      </c>
      <c r="G56" s="28" t="s">
        <v>128</v>
      </c>
      <c r="H56" s="28" t="s">
        <v>1560</v>
      </c>
      <c r="T56" s="84"/>
    </row>
    <row r="57" spans="6:20" ht="14.25" customHeight="1" x14ac:dyDescent="0.2">
      <c r="F57" s="41" t="s">
        <v>140</v>
      </c>
      <c r="G57" s="72">
        <f t="shared" ref="G57:G63" si="3">SUMIF($E$2:$E$38,F57,$N$2:$N$38)</f>
        <v>2619200</v>
      </c>
      <c r="H57" s="73">
        <f t="shared" ref="H57:H63" si="4">SUMIF($E$2:$E$38,F57,Q$2:Q$38)</f>
        <v>132.45676140386365</v>
      </c>
      <c r="T57" s="84"/>
    </row>
    <row r="58" spans="6:20" ht="14.25" customHeight="1" x14ac:dyDescent="0.2">
      <c r="F58" s="41" t="s">
        <v>155</v>
      </c>
      <c r="G58" s="72">
        <f t="shared" si="3"/>
        <v>159421.91999999998</v>
      </c>
      <c r="H58" s="73">
        <f t="shared" si="4"/>
        <v>8.0621988469707695</v>
      </c>
      <c r="T58" s="84"/>
    </row>
    <row r="59" spans="6:20" ht="14.25" customHeight="1" x14ac:dyDescent="0.2">
      <c r="F59" s="34" t="s">
        <v>13</v>
      </c>
      <c r="G59" s="72">
        <f t="shared" si="3"/>
        <v>13079.329999999998</v>
      </c>
      <c r="H59" s="73">
        <f t="shared" si="4"/>
        <v>0.66144078082330326</v>
      </c>
      <c r="T59" s="84"/>
    </row>
    <row r="60" spans="6:20" ht="14.25" customHeight="1" x14ac:dyDescent="0.2">
      <c r="F60" s="50" t="s">
        <v>434</v>
      </c>
      <c r="G60" s="72">
        <f t="shared" si="3"/>
        <v>9052.0833333333321</v>
      </c>
      <c r="H60" s="73">
        <f t="shared" si="4"/>
        <v>0.4577770473011698</v>
      </c>
      <c r="T60" s="84"/>
    </row>
    <row r="61" spans="6:20" ht="14.25" customHeight="1" x14ac:dyDescent="0.2">
      <c r="F61" s="50" t="s">
        <v>287</v>
      </c>
      <c r="G61" s="72">
        <f t="shared" si="3"/>
        <v>13323.75</v>
      </c>
      <c r="H61" s="73">
        <f t="shared" si="4"/>
        <v>0.67380145645797507</v>
      </c>
      <c r="T61" s="84"/>
    </row>
    <row r="62" spans="6:20" ht="14.25" customHeight="1" x14ac:dyDescent="0.2">
      <c r="F62" s="50" t="s">
        <v>279</v>
      </c>
      <c r="G62" s="72">
        <f t="shared" si="3"/>
        <v>4422.55</v>
      </c>
      <c r="H62" s="73">
        <f t="shared" si="4"/>
        <v>0.22365479923131384</v>
      </c>
      <c r="T62" s="84"/>
    </row>
    <row r="63" spans="6:20" ht="14.25" customHeight="1" x14ac:dyDescent="0.2">
      <c r="F63" s="50" t="s">
        <v>92</v>
      </c>
      <c r="G63" s="72">
        <f t="shared" si="3"/>
        <v>32089.200000000001</v>
      </c>
      <c r="H63" s="73">
        <f t="shared" si="4"/>
        <v>1.6227976130272075</v>
      </c>
      <c r="T63" s="84"/>
    </row>
    <row r="64" spans="6:20" ht="14.25" customHeight="1" x14ac:dyDescent="0.2">
      <c r="T64" s="84"/>
    </row>
    <row r="65" spans="20:20" ht="14.25" customHeight="1" x14ac:dyDescent="0.2">
      <c r="T65" s="84"/>
    </row>
    <row r="66" spans="20:20" ht="14.25" customHeight="1" x14ac:dyDescent="0.2">
      <c r="T66" s="84"/>
    </row>
    <row r="67" spans="20:20" ht="14.25" customHeight="1" x14ac:dyDescent="0.2">
      <c r="T67" s="84"/>
    </row>
    <row r="68" spans="20:20" ht="14.25" customHeight="1" x14ac:dyDescent="0.2">
      <c r="T68" s="84"/>
    </row>
    <row r="69" spans="20:20" ht="14.25" customHeight="1" x14ac:dyDescent="0.2">
      <c r="T69" s="84"/>
    </row>
    <row r="70" spans="20:20" ht="14.25" customHeight="1" x14ac:dyDescent="0.2">
      <c r="T70" s="84"/>
    </row>
    <row r="71" spans="20:20" ht="14.25" customHeight="1" x14ac:dyDescent="0.2">
      <c r="T71" s="84"/>
    </row>
    <row r="72" spans="20:20" ht="14.25" customHeight="1" x14ac:dyDescent="0.2">
      <c r="T72" s="84"/>
    </row>
    <row r="73" spans="20:20" ht="14.25" customHeight="1" x14ac:dyDescent="0.2">
      <c r="T73" s="84"/>
    </row>
    <row r="74" spans="20:20" ht="14.25" customHeight="1" x14ac:dyDescent="0.2">
      <c r="T74" s="84"/>
    </row>
    <row r="75" spans="20:20" ht="14.25" customHeight="1" x14ac:dyDescent="0.2">
      <c r="T75" s="84"/>
    </row>
    <row r="76" spans="20:20" ht="14.25" customHeight="1" x14ac:dyDescent="0.2">
      <c r="T76" s="84"/>
    </row>
    <row r="77" spans="20:20" ht="14.25" customHeight="1" x14ac:dyDescent="0.2">
      <c r="T77" s="84"/>
    </row>
    <row r="78" spans="20:20" ht="14.25" customHeight="1" x14ac:dyDescent="0.2">
      <c r="T78" s="84"/>
    </row>
    <row r="79" spans="20:20" ht="14.25" customHeight="1" x14ac:dyDescent="0.2">
      <c r="T79" s="84"/>
    </row>
    <row r="80" spans="20:20" ht="14.25" customHeight="1" x14ac:dyDescent="0.2">
      <c r="T80" s="84"/>
    </row>
    <row r="81" spans="20:20" ht="14.25" customHeight="1" x14ac:dyDescent="0.2">
      <c r="T81" s="84"/>
    </row>
    <row r="82" spans="20:20" ht="14.25" customHeight="1" x14ac:dyDescent="0.2">
      <c r="T82" s="84"/>
    </row>
    <row r="83" spans="20:20" ht="14.25" customHeight="1" x14ac:dyDescent="0.2">
      <c r="T83" s="84"/>
    </row>
    <row r="84" spans="20:20" ht="14.25" customHeight="1" x14ac:dyDescent="0.2">
      <c r="T84" s="84"/>
    </row>
    <row r="85" spans="20:20" ht="14.25" customHeight="1" x14ac:dyDescent="0.2">
      <c r="T85" s="84"/>
    </row>
    <row r="86" spans="20:20" ht="14.25" customHeight="1" x14ac:dyDescent="0.2">
      <c r="T86" s="84"/>
    </row>
    <row r="87" spans="20:20" ht="14.25" customHeight="1" x14ac:dyDescent="0.2">
      <c r="T87" s="84"/>
    </row>
    <row r="88" spans="20:20" ht="14.25" customHeight="1" x14ac:dyDescent="0.2">
      <c r="T88" s="84"/>
    </row>
    <row r="89" spans="20:20" ht="14.25" customHeight="1" x14ac:dyDescent="0.2">
      <c r="T89" s="84"/>
    </row>
    <row r="90" spans="20:20" ht="14.25" customHeight="1" x14ac:dyDescent="0.2">
      <c r="T90" s="84"/>
    </row>
    <row r="91" spans="20:20" ht="14.25" customHeight="1" x14ac:dyDescent="0.2">
      <c r="T91" s="84"/>
    </row>
    <row r="92" spans="20:20" ht="14.25" customHeight="1" x14ac:dyDescent="0.2">
      <c r="T92" s="84"/>
    </row>
    <row r="93" spans="20:20" ht="14.25" customHeight="1" x14ac:dyDescent="0.2">
      <c r="T93" s="84"/>
    </row>
    <row r="94" spans="20:20" ht="14.25" customHeight="1" x14ac:dyDescent="0.2">
      <c r="T94" s="84"/>
    </row>
    <row r="95" spans="20:20" ht="14.25" customHeight="1" x14ac:dyDescent="0.2">
      <c r="T95" s="84"/>
    </row>
    <row r="96" spans="20:20" ht="14.25" customHeight="1" x14ac:dyDescent="0.2">
      <c r="T96" s="84"/>
    </row>
    <row r="97" spans="20:20" ht="14.25" customHeight="1" x14ac:dyDescent="0.2">
      <c r="T97" s="84"/>
    </row>
    <row r="98" spans="20:20" ht="14.25" customHeight="1" x14ac:dyDescent="0.2">
      <c r="T98" s="84"/>
    </row>
    <row r="99" spans="20:20" ht="14.25" customHeight="1" x14ac:dyDescent="0.2">
      <c r="T99" s="84"/>
    </row>
    <row r="100" spans="20:20" ht="14.25" customHeight="1" x14ac:dyDescent="0.2">
      <c r="T100" s="84"/>
    </row>
    <row r="101" spans="20:20" ht="14.25" customHeight="1" x14ac:dyDescent="0.2">
      <c r="T101" s="84"/>
    </row>
    <row r="102" spans="20:20" ht="14.25" customHeight="1" x14ac:dyDescent="0.2">
      <c r="T102" s="84"/>
    </row>
    <row r="103" spans="20:20" ht="14.25" customHeight="1" x14ac:dyDescent="0.2">
      <c r="T103" s="84"/>
    </row>
    <row r="104" spans="20:20" ht="14.25" customHeight="1" x14ac:dyDescent="0.2">
      <c r="T104" s="84"/>
    </row>
    <row r="105" spans="20:20" ht="14.25" customHeight="1" x14ac:dyDescent="0.2">
      <c r="T105" s="84"/>
    </row>
    <row r="106" spans="20:20" ht="14.25" customHeight="1" x14ac:dyDescent="0.2">
      <c r="T106" s="84"/>
    </row>
    <row r="107" spans="20:20" ht="14.25" customHeight="1" x14ac:dyDescent="0.2">
      <c r="T107" s="84"/>
    </row>
    <row r="108" spans="20:20" ht="14.25" customHeight="1" x14ac:dyDescent="0.2">
      <c r="T108" s="84"/>
    </row>
    <row r="109" spans="20:20" ht="14.25" customHeight="1" x14ac:dyDescent="0.2">
      <c r="T109" s="84"/>
    </row>
    <row r="110" spans="20:20" ht="14.25" customHeight="1" x14ac:dyDescent="0.2">
      <c r="T110" s="84"/>
    </row>
    <row r="111" spans="20:20" ht="14.25" customHeight="1" x14ac:dyDescent="0.2">
      <c r="T111" s="84"/>
    </row>
    <row r="112" spans="20:20" ht="14.25" customHeight="1" x14ac:dyDescent="0.2">
      <c r="T112" s="84"/>
    </row>
    <row r="113" spans="20:20" ht="14.25" customHeight="1" x14ac:dyDescent="0.2">
      <c r="T113" s="84"/>
    </row>
    <row r="114" spans="20:20" ht="14.25" customHeight="1" x14ac:dyDescent="0.2">
      <c r="T114" s="84"/>
    </row>
    <row r="115" spans="20:20" ht="14.25" customHeight="1" x14ac:dyDescent="0.2">
      <c r="T115" s="84"/>
    </row>
    <row r="116" spans="20:20" ht="14.25" customHeight="1" x14ac:dyDescent="0.2">
      <c r="T116" s="84"/>
    </row>
    <row r="117" spans="20:20" ht="14.25" customHeight="1" x14ac:dyDescent="0.2">
      <c r="T117" s="84"/>
    </row>
    <row r="118" spans="20:20" ht="14.25" customHeight="1" x14ac:dyDescent="0.2">
      <c r="T118" s="84"/>
    </row>
    <row r="119" spans="20:20" ht="14.25" customHeight="1" x14ac:dyDescent="0.2">
      <c r="T119" s="84"/>
    </row>
    <row r="120" spans="20:20" ht="14.25" customHeight="1" x14ac:dyDescent="0.2">
      <c r="T120" s="84"/>
    </row>
    <row r="121" spans="20:20" ht="14.25" customHeight="1" x14ac:dyDescent="0.2">
      <c r="T121" s="84"/>
    </row>
    <row r="122" spans="20:20" ht="14.25" customHeight="1" x14ac:dyDescent="0.2">
      <c r="T122" s="84"/>
    </row>
    <row r="123" spans="20:20" ht="14.25" customHeight="1" x14ac:dyDescent="0.2">
      <c r="T123" s="84"/>
    </row>
    <row r="124" spans="20:20" ht="14.25" customHeight="1" x14ac:dyDescent="0.2">
      <c r="T124" s="84"/>
    </row>
    <row r="125" spans="20:20" ht="14.25" customHeight="1" x14ac:dyDescent="0.2">
      <c r="T125" s="84"/>
    </row>
    <row r="126" spans="20:20" ht="14.25" customHeight="1" x14ac:dyDescent="0.2">
      <c r="T126" s="84"/>
    </row>
    <row r="127" spans="20:20" ht="14.25" customHeight="1" x14ac:dyDescent="0.2">
      <c r="T127" s="84"/>
    </row>
    <row r="128" spans="20:20" ht="14.25" customHeight="1" x14ac:dyDescent="0.2">
      <c r="T128" s="84"/>
    </row>
    <row r="129" spans="20:20" ht="14.25" customHeight="1" x14ac:dyDescent="0.2">
      <c r="T129" s="84"/>
    </row>
    <row r="130" spans="20:20" ht="14.25" customHeight="1" x14ac:dyDescent="0.2">
      <c r="T130" s="84"/>
    </row>
    <row r="131" spans="20:20" ht="14.25" customHeight="1" x14ac:dyDescent="0.2">
      <c r="T131" s="84"/>
    </row>
    <row r="132" spans="20:20" ht="14.25" customHeight="1" x14ac:dyDescent="0.2">
      <c r="T132" s="84"/>
    </row>
    <row r="133" spans="20:20" ht="14.25" customHeight="1" x14ac:dyDescent="0.2">
      <c r="T133" s="84"/>
    </row>
    <row r="134" spans="20:20" ht="14.25" customHeight="1" x14ac:dyDescent="0.2">
      <c r="T134" s="84"/>
    </row>
    <row r="135" spans="20:20" ht="14.25" customHeight="1" x14ac:dyDescent="0.2">
      <c r="T135" s="84"/>
    </row>
    <row r="136" spans="20:20" ht="14.25" customHeight="1" x14ac:dyDescent="0.2">
      <c r="T136" s="84"/>
    </row>
    <row r="137" spans="20:20" ht="14.25" customHeight="1" x14ac:dyDescent="0.2">
      <c r="T137" s="84"/>
    </row>
    <row r="138" spans="20:20" ht="14.25" customHeight="1" x14ac:dyDescent="0.2">
      <c r="T138" s="84"/>
    </row>
    <row r="139" spans="20:20" ht="14.25" customHeight="1" x14ac:dyDescent="0.2">
      <c r="T139" s="84"/>
    </row>
    <row r="140" spans="20:20" ht="14.25" customHeight="1" x14ac:dyDescent="0.2">
      <c r="T140" s="84"/>
    </row>
    <row r="141" spans="20:20" ht="14.25" customHeight="1" x14ac:dyDescent="0.2">
      <c r="T141" s="84"/>
    </row>
    <row r="142" spans="20:20" ht="14.25" customHeight="1" x14ac:dyDescent="0.2">
      <c r="T142" s="84"/>
    </row>
    <row r="143" spans="20:20" ht="14.25" customHeight="1" x14ac:dyDescent="0.2">
      <c r="T143" s="84"/>
    </row>
    <row r="144" spans="20:20" ht="14.25" customHeight="1" x14ac:dyDescent="0.2">
      <c r="T144" s="84"/>
    </row>
    <row r="145" spans="20:20" ht="14.25" customHeight="1" x14ac:dyDescent="0.2">
      <c r="T145" s="84"/>
    </row>
    <row r="146" spans="20:20" ht="14.25" customHeight="1" x14ac:dyDescent="0.2">
      <c r="T146" s="84"/>
    </row>
    <row r="147" spans="20:20" ht="14.25" customHeight="1" x14ac:dyDescent="0.2">
      <c r="T147" s="84"/>
    </row>
    <row r="148" spans="20:20" ht="14.25" customHeight="1" x14ac:dyDescent="0.2">
      <c r="T148" s="84"/>
    </row>
    <row r="149" spans="20:20" ht="14.25" customHeight="1" x14ac:dyDescent="0.2">
      <c r="T149" s="84"/>
    </row>
    <row r="150" spans="20:20" ht="14.25" customHeight="1" x14ac:dyDescent="0.2">
      <c r="T150" s="84"/>
    </row>
    <row r="151" spans="20:20" ht="14.25" customHeight="1" x14ac:dyDescent="0.2">
      <c r="T151" s="84"/>
    </row>
    <row r="152" spans="20:20" ht="14.25" customHeight="1" x14ac:dyDescent="0.2">
      <c r="T152" s="84"/>
    </row>
    <row r="153" spans="20:20" ht="14.25" customHeight="1" x14ac:dyDescent="0.2">
      <c r="T153" s="84"/>
    </row>
    <row r="154" spans="20:20" ht="14.25" customHeight="1" x14ac:dyDescent="0.2">
      <c r="T154" s="84"/>
    </row>
    <row r="155" spans="20:20" ht="14.25" customHeight="1" x14ac:dyDescent="0.2">
      <c r="T155" s="84"/>
    </row>
    <row r="156" spans="20:20" ht="14.25" customHeight="1" x14ac:dyDescent="0.2">
      <c r="T156" s="84"/>
    </row>
    <row r="157" spans="20:20" ht="14.25" customHeight="1" x14ac:dyDescent="0.2">
      <c r="T157" s="84"/>
    </row>
    <row r="158" spans="20:20" ht="14.25" customHeight="1" x14ac:dyDescent="0.2">
      <c r="T158" s="84"/>
    </row>
    <row r="159" spans="20:20" ht="14.25" customHeight="1" x14ac:dyDescent="0.2">
      <c r="T159" s="84"/>
    </row>
    <row r="160" spans="20:20" ht="14.25" customHeight="1" x14ac:dyDescent="0.2">
      <c r="T160" s="84"/>
    </row>
    <row r="161" spans="20:20" ht="14.25" customHeight="1" x14ac:dyDescent="0.2">
      <c r="T161" s="84"/>
    </row>
    <row r="162" spans="20:20" ht="14.25" customHeight="1" x14ac:dyDescent="0.2">
      <c r="T162" s="84"/>
    </row>
    <row r="163" spans="20:20" ht="14.25" customHeight="1" x14ac:dyDescent="0.2">
      <c r="T163" s="84"/>
    </row>
    <row r="164" spans="20:20" ht="14.25" customHeight="1" x14ac:dyDescent="0.2">
      <c r="T164" s="84"/>
    </row>
    <row r="165" spans="20:20" ht="14.25" customHeight="1" x14ac:dyDescent="0.2">
      <c r="T165" s="84"/>
    </row>
    <row r="166" spans="20:20" ht="14.25" customHeight="1" x14ac:dyDescent="0.2">
      <c r="T166" s="84"/>
    </row>
    <row r="167" spans="20:20" ht="14.25" customHeight="1" x14ac:dyDescent="0.2">
      <c r="T167" s="84"/>
    </row>
    <row r="168" spans="20:20" ht="14.25" customHeight="1" x14ac:dyDescent="0.2">
      <c r="T168" s="84"/>
    </row>
    <row r="169" spans="20:20" ht="14.25" customHeight="1" x14ac:dyDescent="0.2">
      <c r="T169" s="84"/>
    </row>
    <row r="170" spans="20:20" ht="14.25" customHeight="1" x14ac:dyDescent="0.2">
      <c r="T170" s="84"/>
    </row>
    <row r="171" spans="20:20" ht="14.25" customHeight="1" x14ac:dyDescent="0.2">
      <c r="T171" s="84"/>
    </row>
    <row r="172" spans="20:20" ht="14.25" customHeight="1" x14ac:dyDescent="0.2">
      <c r="T172" s="84"/>
    </row>
    <row r="173" spans="20:20" ht="14.25" customHeight="1" x14ac:dyDescent="0.2">
      <c r="T173" s="84"/>
    </row>
    <row r="174" spans="20:20" ht="14.25" customHeight="1" x14ac:dyDescent="0.2">
      <c r="T174" s="84"/>
    </row>
    <row r="175" spans="20:20" ht="14.25" customHeight="1" x14ac:dyDescent="0.2">
      <c r="T175" s="84"/>
    </row>
    <row r="176" spans="20:20" ht="14.25" customHeight="1" x14ac:dyDescent="0.2">
      <c r="T176" s="84"/>
    </row>
    <row r="177" spans="20:20" ht="14.25" customHeight="1" x14ac:dyDescent="0.2">
      <c r="T177" s="84"/>
    </row>
    <row r="178" spans="20:20" ht="14.25" customHeight="1" x14ac:dyDescent="0.2">
      <c r="T178" s="84"/>
    </row>
    <row r="179" spans="20:20" ht="14.25" customHeight="1" x14ac:dyDescent="0.2">
      <c r="T179" s="84"/>
    </row>
    <row r="180" spans="20:20" ht="14.25" customHeight="1" x14ac:dyDescent="0.2">
      <c r="T180" s="84"/>
    </row>
    <row r="181" spans="20:20" ht="14.25" customHeight="1" x14ac:dyDescent="0.2">
      <c r="T181" s="84"/>
    </row>
    <row r="182" spans="20:20" ht="14.25" customHeight="1" x14ac:dyDescent="0.2">
      <c r="T182" s="84"/>
    </row>
    <row r="183" spans="20:20" ht="14.25" customHeight="1" x14ac:dyDescent="0.2">
      <c r="T183" s="84"/>
    </row>
    <row r="184" spans="20:20" ht="14.25" customHeight="1" x14ac:dyDescent="0.2">
      <c r="T184" s="84"/>
    </row>
    <row r="185" spans="20:20" ht="14.25" customHeight="1" x14ac:dyDescent="0.2">
      <c r="T185" s="84"/>
    </row>
    <row r="186" spans="20:20" ht="14.25" customHeight="1" x14ac:dyDescent="0.2">
      <c r="T186" s="84"/>
    </row>
    <row r="187" spans="20:20" ht="14.25" customHeight="1" x14ac:dyDescent="0.2">
      <c r="T187" s="84"/>
    </row>
    <row r="188" spans="20:20" ht="14.25" customHeight="1" x14ac:dyDescent="0.2">
      <c r="T188" s="84"/>
    </row>
    <row r="189" spans="20:20" ht="14.25" customHeight="1" x14ac:dyDescent="0.2">
      <c r="T189" s="84"/>
    </row>
    <row r="190" spans="20:20" ht="14.25" customHeight="1" x14ac:dyDescent="0.2">
      <c r="T190" s="84"/>
    </row>
    <row r="191" spans="20:20" ht="14.25" customHeight="1" x14ac:dyDescent="0.2">
      <c r="T191" s="84"/>
    </row>
    <row r="192" spans="20:20" ht="14.25" customHeight="1" x14ac:dyDescent="0.2">
      <c r="T192" s="84"/>
    </row>
    <row r="193" spans="20:20" ht="14.25" customHeight="1" x14ac:dyDescent="0.2">
      <c r="T193" s="84"/>
    </row>
    <row r="194" spans="20:20" ht="14.25" customHeight="1" x14ac:dyDescent="0.2">
      <c r="T194" s="84"/>
    </row>
    <row r="195" spans="20:20" ht="14.25" customHeight="1" x14ac:dyDescent="0.2">
      <c r="T195" s="84"/>
    </row>
    <row r="196" spans="20:20" ht="14.25" customHeight="1" x14ac:dyDescent="0.2">
      <c r="T196" s="84"/>
    </row>
    <row r="197" spans="20:20" ht="14.25" customHeight="1" x14ac:dyDescent="0.2">
      <c r="T197" s="84"/>
    </row>
    <row r="198" spans="20:20" ht="14.25" customHeight="1" x14ac:dyDescent="0.2">
      <c r="T198" s="84"/>
    </row>
    <row r="199" spans="20:20" ht="14.25" customHeight="1" x14ac:dyDescent="0.2">
      <c r="T199" s="84"/>
    </row>
    <row r="200" spans="20:20" ht="14.25" customHeight="1" x14ac:dyDescent="0.2">
      <c r="T200" s="84"/>
    </row>
    <row r="201" spans="20:20" ht="14.25" customHeight="1" x14ac:dyDescent="0.2">
      <c r="T201" s="84"/>
    </row>
    <row r="202" spans="20:20" ht="14.25" customHeight="1" x14ac:dyDescent="0.2">
      <c r="T202" s="84"/>
    </row>
    <row r="203" spans="20:20" ht="14.25" customHeight="1" x14ac:dyDescent="0.2">
      <c r="T203" s="84"/>
    </row>
    <row r="204" spans="20:20" ht="14.25" customHeight="1" x14ac:dyDescent="0.2">
      <c r="T204" s="84"/>
    </row>
    <row r="205" spans="20:20" ht="14.25" customHeight="1" x14ac:dyDescent="0.2">
      <c r="T205" s="84"/>
    </row>
    <row r="206" spans="20:20" ht="14.25" customHeight="1" x14ac:dyDescent="0.2">
      <c r="T206" s="84"/>
    </row>
    <row r="207" spans="20:20" ht="14.25" customHeight="1" x14ac:dyDescent="0.2">
      <c r="T207" s="84"/>
    </row>
    <row r="208" spans="20:20" ht="14.25" customHeight="1" x14ac:dyDescent="0.2">
      <c r="T208" s="84"/>
    </row>
    <row r="209" spans="20:20" ht="14.25" customHeight="1" x14ac:dyDescent="0.2">
      <c r="T209" s="84"/>
    </row>
    <row r="210" spans="20:20" ht="14.25" customHeight="1" x14ac:dyDescent="0.2">
      <c r="T210" s="84"/>
    </row>
    <row r="211" spans="20:20" ht="14.25" customHeight="1" x14ac:dyDescent="0.2">
      <c r="T211" s="84"/>
    </row>
    <row r="212" spans="20:20" ht="14.25" customHeight="1" x14ac:dyDescent="0.2">
      <c r="T212" s="84"/>
    </row>
    <row r="213" spans="20:20" ht="14.25" customHeight="1" x14ac:dyDescent="0.2">
      <c r="T213" s="84"/>
    </row>
    <row r="214" spans="20:20" ht="14.25" customHeight="1" x14ac:dyDescent="0.2">
      <c r="T214" s="84"/>
    </row>
    <row r="215" spans="20:20" ht="14.25" customHeight="1" x14ac:dyDescent="0.2">
      <c r="T215" s="84"/>
    </row>
    <row r="216" spans="20:20" ht="14.25" customHeight="1" x14ac:dyDescent="0.2">
      <c r="T216" s="84"/>
    </row>
    <row r="217" spans="20:20" ht="14.25" customHeight="1" x14ac:dyDescent="0.2">
      <c r="T217" s="84"/>
    </row>
    <row r="218" spans="20:20" ht="14.25" customHeight="1" x14ac:dyDescent="0.2">
      <c r="T218" s="84"/>
    </row>
    <row r="219" spans="20:20" ht="14.25" customHeight="1" x14ac:dyDescent="0.2">
      <c r="T219" s="84"/>
    </row>
    <row r="220" spans="20:20" ht="14.25" customHeight="1" x14ac:dyDescent="0.2">
      <c r="T220" s="84"/>
    </row>
    <row r="221" spans="20:20" ht="14.25" customHeight="1" x14ac:dyDescent="0.2">
      <c r="T221" s="84"/>
    </row>
    <row r="222" spans="20:20" ht="14.25" customHeight="1" x14ac:dyDescent="0.2">
      <c r="T222" s="84"/>
    </row>
    <row r="223" spans="20:20" ht="14.25" customHeight="1" x14ac:dyDescent="0.2">
      <c r="T223" s="84"/>
    </row>
    <row r="224" spans="20:20" ht="14.25" customHeight="1" x14ac:dyDescent="0.2">
      <c r="T224" s="84"/>
    </row>
    <row r="225" spans="20:20" ht="14.25" customHeight="1" x14ac:dyDescent="0.2">
      <c r="T225" s="84"/>
    </row>
    <row r="226" spans="20:20" ht="14.25" customHeight="1" x14ac:dyDescent="0.2">
      <c r="T226" s="84"/>
    </row>
    <row r="227" spans="20:20" ht="14.25" customHeight="1" x14ac:dyDescent="0.2">
      <c r="T227" s="84"/>
    </row>
    <row r="228" spans="20:20" ht="14.25" customHeight="1" x14ac:dyDescent="0.2">
      <c r="T228" s="84"/>
    </row>
    <row r="229" spans="20:20" ht="14.25" customHeight="1" x14ac:dyDescent="0.2">
      <c r="T229" s="84"/>
    </row>
    <row r="230" spans="20:20" ht="14.25" customHeight="1" x14ac:dyDescent="0.2">
      <c r="T230" s="84"/>
    </row>
    <row r="231" spans="20:20" ht="14.25" customHeight="1" x14ac:dyDescent="0.2">
      <c r="T231" s="84"/>
    </row>
    <row r="232" spans="20:20" ht="14.25" customHeight="1" x14ac:dyDescent="0.2">
      <c r="T232" s="84"/>
    </row>
    <row r="233" spans="20:20" ht="14.25" customHeight="1" x14ac:dyDescent="0.2">
      <c r="T233" s="84"/>
    </row>
    <row r="234" spans="20:20" ht="14.25" customHeight="1" x14ac:dyDescent="0.2">
      <c r="T234" s="84"/>
    </row>
    <row r="235" spans="20:20" ht="14.25" customHeight="1" x14ac:dyDescent="0.2">
      <c r="T235" s="84"/>
    </row>
    <row r="236" spans="20:20" ht="14.25" customHeight="1" x14ac:dyDescent="0.2">
      <c r="T236" s="84"/>
    </row>
    <row r="237" spans="20:20" ht="14.25" customHeight="1" x14ac:dyDescent="0.2">
      <c r="T237" s="84"/>
    </row>
    <row r="238" spans="20:20" ht="14.25" customHeight="1" x14ac:dyDescent="0.2">
      <c r="T238" s="84"/>
    </row>
    <row r="239" spans="20:20" ht="14.25" customHeight="1" x14ac:dyDescent="0.2">
      <c r="T239" s="84"/>
    </row>
    <row r="240" spans="20:20" ht="14.25" customHeight="1" x14ac:dyDescent="0.2">
      <c r="T240" s="84"/>
    </row>
    <row r="241" spans="20:20" ht="14.25" customHeight="1" x14ac:dyDescent="0.2">
      <c r="T241" s="84"/>
    </row>
    <row r="242" spans="20:20" ht="14.25" customHeight="1" x14ac:dyDescent="0.2">
      <c r="T242" s="84"/>
    </row>
    <row r="243" spans="20:20" ht="14.25" customHeight="1" x14ac:dyDescent="0.2">
      <c r="T243" s="84"/>
    </row>
    <row r="244" spans="20:20" ht="14.25" customHeight="1" x14ac:dyDescent="0.2">
      <c r="T244" s="84"/>
    </row>
    <row r="245" spans="20:20" ht="14.25" customHeight="1" x14ac:dyDescent="0.2">
      <c r="T245" s="84"/>
    </row>
    <row r="246" spans="20:20" ht="14.25" customHeight="1" x14ac:dyDescent="0.2">
      <c r="T246" s="84"/>
    </row>
    <row r="247" spans="20:20" ht="14.25" customHeight="1" x14ac:dyDescent="0.2">
      <c r="T247" s="84"/>
    </row>
    <row r="248" spans="20:20" ht="14.25" customHeight="1" x14ac:dyDescent="0.2">
      <c r="T248" s="84"/>
    </row>
    <row r="249" spans="20:20" ht="14.25" customHeight="1" x14ac:dyDescent="0.2">
      <c r="T249" s="84"/>
    </row>
    <row r="250" spans="20:20" ht="14.25" customHeight="1" x14ac:dyDescent="0.2">
      <c r="T250" s="84"/>
    </row>
    <row r="251" spans="20:20" ht="14.25" customHeight="1" x14ac:dyDescent="0.2">
      <c r="T251" s="84"/>
    </row>
    <row r="252" spans="20:20" ht="14.25" customHeight="1" x14ac:dyDescent="0.2">
      <c r="T252" s="84"/>
    </row>
    <row r="253" spans="20:20" ht="14.25" customHeight="1" x14ac:dyDescent="0.2">
      <c r="T253" s="84"/>
    </row>
    <row r="254" spans="20:20" ht="14.25" customHeight="1" x14ac:dyDescent="0.2">
      <c r="T254" s="84"/>
    </row>
    <row r="255" spans="20:20" ht="14.25" customHeight="1" x14ac:dyDescent="0.2">
      <c r="T255" s="84"/>
    </row>
    <row r="256" spans="20:20" ht="14.25" customHeight="1" x14ac:dyDescent="0.2">
      <c r="T256" s="84"/>
    </row>
    <row r="257" spans="20:20" ht="14.25" customHeight="1" x14ac:dyDescent="0.2">
      <c r="T257" s="84"/>
    </row>
    <row r="258" spans="20:20" ht="14.25" customHeight="1" x14ac:dyDescent="0.2">
      <c r="T258" s="84"/>
    </row>
    <row r="259" spans="20:20" ht="14.25" customHeight="1" x14ac:dyDescent="0.2">
      <c r="T259" s="84"/>
    </row>
    <row r="260" spans="20:20" ht="14.25" customHeight="1" x14ac:dyDescent="0.2">
      <c r="T260" s="84"/>
    </row>
    <row r="261" spans="20:20" ht="14.25" customHeight="1" x14ac:dyDescent="0.2">
      <c r="T261" s="84"/>
    </row>
    <row r="262" spans="20:20" ht="14.25" customHeight="1" x14ac:dyDescent="0.2">
      <c r="T262" s="84"/>
    </row>
    <row r="263" spans="20:20" ht="14.25" customHeight="1" x14ac:dyDescent="0.2">
      <c r="T263" s="84"/>
    </row>
    <row r="264" spans="20:20" ht="14.25" customHeight="1" x14ac:dyDescent="0.2">
      <c r="T264" s="84"/>
    </row>
    <row r="265" spans="20:20" ht="14.25" customHeight="1" x14ac:dyDescent="0.2">
      <c r="T265" s="84"/>
    </row>
    <row r="266" spans="20:20" ht="14.25" customHeight="1" x14ac:dyDescent="0.2">
      <c r="T266" s="84"/>
    </row>
    <row r="267" spans="20:20" ht="14.25" customHeight="1" x14ac:dyDescent="0.2">
      <c r="T267" s="84"/>
    </row>
    <row r="268" spans="20:20" ht="14.25" customHeight="1" x14ac:dyDescent="0.2">
      <c r="T268" s="84"/>
    </row>
    <row r="269" spans="20:20" ht="14.25" customHeight="1" x14ac:dyDescent="0.2">
      <c r="T269" s="84"/>
    </row>
    <row r="270" spans="20:20" ht="14.25" customHeight="1" x14ac:dyDescent="0.2">
      <c r="T270" s="84"/>
    </row>
    <row r="271" spans="20:20" ht="14.25" customHeight="1" x14ac:dyDescent="0.2">
      <c r="T271" s="84"/>
    </row>
    <row r="272" spans="20:20" ht="14.25" customHeight="1" x14ac:dyDescent="0.2">
      <c r="T272" s="84"/>
    </row>
    <row r="273" spans="20:20" ht="14.25" customHeight="1" x14ac:dyDescent="0.2">
      <c r="T273" s="84"/>
    </row>
    <row r="274" spans="20:20" ht="14.25" customHeight="1" x14ac:dyDescent="0.2">
      <c r="T274" s="84"/>
    </row>
    <row r="275" spans="20:20" ht="14.25" customHeight="1" x14ac:dyDescent="0.2">
      <c r="T275" s="84"/>
    </row>
    <row r="276" spans="20:20" ht="14.25" customHeight="1" x14ac:dyDescent="0.2">
      <c r="T276" s="84"/>
    </row>
    <row r="277" spans="20:20" ht="14.25" customHeight="1" x14ac:dyDescent="0.2">
      <c r="T277" s="84"/>
    </row>
    <row r="278" spans="20:20" ht="14.25" customHeight="1" x14ac:dyDescent="0.2">
      <c r="T278" s="84"/>
    </row>
    <row r="279" spans="20:20" ht="14.25" customHeight="1" x14ac:dyDescent="0.2">
      <c r="T279" s="84"/>
    </row>
    <row r="280" spans="20:20" ht="14.25" customHeight="1" x14ac:dyDescent="0.2">
      <c r="T280" s="84"/>
    </row>
    <row r="281" spans="20:20" ht="14.25" customHeight="1" x14ac:dyDescent="0.2">
      <c r="T281" s="84"/>
    </row>
    <row r="282" spans="20:20" ht="14.25" customHeight="1" x14ac:dyDescent="0.2">
      <c r="T282" s="84"/>
    </row>
    <row r="283" spans="20:20" ht="14.25" customHeight="1" x14ac:dyDescent="0.2">
      <c r="T283" s="84"/>
    </row>
    <row r="284" spans="20:20" ht="14.25" customHeight="1" x14ac:dyDescent="0.2">
      <c r="T284" s="84"/>
    </row>
    <row r="285" spans="20:20" ht="14.25" customHeight="1" x14ac:dyDescent="0.2">
      <c r="T285" s="84"/>
    </row>
    <row r="286" spans="20:20" ht="14.25" customHeight="1" x14ac:dyDescent="0.2">
      <c r="T286" s="84"/>
    </row>
    <row r="287" spans="20:20" ht="14.25" customHeight="1" x14ac:dyDescent="0.2">
      <c r="T287" s="84"/>
    </row>
    <row r="288" spans="20:20" ht="14.25" customHeight="1" x14ac:dyDescent="0.2">
      <c r="T288" s="84"/>
    </row>
    <row r="289" spans="20:20" ht="14.25" customHeight="1" x14ac:dyDescent="0.2">
      <c r="T289" s="84"/>
    </row>
    <row r="290" spans="20:20" ht="14.25" customHeight="1" x14ac:dyDescent="0.2">
      <c r="T290" s="84"/>
    </row>
    <row r="291" spans="20:20" ht="14.25" customHeight="1" x14ac:dyDescent="0.2">
      <c r="T291" s="84"/>
    </row>
    <row r="292" spans="20:20" ht="14.25" customHeight="1" x14ac:dyDescent="0.2">
      <c r="T292" s="84"/>
    </row>
    <row r="293" spans="20:20" ht="14.25" customHeight="1" x14ac:dyDescent="0.2">
      <c r="T293" s="84"/>
    </row>
    <row r="294" spans="20:20" ht="14.25" customHeight="1" x14ac:dyDescent="0.2">
      <c r="T294" s="84"/>
    </row>
    <row r="295" spans="20:20" ht="14.25" customHeight="1" x14ac:dyDescent="0.2">
      <c r="T295" s="84"/>
    </row>
    <row r="296" spans="20:20" ht="14.25" customHeight="1" x14ac:dyDescent="0.2">
      <c r="T296" s="84"/>
    </row>
    <row r="297" spans="20:20" ht="14.25" customHeight="1" x14ac:dyDescent="0.2">
      <c r="T297" s="84"/>
    </row>
    <row r="298" spans="20:20" ht="14.25" customHeight="1" x14ac:dyDescent="0.2">
      <c r="T298" s="84"/>
    </row>
    <row r="299" spans="20:20" ht="14.25" customHeight="1" x14ac:dyDescent="0.2">
      <c r="T299" s="84"/>
    </row>
    <row r="300" spans="20:20" ht="14.25" customHeight="1" x14ac:dyDescent="0.2">
      <c r="T300" s="84"/>
    </row>
    <row r="301" spans="20:20" ht="14.25" customHeight="1" x14ac:dyDescent="0.2">
      <c r="T301" s="84"/>
    </row>
    <row r="302" spans="20:20" ht="14.25" customHeight="1" x14ac:dyDescent="0.2">
      <c r="T302" s="84"/>
    </row>
    <row r="303" spans="20:20" ht="14.25" customHeight="1" x14ac:dyDescent="0.2">
      <c r="T303" s="84"/>
    </row>
    <row r="304" spans="20:20" ht="14.25" customHeight="1" x14ac:dyDescent="0.2">
      <c r="T304" s="84"/>
    </row>
    <row r="305" spans="20:20" ht="14.25" customHeight="1" x14ac:dyDescent="0.2">
      <c r="T305" s="84"/>
    </row>
    <row r="306" spans="20:20" ht="14.25" customHeight="1" x14ac:dyDescent="0.2">
      <c r="T306" s="84"/>
    </row>
    <row r="307" spans="20:20" ht="14.25" customHeight="1" x14ac:dyDescent="0.2">
      <c r="T307" s="84"/>
    </row>
    <row r="308" spans="20:20" ht="14.25" customHeight="1" x14ac:dyDescent="0.2">
      <c r="T308" s="84"/>
    </row>
    <row r="309" spans="20:20" ht="14.25" customHeight="1" x14ac:dyDescent="0.2">
      <c r="T309" s="84"/>
    </row>
    <row r="310" spans="20:20" ht="14.25" customHeight="1" x14ac:dyDescent="0.2">
      <c r="T310" s="84"/>
    </row>
    <row r="311" spans="20:20" ht="14.25" customHeight="1" x14ac:dyDescent="0.2">
      <c r="T311" s="84"/>
    </row>
    <row r="312" spans="20:20" ht="14.25" customHeight="1" x14ac:dyDescent="0.2">
      <c r="T312" s="84"/>
    </row>
    <row r="313" spans="20:20" ht="14.25" customHeight="1" x14ac:dyDescent="0.2">
      <c r="T313" s="84"/>
    </row>
    <row r="314" spans="20:20" ht="14.25" customHeight="1" x14ac:dyDescent="0.2">
      <c r="T314" s="84"/>
    </row>
    <row r="315" spans="20:20" ht="14.25" customHeight="1" x14ac:dyDescent="0.2">
      <c r="T315" s="84"/>
    </row>
    <row r="316" spans="20:20" ht="14.25" customHeight="1" x14ac:dyDescent="0.2">
      <c r="T316" s="84"/>
    </row>
    <row r="317" spans="20:20" ht="14.25" customHeight="1" x14ac:dyDescent="0.2">
      <c r="T317" s="84"/>
    </row>
    <row r="318" spans="20:20" ht="14.25" customHeight="1" x14ac:dyDescent="0.2">
      <c r="T318" s="84"/>
    </row>
    <row r="319" spans="20:20" ht="14.25" customHeight="1" x14ac:dyDescent="0.2">
      <c r="T319" s="84"/>
    </row>
    <row r="320" spans="20:20" ht="14.25" customHeight="1" x14ac:dyDescent="0.2">
      <c r="T320" s="84"/>
    </row>
    <row r="321" spans="20:20" ht="14.25" customHeight="1" x14ac:dyDescent="0.2">
      <c r="T321" s="84"/>
    </row>
    <row r="322" spans="20:20" ht="14.25" customHeight="1" x14ac:dyDescent="0.2">
      <c r="T322" s="84"/>
    </row>
    <row r="323" spans="20:20" ht="14.25" customHeight="1" x14ac:dyDescent="0.2">
      <c r="T323" s="84"/>
    </row>
    <row r="324" spans="20:20" ht="14.25" customHeight="1" x14ac:dyDescent="0.2">
      <c r="T324" s="84"/>
    </row>
    <row r="325" spans="20:20" ht="14.25" customHeight="1" x14ac:dyDescent="0.2">
      <c r="T325" s="84"/>
    </row>
    <row r="326" spans="20:20" ht="14.25" customHeight="1" x14ac:dyDescent="0.2">
      <c r="T326" s="84"/>
    </row>
    <row r="327" spans="20:20" ht="14.25" customHeight="1" x14ac:dyDescent="0.2">
      <c r="T327" s="84"/>
    </row>
    <row r="328" spans="20:20" ht="14.25" customHeight="1" x14ac:dyDescent="0.2">
      <c r="T328" s="84"/>
    </row>
    <row r="329" spans="20:20" ht="14.25" customHeight="1" x14ac:dyDescent="0.2">
      <c r="T329" s="84"/>
    </row>
    <row r="330" spans="20:20" ht="14.25" customHeight="1" x14ac:dyDescent="0.2">
      <c r="T330" s="84"/>
    </row>
    <row r="331" spans="20:20" ht="14.25" customHeight="1" x14ac:dyDescent="0.2">
      <c r="T331" s="84"/>
    </row>
    <row r="332" spans="20:20" ht="14.25" customHeight="1" x14ac:dyDescent="0.2">
      <c r="T332" s="84"/>
    </row>
    <row r="333" spans="20:20" ht="14.25" customHeight="1" x14ac:dyDescent="0.2">
      <c r="T333" s="84"/>
    </row>
    <row r="334" spans="20:20" ht="14.25" customHeight="1" x14ac:dyDescent="0.2">
      <c r="T334" s="84"/>
    </row>
    <row r="335" spans="20:20" ht="14.25" customHeight="1" x14ac:dyDescent="0.2">
      <c r="T335" s="84"/>
    </row>
    <row r="336" spans="20:20" ht="14.25" customHeight="1" x14ac:dyDescent="0.2">
      <c r="T336" s="84"/>
    </row>
    <row r="337" spans="20:20" ht="14.25" customHeight="1" x14ac:dyDescent="0.2">
      <c r="T337" s="84"/>
    </row>
    <row r="338" spans="20:20" ht="14.25" customHeight="1" x14ac:dyDescent="0.2">
      <c r="T338" s="84"/>
    </row>
    <row r="339" spans="20:20" ht="14.25" customHeight="1" x14ac:dyDescent="0.2">
      <c r="T339" s="84"/>
    </row>
    <row r="340" spans="20:20" ht="14.25" customHeight="1" x14ac:dyDescent="0.2">
      <c r="T340" s="84"/>
    </row>
    <row r="341" spans="20:20" ht="14.25" customHeight="1" x14ac:dyDescent="0.2">
      <c r="T341" s="84"/>
    </row>
    <row r="342" spans="20:20" ht="14.25" customHeight="1" x14ac:dyDescent="0.2">
      <c r="T342" s="84"/>
    </row>
    <row r="343" spans="20:20" ht="14.25" customHeight="1" x14ac:dyDescent="0.2">
      <c r="T343" s="84"/>
    </row>
    <row r="344" spans="20:20" ht="14.25" customHeight="1" x14ac:dyDescent="0.2">
      <c r="T344" s="84"/>
    </row>
    <row r="345" spans="20:20" ht="14.25" customHeight="1" x14ac:dyDescent="0.2">
      <c r="T345" s="84"/>
    </row>
    <row r="346" spans="20:20" ht="14.25" customHeight="1" x14ac:dyDescent="0.2">
      <c r="T346" s="84"/>
    </row>
    <row r="347" spans="20:20" ht="14.25" customHeight="1" x14ac:dyDescent="0.2">
      <c r="T347" s="84"/>
    </row>
    <row r="348" spans="20:20" ht="14.25" customHeight="1" x14ac:dyDescent="0.2">
      <c r="T348" s="84"/>
    </row>
    <row r="349" spans="20:20" ht="14.25" customHeight="1" x14ac:dyDescent="0.2">
      <c r="T349" s="84"/>
    </row>
    <row r="350" spans="20:20" ht="14.25" customHeight="1" x14ac:dyDescent="0.2">
      <c r="T350" s="84"/>
    </row>
    <row r="351" spans="20:20" ht="14.25" customHeight="1" x14ac:dyDescent="0.2">
      <c r="T351" s="84"/>
    </row>
    <row r="352" spans="20:20" ht="14.25" customHeight="1" x14ac:dyDescent="0.2">
      <c r="T352" s="84"/>
    </row>
    <row r="353" spans="20:20" ht="14.25" customHeight="1" x14ac:dyDescent="0.2">
      <c r="T353" s="84"/>
    </row>
    <row r="354" spans="20:20" ht="14.25" customHeight="1" x14ac:dyDescent="0.2">
      <c r="T354" s="84"/>
    </row>
    <row r="355" spans="20:20" ht="14.25" customHeight="1" x14ac:dyDescent="0.2">
      <c r="T355" s="84"/>
    </row>
    <row r="356" spans="20:20" ht="14.25" customHeight="1" x14ac:dyDescent="0.2">
      <c r="T356" s="84"/>
    </row>
    <row r="357" spans="20:20" ht="14.25" customHeight="1" x14ac:dyDescent="0.2">
      <c r="T357" s="84"/>
    </row>
    <row r="358" spans="20:20" ht="14.25" customHeight="1" x14ac:dyDescent="0.2">
      <c r="T358" s="84"/>
    </row>
    <row r="359" spans="20:20" ht="14.25" customHeight="1" x14ac:dyDescent="0.2">
      <c r="T359" s="84"/>
    </row>
    <row r="360" spans="20:20" ht="14.25" customHeight="1" x14ac:dyDescent="0.2">
      <c r="T360" s="84"/>
    </row>
    <row r="361" spans="20:20" ht="14.25" customHeight="1" x14ac:dyDescent="0.2">
      <c r="T361" s="84"/>
    </row>
    <row r="362" spans="20:20" ht="14.25" customHeight="1" x14ac:dyDescent="0.2">
      <c r="T362" s="84"/>
    </row>
    <row r="363" spans="20:20" ht="14.25" customHeight="1" x14ac:dyDescent="0.2">
      <c r="T363" s="84"/>
    </row>
    <row r="364" spans="20:20" ht="14.25" customHeight="1" x14ac:dyDescent="0.2">
      <c r="T364" s="84"/>
    </row>
    <row r="365" spans="20:20" ht="14.25" customHeight="1" x14ac:dyDescent="0.2">
      <c r="T365" s="84"/>
    </row>
    <row r="366" spans="20:20" ht="14.25" customHeight="1" x14ac:dyDescent="0.2">
      <c r="T366" s="84"/>
    </row>
    <row r="367" spans="20:20" ht="14.25" customHeight="1" x14ac:dyDescent="0.2">
      <c r="T367" s="84"/>
    </row>
    <row r="368" spans="20:20" ht="14.25" customHeight="1" x14ac:dyDescent="0.2">
      <c r="T368" s="84"/>
    </row>
    <row r="369" spans="20:20" ht="14.25" customHeight="1" x14ac:dyDescent="0.2">
      <c r="T369" s="84"/>
    </row>
    <row r="370" spans="20:20" ht="14.25" customHeight="1" x14ac:dyDescent="0.2">
      <c r="T370" s="84"/>
    </row>
    <row r="371" spans="20:20" ht="14.25" customHeight="1" x14ac:dyDescent="0.2">
      <c r="T371" s="84"/>
    </row>
    <row r="372" spans="20:20" ht="14.25" customHeight="1" x14ac:dyDescent="0.2">
      <c r="T372" s="84"/>
    </row>
    <row r="373" spans="20:20" ht="14.25" customHeight="1" x14ac:dyDescent="0.2">
      <c r="T373" s="84"/>
    </row>
    <row r="374" spans="20:20" ht="14.25" customHeight="1" x14ac:dyDescent="0.2">
      <c r="T374" s="84"/>
    </row>
    <row r="375" spans="20:20" ht="14.25" customHeight="1" x14ac:dyDescent="0.2">
      <c r="T375" s="84"/>
    </row>
    <row r="376" spans="20:20" ht="14.25" customHeight="1" x14ac:dyDescent="0.2">
      <c r="T376" s="84"/>
    </row>
    <row r="377" spans="20:20" ht="14.25" customHeight="1" x14ac:dyDescent="0.2">
      <c r="T377" s="84"/>
    </row>
    <row r="378" spans="20:20" ht="14.25" customHeight="1" x14ac:dyDescent="0.2">
      <c r="T378" s="84"/>
    </row>
    <row r="379" spans="20:20" ht="14.25" customHeight="1" x14ac:dyDescent="0.2">
      <c r="T379" s="84"/>
    </row>
    <row r="380" spans="20:20" ht="14.25" customHeight="1" x14ac:dyDescent="0.2">
      <c r="T380" s="84"/>
    </row>
    <row r="381" spans="20:20" ht="14.25" customHeight="1" x14ac:dyDescent="0.2">
      <c r="T381" s="84"/>
    </row>
    <row r="382" spans="20:20" ht="14.25" customHeight="1" x14ac:dyDescent="0.2">
      <c r="T382" s="84"/>
    </row>
    <row r="383" spans="20:20" ht="14.25" customHeight="1" x14ac:dyDescent="0.2">
      <c r="T383" s="84"/>
    </row>
    <row r="384" spans="20:20" ht="14.25" customHeight="1" x14ac:dyDescent="0.2">
      <c r="T384" s="84"/>
    </row>
    <row r="385" spans="20:20" ht="14.25" customHeight="1" x14ac:dyDescent="0.2">
      <c r="T385" s="84"/>
    </row>
    <row r="386" spans="20:20" ht="14.25" customHeight="1" x14ac:dyDescent="0.2">
      <c r="T386" s="84"/>
    </row>
    <row r="387" spans="20:20" ht="14.25" customHeight="1" x14ac:dyDescent="0.2">
      <c r="T387" s="84"/>
    </row>
    <row r="388" spans="20:20" ht="14.25" customHeight="1" x14ac:dyDescent="0.2">
      <c r="T388" s="84"/>
    </row>
    <row r="389" spans="20:20" ht="14.25" customHeight="1" x14ac:dyDescent="0.2">
      <c r="T389" s="84"/>
    </row>
    <row r="390" spans="20:20" ht="14.25" customHeight="1" x14ac:dyDescent="0.2">
      <c r="T390" s="84"/>
    </row>
    <row r="391" spans="20:20" ht="14.25" customHeight="1" x14ac:dyDescent="0.2">
      <c r="T391" s="84"/>
    </row>
    <row r="392" spans="20:20" ht="14.25" customHeight="1" x14ac:dyDescent="0.2">
      <c r="T392" s="84"/>
    </row>
    <row r="393" spans="20:20" ht="14.25" customHeight="1" x14ac:dyDescent="0.2">
      <c r="T393" s="84"/>
    </row>
    <row r="394" spans="20:20" ht="14.25" customHeight="1" x14ac:dyDescent="0.2">
      <c r="T394" s="84"/>
    </row>
    <row r="395" spans="20:20" ht="14.25" customHeight="1" x14ac:dyDescent="0.2">
      <c r="T395" s="84"/>
    </row>
    <row r="396" spans="20:20" ht="14.25" customHeight="1" x14ac:dyDescent="0.2">
      <c r="T396" s="84"/>
    </row>
    <row r="397" spans="20:20" ht="14.25" customHeight="1" x14ac:dyDescent="0.2">
      <c r="T397" s="84"/>
    </row>
    <row r="398" spans="20:20" ht="14.25" customHeight="1" x14ac:dyDescent="0.2">
      <c r="T398" s="84"/>
    </row>
    <row r="399" spans="20:20" ht="14.25" customHeight="1" x14ac:dyDescent="0.2">
      <c r="T399" s="84"/>
    </row>
    <row r="400" spans="20:20" ht="14.25" customHeight="1" x14ac:dyDescent="0.2">
      <c r="T400" s="84"/>
    </row>
    <row r="401" spans="20:20" ht="14.25" customHeight="1" x14ac:dyDescent="0.2">
      <c r="T401" s="84"/>
    </row>
    <row r="402" spans="20:20" ht="14.25" customHeight="1" x14ac:dyDescent="0.2">
      <c r="T402" s="84"/>
    </row>
    <row r="403" spans="20:20" ht="14.25" customHeight="1" x14ac:dyDescent="0.2">
      <c r="T403" s="84"/>
    </row>
    <row r="404" spans="20:20" ht="14.25" customHeight="1" x14ac:dyDescent="0.2">
      <c r="T404" s="84"/>
    </row>
    <row r="405" spans="20:20" ht="14.25" customHeight="1" x14ac:dyDescent="0.2">
      <c r="T405" s="84"/>
    </row>
    <row r="406" spans="20:20" ht="14.25" customHeight="1" x14ac:dyDescent="0.2">
      <c r="T406" s="84"/>
    </row>
    <row r="407" spans="20:20" ht="14.25" customHeight="1" x14ac:dyDescent="0.2">
      <c r="T407" s="84"/>
    </row>
    <row r="408" spans="20:20" ht="14.25" customHeight="1" x14ac:dyDescent="0.2">
      <c r="T408" s="84"/>
    </row>
    <row r="409" spans="20:20" ht="14.25" customHeight="1" x14ac:dyDescent="0.2">
      <c r="T409" s="84"/>
    </row>
    <row r="410" spans="20:20" ht="14.25" customHeight="1" x14ac:dyDescent="0.2">
      <c r="T410" s="84"/>
    </row>
    <row r="411" spans="20:20" ht="14.25" customHeight="1" x14ac:dyDescent="0.2">
      <c r="T411" s="84"/>
    </row>
    <row r="412" spans="20:20" ht="14.25" customHeight="1" x14ac:dyDescent="0.2">
      <c r="T412" s="84"/>
    </row>
    <row r="413" spans="20:20" ht="14.25" customHeight="1" x14ac:dyDescent="0.2">
      <c r="T413" s="84"/>
    </row>
    <row r="414" spans="20:20" ht="14.25" customHeight="1" x14ac:dyDescent="0.2">
      <c r="T414" s="84"/>
    </row>
    <row r="415" spans="20:20" ht="14.25" customHeight="1" x14ac:dyDescent="0.2">
      <c r="T415" s="84"/>
    </row>
    <row r="416" spans="20:20" ht="14.25" customHeight="1" x14ac:dyDescent="0.2">
      <c r="T416" s="84"/>
    </row>
    <row r="417" spans="20:20" ht="14.25" customHeight="1" x14ac:dyDescent="0.2">
      <c r="T417" s="84"/>
    </row>
    <row r="418" spans="20:20" ht="14.25" customHeight="1" x14ac:dyDescent="0.2">
      <c r="T418" s="84"/>
    </row>
    <row r="419" spans="20:20" ht="14.25" customHeight="1" x14ac:dyDescent="0.2">
      <c r="T419" s="84"/>
    </row>
    <row r="420" spans="20:20" ht="14.25" customHeight="1" x14ac:dyDescent="0.2">
      <c r="T420" s="84"/>
    </row>
    <row r="421" spans="20:20" ht="14.25" customHeight="1" x14ac:dyDescent="0.2">
      <c r="T421" s="84"/>
    </row>
    <row r="422" spans="20:20" ht="14.25" customHeight="1" x14ac:dyDescent="0.2">
      <c r="T422" s="84"/>
    </row>
    <row r="423" spans="20:20" ht="14.25" customHeight="1" x14ac:dyDescent="0.2">
      <c r="T423" s="84"/>
    </row>
    <row r="424" spans="20:20" ht="14.25" customHeight="1" x14ac:dyDescent="0.2">
      <c r="T424" s="84"/>
    </row>
    <row r="425" spans="20:20" ht="14.25" customHeight="1" x14ac:dyDescent="0.2">
      <c r="T425" s="84"/>
    </row>
    <row r="426" spans="20:20" ht="14.25" customHeight="1" x14ac:dyDescent="0.2">
      <c r="T426" s="84"/>
    </row>
    <row r="427" spans="20:20" ht="14.25" customHeight="1" x14ac:dyDescent="0.2">
      <c r="T427" s="84"/>
    </row>
    <row r="428" spans="20:20" ht="14.25" customHeight="1" x14ac:dyDescent="0.2">
      <c r="T428" s="84"/>
    </row>
    <row r="429" spans="20:20" ht="14.25" customHeight="1" x14ac:dyDescent="0.2">
      <c r="T429" s="84"/>
    </row>
    <row r="430" spans="20:20" ht="14.25" customHeight="1" x14ac:dyDescent="0.2">
      <c r="T430" s="84"/>
    </row>
    <row r="431" spans="20:20" ht="14.25" customHeight="1" x14ac:dyDescent="0.2">
      <c r="T431" s="84"/>
    </row>
    <row r="432" spans="20:20" ht="14.25" customHeight="1" x14ac:dyDescent="0.2">
      <c r="T432" s="84"/>
    </row>
    <row r="433" spans="20:20" ht="14.25" customHeight="1" x14ac:dyDescent="0.2">
      <c r="T433" s="84"/>
    </row>
    <row r="434" spans="20:20" ht="14.25" customHeight="1" x14ac:dyDescent="0.2">
      <c r="T434" s="84"/>
    </row>
    <row r="435" spans="20:20" ht="14.25" customHeight="1" x14ac:dyDescent="0.2">
      <c r="T435" s="84"/>
    </row>
    <row r="436" spans="20:20" ht="14.25" customHeight="1" x14ac:dyDescent="0.2">
      <c r="T436" s="84"/>
    </row>
    <row r="437" spans="20:20" ht="14.25" customHeight="1" x14ac:dyDescent="0.2">
      <c r="T437" s="84"/>
    </row>
    <row r="438" spans="20:20" ht="14.25" customHeight="1" x14ac:dyDescent="0.2">
      <c r="T438" s="84"/>
    </row>
    <row r="439" spans="20:20" ht="14.25" customHeight="1" x14ac:dyDescent="0.2">
      <c r="T439" s="84"/>
    </row>
    <row r="440" spans="20:20" ht="14.25" customHeight="1" x14ac:dyDescent="0.2">
      <c r="T440" s="84"/>
    </row>
    <row r="441" spans="20:20" ht="14.25" customHeight="1" x14ac:dyDescent="0.2">
      <c r="T441" s="84"/>
    </row>
    <row r="442" spans="20:20" ht="14.25" customHeight="1" x14ac:dyDescent="0.2">
      <c r="T442" s="84"/>
    </row>
    <row r="443" spans="20:20" ht="14.25" customHeight="1" x14ac:dyDescent="0.2">
      <c r="T443" s="84"/>
    </row>
    <row r="444" spans="20:20" ht="14.25" customHeight="1" x14ac:dyDescent="0.2">
      <c r="T444" s="84"/>
    </row>
    <row r="445" spans="20:20" ht="14.25" customHeight="1" x14ac:dyDescent="0.2">
      <c r="T445" s="84"/>
    </row>
    <row r="446" spans="20:20" ht="14.25" customHeight="1" x14ac:dyDescent="0.2">
      <c r="T446" s="84"/>
    </row>
    <row r="447" spans="20:20" ht="14.25" customHeight="1" x14ac:dyDescent="0.2">
      <c r="T447" s="84"/>
    </row>
    <row r="448" spans="20:20" ht="14.25" customHeight="1" x14ac:dyDescent="0.2">
      <c r="T448" s="84"/>
    </row>
    <row r="449" spans="20:20" ht="14.25" customHeight="1" x14ac:dyDescent="0.2">
      <c r="T449" s="84"/>
    </row>
    <row r="450" spans="20:20" ht="14.25" customHeight="1" x14ac:dyDescent="0.2">
      <c r="T450" s="84"/>
    </row>
    <row r="451" spans="20:20" ht="14.25" customHeight="1" x14ac:dyDescent="0.2">
      <c r="T451" s="84"/>
    </row>
    <row r="452" spans="20:20" ht="14.25" customHeight="1" x14ac:dyDescent="0.2">
      <c r="T452" s="84"/>
    </row>
    <row r="453" spans="20:20" ht="14.25" customHeight="1" x14ac:dyDescent="0.2">
      <c r="T453" s="84"/>
    </row>
    <row r="454" spans="20:20" ht="14.25" customHeight="1" x14ac:dyDescent="0.2">
      <c r="T454" s="84"/>
    </row>
    <row r="455" spans="20:20" ht="14.25" customHeight="1" x14ac:dyDescent="0.2">
      <c r="T455" s="84"/>
    </row>
    <row r="456" spans="20:20" ht="14.25" customHeight="1" x14ac:dyDescent="0.2">
      <c r="T456" s="84"/>
    </row>
    <row r="457" spans="20:20" ht="14.25" customHeight="1" x14ac:dyDescent="0.2">
      <c r="T457" s="84"/>
    </row>
    <row r="458" spans="20:20" ht="14.25" customHeight="1" x14ac:dyDescent="0.2">
      <c r="T458" s="84"/>
    </row>
    <row r="459" spans="20:20" ht="14.25" customHeight="1" x14ac:dyDescent="0.2">
      <c r="T459" s="84"/>
    </row>
    <row r="460" spans="20:20" ht="14.25" customHeight="1" x14ac:dyDescent="0.2">
      <c r="T460" s="84"/>
    </row>
    <row r="461" spans="20:20" ht="14.25" customHeight="1" x14ac:dyDescent="0.2">
      <c r="T461" s="84"/>
    </row>
    <row r="462" spans="20:20" ht="14.25" customHeight="1" x14ac:dyDescent="0.2">
      <c r="T462" s="84"/>
    </row>
    <row r="463" spans="20:20" ht="14.25" customHeight="1" x14ac:dyDescent="0.2">
      <c r="T463" s="84"/>
    </row>
    <row r="464" spans="20:20" ht="14.25" customHeight="1" x14ac:dyDescent="0.2">
      <c r="T464" s="84"/>
    </row>
    <row r="465" spans="20:20" ht="14.25" customHeight="1" x14ac:dyDescent="0.2">
      <c r="T465" s="84"/>
    </row>
    <row r="466" spans="20:20" ht="14.25" customHeight="1" x14ac:dyDescent="0.2">
      <c r="T466" s="84"/>
    </row>
    <row r="467" spans="20:20" ht="14.25" customHeight="1" x14ac:dyDescent="0.2">
      <c r="T467" s="84"/>
    </row>
    <row r="468" spans="20:20" ht="14.25" customHeight="1" x14ac:dyDescent="0.2">
      <c r="T468" s="84"/>
    </row>
    <row r="469" spans="20:20" ht="14.25" customHeight="1" x14ac:dyDescent="0.2">
      <c r="T469" s="84"/>
    </row>
    <row r="470" spans="20:20" ht="14.25" customHeight="1" x14ac:dyDescent="0.2">
      <c r="T470" s="84"/>
    </row>
    <row r="471" spans="20:20" ht="14.25" customHeight="1" x14ac:dyDescent="0.2">
      <c r="T471" s="84"/>
    </row>
    <row r="472" spans="20:20" ht="14.25" customHeight="1" x14ac:dyDescent="0.2">
      <c r="T472" s="84"/>
    </row>
    <row r="473" spans="20:20" ht="14.25" customHeight="1" x14ac:dyDescent="0.2">
      <c r="T473" s="84"/>
    </row>
    <row r="474" spans="20:20" ht="14.25" customHeight="1" x14ac:dyDescent="0.2">
      <c r="T474" s="84"/>
    </row>
    <row r="475" spans="20:20" ht="14.25" customHeight="1" x14ac:dyDescent="0.2">
      <c r="T475" s="84"/>
    </row>
    <row r="476" spans="20:20" ht="14.25" customHeight="1" x14ac:dyDescent="0.2">
      <c r="T476" s="84"/>
    </row>
    <row r="477" spans="20:20" ht="14.25" customHeight="1" x14ac:dyDescent="0.2">
      <c r="T477" s="84"/>
    </row>
    <row r="478" spans="20:20" ht="14.25" customHeight="1" x14ac:dyDescent="0.2">
      <c r="T478" s="84"/>
    </row>
    <row r="479" spans="20:20" ht="14.25" customHeight="1" x14ac:dyDescent="0.2">
      <c r="T479" s="84"/>
    </row>
    <row r="480" spans="20:20" ht="14.25" customHeight="1" x14ac:dyDescent="0.2">
      <c r="T480" s="84"/>
    </row>
    <row r="481" spans="20:20" ht="14.25" customHeight="1" x14ac:dyDescent="0.2">
      <c r="T481" s="84"/>
    </row>
    <row r="482" spans="20:20" ht="14.25" customHeight="1" x14ac:dyDescent="0.2">
      <c r="T482" s="84"/>
    </row>
    <row r="483" spans="20:20" ht="14.25" customHeight="1" x14ac:dyDescent="0.2">
      <c r="T483" s="84"/>
    </row>
    <row r="484" spans="20:20" ht="14.25" customHeight="1" x14ac:dyDescent="0.2">
      <c r="T484" s="84"/>
    </row>
    <row r="485" spans="20:20" ht="14.25" customHeight="1" x14ac:dyDescent="0.2">
      <c r="T485" s="84"/>
    </row>
    <row r="486" spans="20:20" ht="14.25" customHeight="1" x14ac:dyDescent="0.2">
      <c r="T486" s="84"/>
    </row>
    <row r="487" spans="20:20" ht="14.25" customHeight="1" x14ac:dyDescent="0.2">
      <c r="T487" s="84"/>
    </row>
    <row r="488" spans="20:20" ht="14.25" customHeight="1" x14ac:dyDescent="0.2">
      <c r="T488" s="84"/>
    </row>
    <row r="489" spans="20:20" ht="14.25" customHeight="1" x14ac:dyDescent="0.2">
      <c r="T489" s="84"/>
    </row>
    <row r="490" spans="20:20" ht="14.25" customHeight="1" x14ac:dyDescent="0.2">
      <c r="T490" s="84"/>
    </row>
    <row r="491" spans="20:20" ht="14.25" customHeight="1" x14ac:dyDescent="0.2">
      <c r="T491" s="84"/>
    </row>
    <row r="492" spans="20:20" ht="14.25" customHeight="1" x14ac:dyDescent="0.2">
      <c r="T492" s="84"/>
    </row>
    <row r="493" spans="20:20" ht="14.25" customHeight="1" x14ac:dyDescent="0.2">
      <c r="T493" s="84"/>
    </row>
    <row r="494" spans="20:20" ht="14.25" customHeight="1" x14ac:dyDescent="0.2">
      <c r="T494" s="84"/>
    </row>
    <row r="495" spans="20:20" ht="14.25" customHeight="1" x14ac:dyDescent="0.2">
      <c r="T495" s="84"/>
    </row>
    <row r="496" spans="20:20" ht="14.25" customHeight="1" x14ac:dyDescent="0.2">
      <c r="T496" s="84"/>
    </row>
    <row r="497" spans="20:20" ht="14.25" customHeight="1" x14ac:dyDescent="0.2">
      <c r="T497" s="84"/>
    </row>
    <row r="498" spans="20:20" ht="14.25" customHeight="1" x14ac:dyDescent="0.2">
      <c r="T498" s="84"/>
    </row>
    <row r="499" spans="20:20" ht="14.25" customHeight="1" x14ac:dyDescent="0.2">
      <c r="T499" s="84"/>
    </row>
    <row r="500" spans="20:20" ht="14.25" customHeight="1" x14ac:dyDescent="0.2">
      <c r="T500" s="84"/>
    </row>
    <row r="501" spans="20:20" ht="14.25" customHeight="1" x14ac:dyDescent="0.2">
      <c r="T501" s="84"/>
    </row>
    <row r="502" spans="20:20" ht="14.25" customHeight="1" x14ac:dyDescent="0.2">
      <c r="T502" s="84"/>
    </row>
    <row r="503" spans="20:20" ht="14.25" customHeight="1" x14ac:dyDescent="0.2">
      <c r="T503" s="84"/>
    </row>
    <row r="504" spans="20:20" ht="14.25" customHeight="1" x14ac:dyDescent="0.2">
      <c r="T504" s="84"/>
    </row>
    <row r="505" spans="20:20" ht="14.25" customHeight="1" x14ac:dyDescent="0.2">
      <c r="T505" s="84"/>
    </row>
    <row r="506" spans="20:20" ht="14.25" customHeight="1" x14ac:dyDescent="0.2">
      <c r="T506" s="84"/>
    </row>
    <row r="507" spans="20:20" ht="14.25" customHeight="1" x14ac:dyDescent="0.2">
      <c r="T507" s="84"/>
    </row>
    <row r="508" spans="20:20" ht="14.25" customHeight="1" x14ac:dyDescent="0.2">
      <c r="T508" s="84"/>
    </row>
    <row r="509" spans="20:20" ht="14.25" customHeight="1" x14ac:dyDescent="0.2">
      <c r="T509" s="84"/>
    </row>
    <row r="510" spans="20:20" ht="14.25" customHeight="1" x14ac:dyDescent="0.2">
      <c r="T510" s="84"/>
    </row>
    <row r="511" spans="20:20" ht="14.25" customHeight="1" x14ac:dyDescent="0.2">
      <c r="T511" s="84"/>
    </row>
    <row r="512" spans="20:20" ht="14.25" customHeight="1" x14ac:dyDescent="0.2">
      <c r="T512" s="84"/>
    </row>
    <row r="513" spans="20:20" ht="14.25" customHeight="1" x14ac:dyDescent="0.2">
      <c r="T513" s="84"/>
    </row>
    <row r="514" spans="20:20" ht="14.25" customHeight="1" x14ac:dyDescent="0.2">
      <c r="T514" s="84"/>
    </row>
    <row r="515" spans="20:20" ht="14.25" customHeight="1" x14ac:dyDescent="0.2">
      <c r="T515" s="84"/>
    </row>
    <row r="516" spans="20:20" ht="14.25" customHeight="1" x14ac:dyDescent="0.2">
      <c r="T516" s="84"/>
    </row>
    <row r="517" spans="20:20" ht="14.25" customHeight="1" x14ac:dyDescent="0.2">
      <c r="T517" s="84"/>
    </row>
    <row r="518" spans="20:20" ht="14.25" customHeight="1" x14ac:dyDescent="0.2">
      <c r="T518" s="84"/>
    </row>
    <row r="519" spans="20:20" ht="14.25" customHeight="1" x14ac:dyDescent="0.2">
      <c r="T519" s="84"/>
    </row>
    <row r="520" spans="20:20" ht="14.25" customHeight="1" x14ac:dyDescent="0.2">
      <c r="T520" s="84"/>
    </row>
    <row r="521" spans="20:20" ht="14.25" customHeight="1" x14ac:dyDescent="0.2">
      <c r="T521" s="84"/>
    </row>
    <row r="522" spans="20:20" ht="14.25" customHeight="1" x14ac:dyDescent="0.2">
      <c r="T522" s="84"/>
    </row>
    <row r="523" spans="20:20" ht="14.25" customHeight="1" x14ac:dyDescent="0.2">
      <c r="T523" s="84"/>
    </row>
    <row r="524" spans="20:20" ht="14.25" customHeight="1" x14ac:dyDescent="0.2">
      <c r="T524" s="84"/>
    </row>
    <row r="525" spans="20:20" ht="14.25" customHeight="1" x14ac:dyDescent="0.2">
      <c r="T525" s="84"/>
    </row>
    <row r="526" spans="20:20" ht="14.25" customHeight="1" x14ac:dyDescent="0.2">
      <c r="T526" s="84"/>
    </row>
    <row r="527" spans="20:20" ht="14.25" customHeight="1" x14ac:dyDescent="0.2">
      <c r="T527" s="84"/>
    </row>
    <row r="528" spans="20:20" ht="14.25" customHeight="1" x14ac:dyDescent="0.2">
      <c r="T528" s="84"/>
    </row>
    <row r="529" spans="20:20" ht="14.25" customHeight="1" x14ac:dyDescent="0.2">
      <c r="T529" s="84"/>
    </row>
    <row r="530" spans="20:20" ht="14.25" customHeight="1" x14ac:dyDescent="0.2">
      <c r="T530" s="84"/>
    </row>
    <row r="531" spans="20:20" ht="14.25" customHeight="1" x14ac:dyDescent="0.2">
      <c r="T531" s="84"/>
    </row>
    <row r="532" spans="20:20" ht="14.25" customHeight="1" x14ac:dyDescent="0.2">
      <c r="T532" s="84"/>
    </row>
    <row r="533" spans="20:20" ht="14.25" customHeight="1" x14ac:dyDescent="0.2">
      <c r="T533" s="84"/>
    </row>
    <row r="534" spans="20:20" ht="14.25" customHeight="1" x14ac:dyDescent="0.2">
      <c r="T534" s="84"/>
    </row>
    <row r="535" spans="20:20" ht="14.25" customHeight="1" x14ac:dyDescent="0.2">
      <c r="T535" s="84"/>
    </row>
    <row r="536" spans="20:20" ht="14.25" customHeight="1" x14ac:dyDescent="0.2">
      <c r="T536" s="84"/>
    </row>
    <row r="537" spans="20:20" ht="14.25" customHeight="1" x14ac:dyDescent="0.2">
      <c r="T537" s="84"/>
    </row>
    <row r="538" spans="20:20" ht="14.25" customHeight="1" x14ac:dyDescent="0.2">
      <c r="T538" s="84"/>
    </row>
    <row r="539" spans="20:20" ht="14.25" customHeight="1" x14ac:dyDescent="0.2">
      <c r="T539" s="84"/>
    </row>
    <row r="540" spans="20:20" ht="14.25" customHeight="1" x14ac:dyDescent="0.2">
      <c r="T540" s="84"/>
    </row>
    <row r="541" spans="20:20" ht="14.25" customHeight="1" x14ac:dyDescent="0.2">
      <c r="T541" s="84"/>
    </row>
    <row r="542" spans="20:20" ht="14.25" customHeight="1" x14ac:dyDescent="0.2">
      <c r="T542" s="84"/>
    </row>
    <row r="543" spans="20:20" ht="14.25" customHeight="1" x14ac:dyDescent="0.2">
      <c r="T543" s="84"/>
    </row>
    <row r="544" spans="20:20" ht="14.25" customHeight="1" x14ac:dyDescent="0.2">
      <c r="T544" s="84"/>
    </row>
    <row r="545" spans="20:20" ht="14.25" customHeight="1" x14ac:dyDescent="0.2">
      <c r="T545" s="84"/>
    </row>
    <row r="546" spans="20:20" ht="14.25" customHeight="1" x14ac:dyDescent="0.2">
      <c r="T546" s="84"/>
    </row>
    <row r="547" spans="20:20" ht="14.25" customHeight="1" x14ac:dyDescent="0.2">
      <c r="T547" s="84"/>
    </row>
    <row r="548" spans="20:20" ht="14.25" customHeight="1" x14ac:dyDescent="0.2">
      <c r="T548" s="84"/>
    </row>
    <row r="549" spans="20:20" ht="14.25" customHeight="1" x14ac:dyDescent="0.2">
      <c r="T549" s="84"/>
    </row>
    <row r="550" spans="20:20" ht="14.25" customHeight="1" x14ac:dyDescent="0.2">
      <c r="T550" s="84"/>
    </row>
    <row r="551" spans="20:20" ht="14.25" customHeight="1" x14ac:dyDescent="0.2">
      <c r="T551" s="84"/>
    </row>
    <row r="552" spans="20:20" ht="14.25" customHeight="1" x14ac:dyDescent="0.2">
      <c r="T552" s="84"/>
    </row>
    <row r="553" spans="20:20" ht="14.25" customHeight="1" x14ac:dyDescent="0.2">
      <c r="T553" s="84"/>
    </row>
    <row r="554" spans="20:20" ht="14.25" customHeight="1" x14ac:dyDescent="0.2">
      <c r="T554" s="84"/>
    </row>
    <row r="555" spans="20:20" ht="14.25" customHeight="1" x14ac:dyDescent="0.2">
      <c r="T555" s="84"/>
    </row>
    <row r="556" spans="20:20" ht="14.25" customHeight="1" x14ac:dyDescent="0.2">
      <c r="T556" s="84"/>
    </row>
    <row r="557" spans="20:20" ht="14.25" customHeight="1" x14ac:dyDescent="0.2">
      <c r="T557" s="84"/>
    </row>
    <row r="558" spans="20:20" ht="14.25" customHeight="1" x14ac:dyDescent="0.2">
      <c r="T558" s="84"/>
    </row>
    <row r="559" spans="20:20" ht="14.25" customHeight="1" x14ac:dyDescent="0.2">
      <c r="T559" s="84"/>
    </row>
    <row r="560" spans="20:20" ht="14.25" customHeight="1" x14ac:dyDescent="0.2">
      <c r="T560" s="84"/>
    </row>
    <row r="561" spans="20:20" ht="14.25" customHeight="1" x14ac:dyDescent="0.2">
      <c r="T561" s="84"/>
    </row>
    <row r="562" spans="20:20" ht="14.25" customHeight="1" x14ac:dyDescent="0.2">
      <c r="T562" s="84"/>
    </row>
    <row r="563" spans="20:20" ht="14.25" customHeight="1" x14ac:dyDescent="0.2">
      <c r="T563" s="84"/>
    </row>
    <row r="564" spans="20:20" ht="14.25" customHeight="1" x14ac:dyDescent="0.2">
      <c r="T564" s="84"/>
    </row>
    <row r="565" spans="20:20" ht="14.25" customHeight="1" x14ac:dyDescent="0.2">
      <c r="T565" s="84"/>
    </row>
    <row r="566" spans="20:20" ht="14.25" customHeight="1" x14ac:dyDescent="0.2">
      <c r="T566" s="84"/>
    </row>
    <row r="567" spans="20:20" ht="14.25" customHeight="1" x14ac:dyDescent="0.2">
      <c r="T567" s="84"/>
    </row>
    <row r="568" spans="20:20" ht="14.25" customHeight="1" x14ac:dyDescent="0.2">
      <c r="T568" s="84"/>
    </row>
    <row r="569" spans="20:20" ht="14.25" customHeight="1" x14ac:dyDescent="0.2">
      <c r="T569" s="84"/>
    </row>
    <row r="570" spans="20:20" ht="14.25" customHeight="1" x14ac:dyDescent="0.2">
      <c r="T570" s="84"/>
    </row>
    <row r="571" spans="20:20" ht="14.25" customHeight="1" x14ac:dyDescent="0.2">
      <c r="T571" s="84"/>
    </row>
    <row r="572" spans="20:20" ht="14.25" customHeight="1" x14ac:dyDescent="0.2">
      <c r="T572" s="84"/>
    </row>
    <row r="573" spans="20:20" ht="14.25" customHeight="1" x14ac:dyDescent="0.2">
      <c r="T573" s="84"/>
    </row>
    <row r="574" spans="20:20" ht="14.25" customHeight="1" x14ac:dyDescent="0.2">
      <c r="T574" s="84"/>
    </row>
    <row r="575" spans="20:20" ht="14.25" customHeight="1" x14ac:dyDescent="0.2">
      <c r="T575" s="84"/>
    </row>
    <row r="576" spans="20:20" ht="14.25" customHeight="1" x14ac:dyDescent="0.2">
      <c r="T576" s="84"/>
    </row>
    <row r="577" spans="20:20" ht="14.25" customHeight="1" x14ac:dyDescent="0.2">
      <c r="T577" s="84"/>
    </row>
    <row r="578" spans="20:20" ht="14.25" customHeight="1" x14ac:dyDescent="0.2">
      <c r="T578" s="84"/>
    </row>
    <row r="579" spans="20:20" ht="14.25" customHeight="1" x14ac:dyDescent="0.2">
      <c r="T579" s="84"/>
    </row>
    <row r="580" spans="20:20" ht="14.25" customHeight="1" x14ac:dyDescent="0.2">
      <c r="T580" s="84"/>
    </row>
    <row r="581" spans="20:20" ht="14.25" customHeight="1" x14ac:dyDescent="0.2">
      <c r="T581" s="84"/>
    </row>
    <row r="582" spans="20:20" ht="14.25" customHeight="1" x14ac:dyDescent="0.2">
      <c r="T582" s="84"/>
    </row>
    <row r="583" spans="20:20" ht="14.25" customHeight="1" x14ac:dyDescent="0.2">
      <c r="T583" s="84"/>
    </row>
    <row r="584" spans="20:20" ht="14.25" customHeight="1" x14ac:dyDescent="0.2">
      <c r="T584" s="84"/>
    </row>
    <row r="585" spans="20:20" ht="14.25" customHeight="1" x14ac:dyDescent="0.2">
      <c r="T585" s="84"/>
    </row>
    <row r="586" spans="20:20" ht="14.25" customHeight="1" x14ac:dyDescent="0.2">
      <c r="T586" s="84"/>
    </row>
    <row r="587" spans="20:20" ht="14.25" customHeight="1" x14ac:dyDescent="0.2">
      <c r="T587" s="84"/>
    </row>
    <row r="588" spans="20:20" ht="14.25" customHeight="1" x14ac:dyDescent="0.2">
      <c r="T588" s="84"/>
    </row>
    <row r="589" spans="20:20" ht="14.25" customHeight="1" x14ac:dyDescent="0.2">
      <c r="T589" s="84"/>
    </row>
    <row r="590" spans="20:20" ht="14.25" customHeight="1" x14ac:dyDescent="0.2">
      <c r="T590" s="84"/>
    </row>
    <row r="591" spans="20:20" ht="14.25" customHeight="1" x14ac:dyDescent="0.2">
      <c r="T591" s="84"/>
    </row>
    <row r="592" spans="20:20" ht="14.25" customHeight="1" x14ac:dyDescent="0.2">
      <c r="T592" s="84"/>
    </row>
    <row r="593" spans="20:20" ht="14.25" customHeight="1" x14ac:dyDescent="0.2">
      <c r="T593" s="84"/>
    </row>
    <row r="594" spans="20:20" ht="14.25" customHeight="1" x14ac:dyDescent="0.2">
      <c r="T594" s="84"/>
    </row>
    <row r="595" spans="20:20" ht="14.25" customHeight="1" x14ac:dyDescent="0.2">
      <c r="T595" s="84"/>
    </row>
    <row r="596" spans="20:20" ht="14.25" customHeight="1" x14ac:dyDescent="0.2">
      <c r="T596" s="84"/>
    </row>
    <row r="597" spans="20:20" ht="14.25" customHeight="1" x14ac:dyDescent="0.2">
      <c r="T597" s="84"/>
    </row>
    <row r="598" spans="20:20" ht="14.25" customHeight="1" x14ac:dyDescent="0.2">
      <c r="T598" s="84"/>
    </row>
    <row r="599" spans="20:20" ht="14.25" customHeight="1" x14ac:dyDescent="0.2">
      <c r="T599" s="84"/>
    </row>
    <row r="600" spans="20:20" ht="14.25" customHeight="1" x14ac:dyDescent="0.2">
      <c r="T600" s="84"/>
    </row>
    <row r="601" spans="20:20" ht="14.25" customHeight="1" x14ac:dyDescent="0.2">
      <c r="T601" s="84"/>
    </row>
    <row r="602" spans="20:20" ht="14.25" customHeight="1" x14ac:dyDescent="0.2">
      <c r="T602" s="84"/>
    </row>
    <row r="603" spans="20:20" ht="14.25" customHeight="1" x14ac:dyDescent="0.2">
      <c r="T603" s="84"/>
    </row>
    <row r="604" spans="20:20" ht="14.25" customHeight="1" x14ac:dyDescent="0.2">
      <c r="T604" s="84"/>
    </row>
    <row r="605" spans="20:20" ht="14.25" customHeight="1" x14ac:dyDescent="0.2">
      <c r="T605" s="84"/>
    </row>
    <row r="606" spans="20:20" ht="14.25" customHeight="1" x14ac:dyDescent="0.2">
      <c r="T606" s="84"/>
    </row>
    <row r="607" spans="20:20" ht="14.25" customHeight="1" x14ac:dyDescent="0.2">
      <c r="T607" s="84"/>
    </row>
    <row r="608" spans="20:20" ht="14.25" customHeight="1" x14ac:dyDescent="0.2">
      <c r="T608" s="84"/>
    </row>
    <row r="609" spans="20:20" ht="14.25" customHeight="1" x14ac:dyDescent="0.2">
      <c r="T609" s="84"/>
    </row>
    <row r="610" spans="20:20" ht="14.25" customHeight="1" x14ac:dyDescent="0.2">
      <c r="T610" s="84"/>
    </row>
    <row r="611" spans="20:20" ht="14.25" customHeight="1" x14ac:dyDescent="0.2">
      <c r="T611" s="84"/>
    </row>
    <row r="612" spans="20:20" ht="14.25" customHeight="1" x14ac:dyDescent="0.2">
      <c r="T612" s="84"/>
    </row>
    <row r="613" spans="20:20" ht="14.25" customHeight="1" x14ac:dyDescent="0.2">
      <c r="T613" s="84"/>
    </row>
    <row r="614" spans="20:20" ht="14.25" customHeight="1" x14ac:dyDescent="0.2">
      <c r="T614" s="84"/>
    </row>
    <row r="615" spans="20:20" ht="14.25" customHeight="1" x14ac:dyDescent="0.2">
      <c r="T615" s="84"/>
    </row>
    <row r="616" spans="20:20" ht="14.25" customHeight="1" x14ac:dyDescent="0.2">
      <c r="T616" s="84"/>
    </row>
    <row r="617" spans="20:20" ht="14.25" customHeight="1" x14ac:dyDescent="0.2">
      <c r="T617" s="84"/>
    </row>
    <row r="618" spans="20:20" ht="14.25" customHeight="1" x14ac:dyDescent="0.2">
      <c r="T618" s="84"/>
    </row>
    <row r="619" spans="20:20" ht="14.25" customHeight="1" x14ac:dyDescent="0.2">
      <c r="T619" s="84"/>
    </row>
    <row r="620" spans="20:20" ht="14.25" customHeight="1" x14ac:dyDescent="0.2">
      <c r="T620" s="84"/>
    </row>
    <row r="621" spans="20:20" ht="14.25" customHeight="1" x14ac:dyDescent="0.2">
      <c r="T621" s="84"/>
    </row>
    <row r="622" spans="20:20" ht="14.25" customHeight="1" x14ac:dyDescent="0.2">
      <c r="T622" s="84"/>
    </row>
    <row r="623" spans="20:20" ht="14.25" customHeight="1" x14ac:dyDescent="0.2">
      <c r="T623" s="84"/>
    </row>
    <row r="624" spans="20:20" ht="14.25" customHeight="1" x14ac:dyDescent="0.2">
      <c r="T624" s="84"/>
    </row>
    <row r="625" spans="20:20" ht="14.25" customHeight="1" x14ac:dyDescent="0.2">
      <c r="T625" s="84"/>
    </row>
    <row r="626" spans="20:20" ht="14.25" customHeight="1" x14ac:dyDescent="0.2">
      <c r="T626" s="84"/>
    </row>
    <row r="627" spans="20:20" ht="14.25" customHeight="1" x14ac:dyDescent="0.2">
      <c r="T627" s="84"/>
    </row>
    <row r="628" spans="20:20" ht="14.25" customHeight="1" x14ac:dyDescent="0.2">
      <c r="T628" s="84"/>
    </row>
    <row r="629" spans="20:20" ht="14.25" customHeight="1" x14ac:dyDescent="0.2">
      <c r="T629" s="84"/>
    </row>
    <row r="630" spans="20:20" ht="14.25" customHeight="1" x14ac:dyDescent="0.2">
      <c r="T630" s="84"/>
    </row>
    <row r="631" spans="20:20" ht="14.25" customHeight="1" x14ac:dyDescent="0.2">
      <c r="T631" s="84"/>
    </row>
    <row r="632" spans="20:20" ht="14.25" customHeight="1" x14ac:dyDescent="0.2">
      <c r="T632" s="84"/>
    </row>
    <row r="633" spans="20:20" ht="14.25" customHeight="1" x14ac:dyDescent="0.2">
      <c r="T633" s="84"/>
    </row>
    <row r="634" spans="20:20" ht="14.25" customHeight="1" x14ac:dyDescent="0.2">
      <c r="T634" s="84"/>
    </row>
    <row r="635" spans="20:20" ht="14.25" customHeight="1" x14ac:dyDescent="0.2">
      <c r="T635" s="84"/>
    </row>
    <row r="636" spans="20:20" ht="14.25" customHeight="1" x14ac:dyDescent="0.2">
      <c r="T636" s="84"/>
    </row>
    <row r="637" spans="20:20" ht="14.25" customHeight="1" x14ac:dyDescent="0.2">
      <c r="T637" s="84"/>
    </row>
    <row r="638" spans="20:20" ht="14.25" customHeight="1" x14ac:dyDescent="0.2">
      <c r="T638" s="84"/>
    </row>
    <row r="639" spans="20:20" ht="14.25" customHeight="1" x14ac:dyDescent="0.2">
      <c r="T639" s="84"/>
    </row>
    <row r="640" spans="20:20" ht="14.25" customHeight="1" x14ac:dyDescent="0.2">
      <c r="T640" s="84"/>
    </row>
    <row r="641" spans="20:20" ht="14.25" customHeight="1" x14ac:dyDescent="0.2">
      <c r="T641" s="84"/>
    </row>
    <row r="642" spans="20:20" ht="14.25" customHeight="1" x14ac:dyDescent="0.2">
      <c r="T642" s="84"/>
    </row>
    <row r="643" spans="20:20" ht="14.25" customHeight="1" x14ac:dyDescent="0.2">
      <c r="T643" s="84"/>
    </row>
    <row r="644" spans="20:20" ht="14.25" customHeight="1" x14ac:dyDescent="0.2">
      <c r="T644" s="84"/>
    </row>
    <row r="645" spans="20:20" ht="14.25" customHeight="1" x14ac:dyDescent="0.2">
      <c r="T645" s="84"/>
    </row>
    <row r="646" spans="20:20" ht="14.25" customHeight="1" x14ac:dyDescent="0.2">
      <c r="T646" s="84"/>
    </row>
    <row r="647" spans="20:20" ht="14.25" customHeight="1" x14ac:dyDescent="0.2">
      <c r="T647" s="84"/>
    </row>
    <row r="648" spans="20:20" ht="14.25" customHeight="1" x14ac:dyDescent="0.2">
      <c r="T648" s="84"/>
    </row>
    <row r="649" spans="20:20" ht="14.25" customHeight="1" x14ac:dyDescent="0.2">
      <c r="T649" s="84"/>
    </row>
    <row r="650" spans="20:20" ht="14.25" customHeight="1" x14ac:dyDescent="0.2">
      <c r="T650" s="84"/>
    </row>
    <row r="651" spans="20:20" ht="14.25" customHeight="1" x14ac:dyDescent="0.2">
      <c r="T651" s="84"/>
    </row>
    <row r="652" spans="20:20" ht="14.25" customHeight="1" x14ac:dyDescent="0.2">
      <c r="T652" s="84"/>
    </row>
    <row r="653" spans="20:20" ht="14.25" customHeight="1" x14ac:dyDescent="0.2">
      <c r="T653" s="84"/>
    </row>
    <row r="654" spans="20:20" ht="14.25" customHeight="1" x14ac:dyDescent="0.2">
      <c r="T654" s="84"/>
    </row>
    <row r="655" spans="20:20" ht="14.25" customHeight="1" x14ac:dyDescent="0.2">
      <c r="T655" s="84"/>
    </row>
    <row r="656" spans="20:20" ht="14.25" customHeight="1" x14ac:dyDescent="0.2">
      <c r="T656" s="84"/>
    </row>
    <row r="657" spans="20:20" ht="14.25" customHeight="1" x14ac:dyDescent="0.2">
      <c r="T657" s="84"/>
    </row>
    <row r="658" spans="20:20" ht="14.25" customHeight="1" x14ac:dyDescent="0.2">
      <c r="T658" s="84"/>
    </row>
    <row r="659" spans="20:20" ht="14.25" customHeight="1" x14ac:dyDescent="0.2">
      <c r="T659" s="84"/>
    </row>
    <row r="660" spans="20:20" ht="14.25" customHeight="1" x14ac:dyDescent="0.2">
      <c r="T660" s="84"/>
    </row>
    <row r="661" spans="20:20" ht="14.25" customHeight="1" x14ac:dyDescent="0.2">
      <c r="T661" s="84"/>
    </row>
    <row r="662" spans="20:20" ht="14.25" customHeight="1" x14ac:dyDescent="0.2">
      <c r="T662" s="84"/>
    </row>
    <row r="663" spans="20:20" ht="14.25" customHeight="1" x14ac:dyDescent="0.2">
      <c r="T663" s="84"/>
    </row>
    <row r="664" spans="20:20" ht="14.25" customHeight="1" x14ac:dyDescent="0.2">
      <c r="T664" s="84"/>
    </row>
    <row r="665" spans="20:20" ht="14.25" customHeight="1" x14ac:dyDescent="0.2">
      <c r="T665" s="84"/>
    </row>
    <row r="666" spans="20:20" ht="14.25" customHeight="1" x14ac:dyDescent="0.2">
      <c r="T666" s="84"/>
    </row>
    <row r="667" spans="20:20" ht="14.25" customHeight="1" x14ac:dyDescent="0.2">
      <c r="T667" s="84"/>
    </row>
    <row r="668" spans="20:20" ht="14.25" customHeight="1" x14ac:dyDescent="0.2">
      <c r="T668" s="84"/>
    </row>
    <row r="669" spans="20:20" ht="14.25" customHeight="1" x14ac:dyDescent="0.2">
      <c r="T669" s="84"/>
    </row>
    <row r="670" spans="20:20" ht="14.25" customHeight="1" x14ac:dyDescent="0.2">
      <c r="T670" s="84"/>
    </row>
    <row r="671" spans="20:20" ht="14.25" customHeight="1" x14ac:dyDescent="0.2">
      <c r="T671" s="84"/>
    </row>
    <row r="672" spans="20:20" ht="14.25" customHeight="1" x14ac:dyDescent="0.2">
      <c r="T672" s="84"/>
    </row>
    <row r="673" spans="20:20" ht="14.25" customHeight="1" x14ac:dyDescent="0.2">
      <c r="T673" s="84"/>
    </row>
    <row r="674" spans="20:20" ht="14.25" customHeight="1" x14ac:dyDescent="0.2">
      <c r="T674" s="84"/>
    </row>
    <row r="675" spans="20:20" ht="14.25" customHeight="1" x14ac:dyDescent="0.2">
      <c r="T675" s="84"/>
    </row>
    <row r="676" spans="20:20" ht="14.25" customHeight="1" x14ac:dyDescent="0.2">
      <c r="T676" s="84"/>
    </row>
    <row r="677" spans="20:20" ht="14.25" customHeight="1" x14ac:dyDescent="0.2">
      <c r="T677" s="84"/>
    </row>
    <row r="678" spans="20:20" ht="14.25" customHeight="1" x14ac:dyDescent="0.2">
      <c r="T678" s="84"/>
    </row>
    <row r="679" spans="20:20" ht="14.25" customHeight="1" x14ac:dyDescent="0.2">
      <c r="T679" s="84"/>
    </row>
    <row r="680" spans="20:20" ht="14.25" customHeight="1" x14ac:dyDescent="0.2">
      <c r="T680" s="84"/>
    </row>
    <row r="681" spans="20:20" ht="14.25" customHeight="1" x14ac:dyDescent="0.2">
      <c r="T681" s="84"/>
    </row>
    <row r="682" spans="20:20" ht="14.25" customHeight="1" x14ac:dyDescent="0.2">
      <c r="T682" s="84"/>
    </row>
    <row r="683" spans="20:20" ht="14.25" customHeight="1" x14ac:dyDescent="0.2">
      <c r="T683" s="84"/>
    </row>
    <row r="684" spans="20:20" ht="14.25" customHeight="1" x14ac:dyDescent="0.2">
      <c r="T684" s="84"/>
    </row>
    <row r="685" spans="20:20" ht="14.25" customHeight="1" x14ac:dyDescent="0.2">
      <c r="T685" s="84"/>
    </row>
    <row r="686" spans="20:20" ht="14.25" customHeight="1" x14ac:dyDescent="0.2">
      <c r="T686" s="84"/>
    </row>
    <row r="687" spans="20:20" ht="14.25" customHeight="1" x14ac:dyDescent="0.2">
      <c r="T687" s="84"/>
    </row>
    <row r="688" spans="20:20" ht="14.25" customHeight="1" x14ac:dyDescent="0.2">
      <c r="T688" s="84"/>
    </row>
    <row r="689" spans="20:20" ht="14.25" customHeight="1" x14ac:dyDescent="0.2">
      <c r="T689" s="84"/>
    </row>
    <row r="690" spans="20:20" ht="14.25" customHeight="1" x14ac:dyDescent="0.2">
      <c r="T690" s="84"/>
    </row>
    <row r="691" spans="20:20" ht="14.25" customHeight="1" x14ac:dyDescent="0.2">
      <c r="T691" s="84"/>
    </row>
    <row r="692" spans="20:20" ht="14.25" customHeight="1" x14ac:dyDescent="0.2">
      <c r="T692" s="84"/>
    </row>
    <row r="693" spans="20:20" ht="14.25" customHeight="1" x14ac:dyDescent="0.2">
      <c r="T693" s="84"/>
    </row>
    <row r="694" spans="20:20" ht="14.25" customHeight="1" x14ac:dyDescent="0.2">
      <c r="T694" s="84"/>
    </row>
    <row r="695" spans="20:20" ht="14.25" customHeight="1" x14ac:dyDescent="0.2">
      <c r="T695" s="84"/>
    </row>
    <row r="696" spans="20:20" ht="14.25" customHeight="1" x14ac:dyDescent="0.2">
      <c r="T696" s="84"/>
    </row>
    <row r="697" spans="20:20" ht="14.25" customHeight="1" x14ac:dyDescent="0.2">
      <c r="T697" s="84"/>
    </row>
    <row r="698" spans="20:20" ht="14.25" customHeight="1" x14ac:dyDescent="0.2">
      <c r="T698" s="84"/>
    </row>
    <row r="699" spans="20:20" ht="14.25" customHeight="1" x14ac:dyDescent="0.2">
      <c r="T699" s="84"/>
    </row>
    <row r="700" spans="20:20" ht="14.25" customHeight="1" x14ac:dyDescent="0.2">
      <c r="T700" s="84"/>
    </row>
    <row r="701" spans="20:20" ht="14.25" customHeight="1" x14ac:dyDescent="0.2">
      <c r="T701" s="84"/>
    </row>
    <row r="702" spans="20:20" ht="14.25" customHeight="1" x14ac:dyDescent="0.2">
      <c r="T702" s="84"/>
    </row>
    <row r="703" spans="20:20" ht="14.25" customHeight="1" x14ac:dyDescent="0.2">
      <c r="T703" s="84"/>
    </row>
    <row r="704" spans="20:20" ht="14.25" customHeight="1" x14ac:dyDescent="0.2">
      <c r="T704" s="84"/>
    </row>
    <row r="705" spans="20:20" ht="14.25" customHeight="1" x14ac:dyDescent="0.2">
      <c r="T705" s="84"/>
    </row>
    <row r="706" spans="20:20" ht="14.25" customHeight="1" x14ac:dyDescent="0.2">
      <c r="T706" s="84"/>
    </row>
    <row r="707" spans="20:20" ht="14.25" customHeight="1" x14ac:dyDescent="0.2">
      <c r="T707" s="84"/>
    </row>
    <row r="708" spans="20:20" ht="14.25" customHeight="1" x14ac:dyDescent="0.2">
      <c r="T708" s="84"/>
    </row>
    <row r="709" spans="20:20" ht="14.25" customHeight="1" x14ac:dyDescent="0.2">
      <c r="T709" s="84"/>
    </row>
    <row r="710" spans="20:20" ht="14.25" customHeight="1" x14ac:dyDescent="0.2">
      <c r="T710" s="84"/>
    </row>
    <row r="711" spans="20:20" ht="14.25" customHeight="1" x14ac:dyDescent="0.2">
      <c r="T711" s="84"/>
    </row>
    <row r="712" spans="20:20" ht="14.25" customHeight="1" x14ac:dyDescent="0.2">
      <c r="T712" s="84"/>
    </row>
    <row r="713" spans="20:20" ht="14.25" customHeight="1" x14ac:dyDescent="0.2">
      <c r="T713" s="84"/>
    </row>
    <row r="714" spans="20:20" ht="14.25" customHeight="1" x14ac:dyDescent="0.2">
      <c r="T714" s="84"/>
    </row>
    <row r="715" spans="20:20" ht="14.25" customHeight="1" x14ac:dyDescent="0.2">
      <c r="T715" s="84"/>
    </row>
    <row r="716" spans="20:20" ht="14.25" customHeight="1" x14ac:dyDescent="0.2">
      <c r="T716" s="84"/>
    </row>
    <row r="717" spans="20:20" ht="14.25" customHeight="1" x14ac:dyDescent="0.2">
      <c r="T717" s="84"/>
    </row>
    <row r="718" spans="20:20" ht="14.25" customHeight="1" x14ac:dyDescent="0.2">
      <c r="T718" s="84"/>
    </row>
    <row r="719" spans="20:20" ht="14.25" customHeight="1" x14ac:dyDescent="0.2">
      <c r="T719" s="84"/>
    </row>
    <row r="720" spans="20:20" ht="14.25" customHeight="1" x14ac:dyDescent="0.2">
      <c r="T720" s="84"/>
    </row>
    <row r="721" spans="20:20" ht="14.25" customHeight="1" x14ac:dyDescent="0.2">
      <c r="T721" s="84"/>
    </row>
    <row r="722" spans="20:20" ht="14.25" customHeight="1" x14ac:dyDescent="0.2">
      <c r="T722" s="84"/>
    </row>
    <row r="723" spans="20:20" ht="14.25" customHeight="1" x14ac:dyDescent="0.2">
      <c r="T723" s="84"/>
    </row>
    <row r="724" spans="20:20" ht="14.25" customHeight="1" x14ac:dyDescent="0.2">
      <c r="T724" s="84"/>
    </row>
    <row r="725" spans="20:20" ht="14.25" customHeight="1" x14ac:dyDescent="0.2">
      <c r="T725" s="84"/>
    </row>
    <row r="726" spans="20:20" ht="14.25" customHeight="1" x14ac:dyDescent="0.2">
      <c r="T726" s="84"/>
    </row>
    <row r="727" spans="20:20" ht="14.25" customHeight="1" x14ac:dyDescent="0.2">
      <c r="T727" s="84"/>
    </row>
    <row r="728" spans="20:20" ht="14.25" customHeight="1" x14ac:dyDescent="0.2">
      <c r="T728" s="84"/>
    </row>
    <row r="729" spans="20:20" ht="14.25" customHeight="1" x14ac:dyDescent="0.2">
      <c r="T729" s="84"/>
    </row>
    <row r="730" spans="20:20" ht="14.25" customHeight="1" x14ac:dyDescent="0.2">
      <c r="T730" s="84"/>
    </row>
    <row r="731" spans="20:20" ht="14.25" customHeight="1" x14ac:dyDescent="0.2">
      <c r="T731" s="84"/>
    </row>
    <row r="732" spans="20:20" ht="14.25" customHeight="1" x14ac:dyDescent="0.2">
      <c r="T732" s="84"/>
    </row>
    <row r="733" spans="20:20" ht="14.25" customHeight="1" x14ac:dyDescent="0.2">
      <c r="T733" s="84"/>
    </row>
    <row r="734" spans="20:20" ht="14.25" customHeight="1" x14ac:dyDescent="0.2">
      <c r="T734" s="84"/>
    </row>
    <row r="735" spans="20:20" ht="14.25" customHeight="1" x14ac:dyDescent="0.2">
      <c r="T735" s="84"/>
    </row>
    <row r="736" spans="20:20" ht="14.25" customHeight="1" x14ac:dyDescent="0.2">
      <c r="T736" s="84"/>
    </row>
    <row r="737" spans="20:20" ht="14.25" customHeight="1" x14ac:dyDescent="0.2">
      <c r="T737" s="84"/>
    </row>
    <row r="738" spans="20:20" ht="14.25" customHeight="1" x14ac:dyDescent="0.2">
      <c r="T738" s="84"/>
    </row>
    <row r="739" spans="20:20" ht="14.25" customHeight="1" x14ac:dyDescent="0.2">
      <c r="T739" s="84"/>
    </row>
    <row r="740" spans="20:20" ht="14.25" customHeight="1" x14ac:dyDescent="0.2">
      <c r="T740" s="84"/>
    </row>
    <row r="741" spans="20:20" ht="14.25" customHeight="1" x14ac:dyDescent="0.2">
      <c r="T741" s="84"/>
    </row>
    <row r="742" spans="20:20" ht="14.25" customHeight="1" x14ac:dyDescent="0.2">
      <c r="T742" s="84"/>
    </row>
    <row r="743" spans="20:20" ht="14.25" customHeight="1" x14ac:dyDescent="0.2">
      <c r="T743" s="84"/>
    </row>
    <row r="744" spans="20:20" ht="14.25" customHeight="1" x14ac:dyDescent="0.2">
      <c r="T744" s="84"/>
    </row>
    <row r="745" spans="20:20" ht="14.25" customHeight="1" x14ac:dyDescent="0.2">
      <c r="T745" s="84"/>
    </row>
    <row r="746" spans="20:20" ht="14.25" customHeight="1" x14ac:dyDescent="0.2">
      <c r="T746" s="84"/>
    </row>
    <row r="747" spans="20:20" ht="14.25" customHeight="1" x14ac:dyDescent="0.2">
      <c r="T747" s="84"/>
    </row>
    <row r="748" spans="20:20" ht="14.25" customHeight="1" x14ac:dyDescent="0.2">
      <c r="T748" s="84"/>
    </row>
    <row r="749" spans="20:20" ht="14.25" customHeight="1" x14ac:dyDescent="0.2">
      <c r="T749" s="84"/>
    </row>
    <row r="750" spans="20:20" ht="14.25" customHeight="1" x14ac:dyDescent="0.2">
      <c r="T750" s="84"/>
    </row>
    <row r="751" spans="20:20" ht="14.25" customHeight="1" x14ac:dyDescent="0.2">
      <c r="T751" s="84"/>
    </row>
    <row r="752" spans="20:20" ht="14.25" customHeight="1" x14ac:dyDescent="0.2">
      <c r="T752" s="84"/>
    </row>
    <row r="753" spans="20:20" ht="14.25" customHeight="1" x14ac:dyDescent="0.2">
      <c r="T753" s="84"/>
    </row>
    <row r="754" spans="20:20" ht="14.25" customHeight="1" x14ac:dyDescent="0.2">
      <c r="T754" s="84"/>
    </row>
    <row r="755" spans="20:20" ht="14.25" customHeight="1" x14ac:dyDescent="0.2">
      <c r="T755" s="84"/>
    </row>
    <row r="756" spans="20:20" ht="14.25" customHeight="1" x14ac:dyDescent="0.2">
      <c r="T756" s="84"/>
    </row>
    <row r="757" spans="20:20" ht="14.25" customHeight="1" x14ac:dyDescent="0.2">
      <c r="T757" s="84"/>
    </row>
    <row r="758" spans="20:20" ht="14.25" customHeight="1" x14ac:dyDescent="0.2">
      <c r="T758" s="84"/>
    </row>
    <row r="759" spans="20:20" ht="14.25" customHeight="1" x14ac:dyDescent="0.2">
      <c r="T759" s="84"/>
    </row>
    <row r="760" spans="20:20" ht="14.25" customHeight="1" x14ac:dyDescent="0.2">
      <c r="T760" s="84"/>
    </row>
    <row r="761" spans="20:20" ht="14.25" customHeight="1" x14ac:dyDescent="0.2">
      <c r="T761" s="84"/>
    </row>
    <row r="762" spans="20:20" ht="14.25" customHeight="1" x14ac:dyDescent="0.2">
      <c r="T762" s="84"/>
    </row>
    <row r="763" spans="20:20" ht="14.25" customHeight="1" x14ac:dyDescent="0.2">
      <c r="T763" s="84"/>
    </row>
    <row r="764" spans="20:20" ht="14.25" customHeight="1" x14ac:dyDescent="0.2">
      <c r="T764" s="84"/>
    </row>
    <row r="765" spans="20:20" ht="14.25" customHeight="1" x14ac:dyDescent="0.2">
      <c r="T765" s="84"/>
    </row>
    <row r="766" spans="20:20" ht="14.25" customHeight="1" x14ac:dyDescent="0.2">
      <c r="T766" s="84"/>
    </row>
    <row r="767" spans="20:20" ht="14.25" customHeight="1" x14ac:dyDescent="0.2">
      <c r="T767" s="84"/>
    </row>
    <row r="768" spans="20:20" ht="14.25" customHeight="1" x14ac:dyDescent="0.2">
      <c r="T768" s="84"/>
    </row>
    <row r="769" spans="20:20" ht="14.25" customHeight="1" x14ac:dyDescent="0.2">
      <c r="T769" s="84"/>
    </row>
    <row r="770" spans="20:20" ht="14.25" customHeight="1" x14ac:dyDescent="0.2">
      <c r="T770" s="84"/>
    </row>
    <row r="771" spans="20:20" ht="14.25" customHeight="1" x14ac:dyDescent="0.2">
      <c r="T771" s="84"/>
    </row>
    <row r="772" spans="20:20" ht="14.25" customHeight="1" x14ac:dyDescent="0.2">
      <c r="T772" s="84"/>
    </row>
    <row r="773" spans="20:20" ht="14.25" customHeight="1" x14ac:dyDescent="0.2">
      <c r="T773" s="84"/>
    </row>
    <row r="774" spans="20:20" ht="14.25" customHeight="1" x14ac:dyDescent="0.2">
      <c r="T774" s="84"/>
    </row>
    <row r="775" spans="20:20" ht="14.25" customHeight="1" x14ac:dyDescent="0.2">
      <c r="T775" s="84"/>
    </row>
    <row r="776" spans="20:20" ht="14.25" customHeight="1" x14ac:dyDescent="0.2">
      <c r="T776" s="84"/>
    </row>
    <row r="777" spans="20:20" ht="14.25" customHeight="1" x14ac:dyDescent="0.2">
      <c r="T777" s="84"/>
    </row>
    <row r="778" spans="20:20" ht="14.25" customHeight="1" x14ac:dyDescent="0.2">
      <c r="T778" s="84"/>
    </row>
    <row r="779" spans="20:20" ht="14.25" customHeight="1" x14ac:dyDescent="0.2">
      <c r="T779" s="84"/>
    </row>
    <row r="780" spans="20:20" ht="14.25" customHeight="1" x14ac:dyDescent="0.2">
      <c r="T780" s="84"/>
    </row>
    <row r="781" spans="20:20" ht="14.25" customHeight="1" x14ac:dyDescent="0.2">
      <c r="T781" s="84"/>
    </row>
    <row r="782" spans="20:20" ht="14.25" customHeight="1" x14ac:dyDescent="0.2">
      <c r="T782" s="84"/>
    </row>
    <row r="783" spans="20:20" ht="14.25" customHeight="1" x14ac:dyDescent="0.2">
      <c r="T783" s="84"/>
    </row>
    <row r="784" spans="20:20" ht="14.25" customHeight="1" x14ac:dyDescent="0.2">
      <c r="T784" s="84"/>
    </row>
    <row r="785" spans="20:20" ht="14.25" customHeight="1" x14ac:dyDescent="0.2">
      <c r="T785" s="84"/>
    </row>
    <row r="786" spans="20:20" ht="14.25" customHeight="1" x14ac:dyDescent="0.2">
      <c r="T786" s="84"/>
    </row>
    <row r="787" spans="20:20" ht="14.25" customHeight="1" x14ac:dyDescent="0.2">
      <c r="T787" s="84"/>
    </row>
    <row r="788" spans="20:20" ht="14.25" customHeight="1" x14ac:dyDescent="0.2">
      <c r="T788" s="84"/>
    </row>
    <row r="789" spans="20:20" ht="14.25" customHeight="1" x14ac:dyDescent="0.2">
      <c r="T789" s="84"/>
    </row>
    <row r="790" spans="20:20" ht="14.25" customHeight="1" x14ac:dyDescent="0.2">
      <c r="T790" s="84"/>
    </row>
    <row r="791" spans="20:20" ht="14.25" customHeight="1" x14ac:dyDescent="0.2">
      <c r="T791" s="84"/>
    </row>
    <row r="792" spans="20:20" ht="14.25" customHeight="1" x14ac:dyDescent="0.2">
      <c r="T792" s="84"/>
    </row>
    <row r="793" spans="20:20" ht="14.25" customHeight="1" x14ac:dyDescent="0.2">
      <c r="T793" s="84"/>
    </row>
    <row r="794" spans="20:20" ht="14.25" customHeight="1" x14ac:dyDescent="0.2">
      <c r="T794" s="84"/>
    </row>
    <row r="795" spans="20:20" ht="14.25" customHeight="1" x14ac:dyDescent="0.2">
      <c r="T795" s="84"/>
    </row>
    <row r="796" spans="20:20" ht="14.25" customHeight="1" x14ac:dyDescent="0.2">
      <c r="T796" s="84"/>
    </row>
    <row r="797" spans="20:20" ht="14.25" customHeight="1" x14ac:dyDescent="0.2">
      <c r="T797" s="84"/>
    </row>
    <row r="798" spans="20:20" ht="14.25" customHeight="1" x14ac:dyDescent="0.2">
      <c r="T798" s="84"/>
    </row>
    <row r="799" spans="20:20" ht="14.25" customHeight="1" x14ac:dyDescent="0.2">
      <c r="T799" s="84"/>
    </row>
    <row r="800" spans="20:20" ht="14.25" customHeight="1" x14ac:dyDescent="0.2">
      <c r="T800" s="84"/>
    </row>
    <row r="801" spans="20:20" ht="14.25" customHeight="1" x14ac:dyDescent="0.2">
      <c r="T801" s="84"/>
    </row>
    <row r="802" spans="20:20" ht="14.25" customHeight="1" x14ac:dyDescent="0.2">
      <c r="T802" s="84"/>
    </row>
    <row r="803" spans="20:20" ht="14.25" customHeight="1" x14ac:dyDescent="0.2">
      <c r="T803" s="84"/>
    </row>
    <row r="804" spans="20:20" ht="14.25" customHeight="1" x14ac:dyDescent="0.2">
      <c r="T804" s="84"/>
    </row>
    <row r="805" spans="20:20" ht="14.25" customHeight="1" x14ac:dyDescent="0.2">
      <c r="T805" s="84"/>
    </row>
    <row r="806" spans="20:20" ht="14.25" customHeight="1" x14ac:dyDescent="0.2">
      <c r="T806" s="84"/>
    </row>
    <row r="807" spans="20:20" ht="14.25" customHeight="1" x14ac:dyDescent="0.2">
      <c r="T807" s="84"/>
    </row>
    <row r="808" spans="20:20" ht="14.25" customHeight="1" x14ac:dyDescent="0.2">
      <c r="T808" s="84"/>
    </row>
    <row r="809" spans="20:20" ht="14.25" customHeight="1" x14ac:dyDescent="0.2">
      <c r="T809" s="84"/>
    </row>
    <row r="810" spans="20:20" ht="14.25" customHeight="1" x14ac:dyDescent="0.2">
      <c r="T810" s="84"/>
    </row>
    <row r="811" spans="20:20" ht="14.25" customHeight="1" x14ac:dyDescent="0.2">
      <c r="T811" s="84"/>
    </row>
    <row r="812" spans="20:20" ht="14.25" customHeight="1" x14ac:dyDescent="0.2">
      <c r="T812" s="84"/>
    </row>
    <row r="813" spans="20:20" ht="14.25" customHeight="1" x14ac:dyDescent="0.2">
      <c r="T813" s="84"/>
    </row>
    <row r="814" spans="20:20" ht="14.25" customHeight="1" x14ac:dyDescent="0.2">
      <c r="T814" s="84"/>
    </row>
    <row r="815" spans="20:20" ht="14.25" customHeight="1" x14ac:dyDescent="0.2">
      <c r="T815" s="84"/>
    </row>
    <row r="816" spans="20:20" ht="14.25" customHeight="1" x14ac:dyDescent="0.2">
      <c r="T816" s="84"/>
    </row>
    <row r="817" spans="20:20" ht="14.25" customHeight="1" x14ac:dyDescent="0.2">
      <c r="T817" s="84"/>
    </row>
    <row r="818" spans="20:20" ht="14.25" customHeight="1" x14ac:dyDescent="0.2">
      <c r="T818" s="84"/>
    </row>
    <row r="819" spans="20:20" ht="14.25" customHeight="1" x14ac:dyDescent="0.2">
      <c r="T819" s="84"/>
    </row>
    <row r="820" spans="20:20" ht="14.25" customHeight="1" x14ac:dyDescent="0.2">
      <c r="T820" s="84"/>
    </row>
    <row r="821" spans="20:20" ht="14.25" customHeight="1" x14ac:dyDescent="0.2">
      <c r="T821" s="84"/>
    </row>
    <row r="822" spans="20:20" ht="14.25" customHeight="1" x14ac:dyDescent="0.2">
      <c r="T822" s="84"/>
    </row>
    <row r="823" spans="20:20" ht="14.25" customHeight="1" x14ac:dyDescent="0.2">
      <c r="T823" s="84"/>
    </row>
    <row r="824" spans="20:20" ht="14.25" customHeight="1" x14ac:dyDescent="0.2">
      <c r="T824" s="84"/>
    </row>
    <row r="825" spans="20:20" ht="14.25" customHeight="1" x14ac:dyDescent="0.2">
      <c r="T825" s="84"/>
    </row>
    <row r="826" spans="20:20" ht="14.25" customHeight="1" x14ac:dyDescent="0.2">
      <c r="T826" s="84"/>
    </row>
    <row r="827" spans="20:20" ht="14.25" customHeight="1" x14ac:dyDescent="0.2">
      <c r="T827" s="84"/>
    </row>
    <row r="828" spans="20:20" ht="14.25" customHeight="1" x14ac:dyDescent="0.2">
      <c r="T828" s="84"/>
    </row>
    <row r="829" spans="20:20" ht="14.25" customHeight="1" x14ac:dyDescent="0.2">
      <c r="T829" s="84"/>
    </row>
    <row r="830" spans="20:20" ht="14.25" customHeight="1" x14ac:dyDescent="0.2">
      <c r="T830" s="84"/>
    </row>
    <row r="831" spans="20:20" ht="14.25" customHeight="1" x14ac:dyDescent="0.2">
      <c r="T831" s="84"/>
    </row>
    <row r="832" spans="20:20" ht="14.25" customHeight="1" x14ac:dyDescent="0.2">
      <c r="T832" s="84"/>
    </row>
    <row r="833" spans="20:20" ht="14.25" customHeight="1" x14ac:dyDescent="0.2">
      <c r="T833" s="84"/>
    </row>
    <row r="834" spans="20:20" ht="14.25" customHeight="1" x14ac:dyDescent="0.2">
      <c r="T834" s="84"/>
    </row>
    <row r="835" spans="20:20" ht="14.25" customHeight="1" x14ac:dyDescent="0.2">
      <c r="T835" s="84"/>
    </row>
    <row r="836" spans="20:20" ht="14.25" customHeight="1" x14ac:dyDescent="0.2">
      <c r="T836" s="84"/>
    </row>
    <row r="837" spans="20:20" ht="14.25" customHeight="1" x14ac:dyDescent="0.2">
      <c r="T837" s="84"/>
    </row>
    <row r="838" spans="20:20" ht="14.25" customHeight="1" x14ac:dyDescent="0.2">
      <c r="T838" s="84"/>
    </row>
    <row r="839" spans="20:20" ht="14.25" customHeight="1" x14ac:dyDescent="0.2">
      <c r="T839" s="84"/>
    </row>
    <row r="840" spans="20:20" ht="14.25" customHeight="1" x14ac:dyDescent="0.2">
      <c r="T840" s="84"/>
    </row>
    <row r="841" spans="20:20" ht="14.25" customHeight="1" x14ac:dyDescent="0.2">
      <c r="T841" s="84"/>
    </row>
    <row r="842" spans="20:20" ht="14.25" customHeight="1" x14ac:dyDescent="0.2">
      <c r="T842" s="84"/>
    </row>
    <row r="843" spans="20:20" ht="14.25" customHeight="1" x14ac:dyDescent="0.2">
      <c r="T843" s="84"/>
    </row>
    <row r="844" spans="20:20" ht="14.25" customHeight="1" x14ac:dyDescent="0.2">
      <c r="T844" s="84"/>
    </row>
    <row r="845" spans="20:20" ht="14.25" customHeight="1" x14ac:dyDescent="0.2">
      <c r="T845" s="84"/>
    </row>
    <row r="846" spans="20:20" ht="14.25" customHeight="1" x14ac:dyDescent="0.2">
      <c r="T846" s="84"/>
    </row>
    <row r="847" spans="20:20" ht="14.25" customHeight="1" x14ac:dyDescent="0.2">
      <c r="T847" s="84"/>
    </row>
    <row r="848" spans="20:20" ht="14.25" customHeight="1" x14ac:dyDescent="0.2">
      <c r="T848" s="84"/>
    </row>
    <row r="849" spans="20:20" ht="14.25" customHeight="1" x14ac:dyDescent="0.2">
      <c r="T849" s="84"/>
    </row>
    <row r="850" spans="20:20" ht="14.25" customHeight="1" x14ac:dyDescent="0.2">
      <c r="T850" s="84"/>
    </row>
    <row r="851" spans="20:20" ht="14.25" customHeight="1" x14ac:dyDescent="0.2">
      <c r="T851" s="84"/>
    </row>
    <row r="852" spans="20:20" ht="14.25" customHeight="1" x14ac:dyDescent="0.2">
      <c r="T852" s="84"/>
    </row>
    <row r="853" spans="20:20" ht="14.25" customHeight="1" x14ac:dyDescent="0.2">
      <c r="T853" s="84"/>
    </row>
    <row r="854" spans="20:20" ht="14.25" customHeight="1" x14ac:dyDescent="0.2">
      <c r="T854" s="84"/>
    </row>
    <row r="855" spans="20:20" ht="14.25" customHeight="1" x14ac:dyDescent="0.2">
      <c r="T855" s="84"/>
    </row>
    <row r="856" spans="20:20" ht="14.25" customHeight="1" x14ac:dyDescent="0.2">
      <c r="T856" s="84"/>
    </row>
    <row r="857" spans="20:20" ht="14.25" customHeight="1" x14ac:dyDescent="0.2">
      <c r="T857" s="84"/>
    </row>
    <row r="858" spans="20:20" ht="14.25" customHeight="1" x14ac:dyDescent="0.2">
      <c r="T858" s="84"/>
    </row>
    <row r="859" spans="20:20" ht="14.25" customHeight="1" x14ac:dyDescent="0.2">
      <c r="T859" s="84"/>
    </row>
    <row r="860" spans="20:20" ht="14.25" customHeight="1" x14ac:dyDescent="0.2">
      <c r="T860" s="84"/>
    </row>
    <row r="861" spans="20:20" ht="14.25" customHeight="1" x14ac:dyDescent="0.2">
      <c r="T861" s="84"/>
    </row>
    <row r="862" spans="20:20" ht="14.25" customHeight="1" x14ac:dyDescent="0.2">
      <c r="T862" s="84"/>
    </row>
    <row r="863" spans="20:20" ht="14.25" customHeight="1" x14ac:dyDescent="0.2">
      <c r="T863" s="84"/>
    </row>
    <row r="864" spans="20:20" ht="14.25" customHeight="1" x14ac:dyDescent="0.2">
      <c r="T864" s="84"/>
    </row>
    <row r="865" spans="20:20" ht="14.25" customHeight="1" x14ac:dyDescent="0.2">
      <c r="T865" s="84"/>
    </row>
    <row r="866" spans="20:20" ht="14.25" customHeight="1" x14ac:dyDescent="0.2">
      <c r="T866" s="84"/>
    </row>
    <row r="867" spans="20:20" ht="14.25" customHeight="1" x14ac:dyDescent="0.2">
      <c r="T867" s="84"/>
    </row>
    <row r="868" spans="20:20" ht="14.25" customHeight="1" x14ac:dyDescent="0.2">
      <c r="T868" s="84"/>
    </row>
    <row r="869" spans="20:20" ht="14.25" customHeight="1" x14ac:dyDescent="0.2">
      <c r="T869" s="84"/>
    </row>
    <row r="870" spans="20:20" ht="14.25" customHeight="1" x14ac:dyDescent="0.2">
      <c r="T870" s="84"/>
    </row>
    <row r="871" spans="20:20" ht="14.25" customHeight="1" x14ac:dyDescent="0.2">
      <c r="T871" s="84"/>
    </row>
    <row r="872" spans="20:20" ht="14.25" customHeight="1" x14ac:dyDescent="0.2">
      <c r="T872" s="84"/>
    </row>
    <row r="873" spans="20:20" ht="14.25" customHeight="1" x14ac:dyDescent="0.2">
      <c r="T873" s="84"/>
    </row>
    <row r="874" spans="20:20" ht="14.25" customHeight="1" x14ac:dyDescent="0.2">
      <c r="T874" s="84"/>
    </row>
    <row r="875" spans="20:20" ht="14.25" customHeight="1" x14ac:dyDescent="0.2">
      <c r="T875" s="84"/>
    </row>
    <row r="876" spans="20:20" ht="14.25" customHeight="1" x14ac:dyDescent="0.2">
      <c r="T876" s="84"/>
    </row>
    <row r="877" spans="20:20" ht="14.25" customHeight="1" x14ac:dyDescent="0.2">
      <c r="T877" s="84"/>
    </row>
    <row r="878" spans="20:20" ht="14.25" customHeight="1" x14ac:dyDescent="0.2">
      <c r="T878" s="84"/>
    </row>
    <row r="879" spans="20:20" ht="14.25" customHeight="1" x14ac:dyDescent="0.2">
      <c r="T879" s="84"/>
    </row>
    <row r="880" spans="20:20" ht="14.25" customHeight="1" x14ac:dyDescent="0.2">
      <c r="T880" s="84"/>
    </row>
    <row r="881" spans="20:20" ht="14.25" customHeight="1" x14ac:dyDescent="0.2">
      <c r="T881" s="84"/>
    </row>
    <row r="882" spans="20:20" ht="14.25" customHeight="1" x14ac:dyDescent="0.2">
      <c r="T882" s="84"/>
    </row>
    <row r="883" spans="20:20" ht="14.25" customHeight="1" x14ac:dyDescent="0.2">
      <c r="T883" s="84"/>
    </row>
    <row r="884" spans="20:20" ht="14.25" customHeight="1" x14ac:dyDescent="0.2">
      <c r="T884" s="84"/>
    </row>
    <row r="885" spans="20:20" ht="14.25" customHeight="1" x14ac:dyDescent="0.2">
      <c r="T885" s="84"/>
    </row>
    <row r="886" spans="20:20" ht="14.25" customHeight="1" x14ac:dyDescent="0.2">
      <c r="T886" s="84"/>
    </row>
    <row r="887" spans="20:20" ht="14.25" customHeight="1" x14ac:dyDescent="0.2">
      <c r="T887" s="84"/>
    </row>
    <row r="888" spans="20:20" ht="14.25" customHeight="1" x14ac:dyDescent="0.2">
      <c r="T888" s="84"/>
    </row>
    <row r="889" spans="20:20" ht="14.25" customHeight="1" x14ac:dyDescent="0.2">
      <c r="T889" s="84"/>
    </row>
    <row r="890" spans="20:20" ht="14.25" customHeight="1" x14ac:dyDescent="0.2">
      <c r="T890" s="84"/>
    </row>
    <row r="891" spans="20:20" ht="14.25" customHeight="1" x14ac:dyDescent="0.2">
      <c r="T891" s="84"/>
    </row>
    <row r="892" spans="20:20" ht="14.25" customHeight="1" x14ac:dyDescent="0.2">
      <c r="T892" s="84"/>
    </row>
    <row r="893" spans="20:20" ht="14.25" customHeight="1" x14ac:dyDescent="0.2">
      <c r="T893" s="84"/>
    </row>
    <row r="894" spans="20:20" ht="14.25" customHeight="1" x14ac:dyDescent="0.2">
      <c r="T894" s="84"/>
    </row>
    <row r="895" spans="20:20" ht="14.25" customHeight="1" x14ac:dyDescent="0.2">
      <c r="T895" s="84"/>
    </row>
    <row r="896" spans="20:20" ht="14.25" customHeight="1" x14ac:dyDescent="0.2">
      <c r="T896" s="84"/>
    </row>
    <row r="897" spans="20:20" ht="14.25" customHeight="1" x14ac:dyDescent="0.2">
      <c r="T897" s="84"/>
    </row>
    <row r="898" spans="20:20" ht="14.25" customHeight="1" x14ac:dyDescent="0.2">
      <c r="T898" s="84"/>
    </row>
    <row r="899" spans="20:20" ht="14.25" customHeight="1" x14ac:dyDescent="0.2">
      <c r="T899" s="84"/>
    </row>
    <row r="900" spans="20:20" ht="14.25" customHeight="1" x14ac:dyDescent="0.2">
      <c r="T900" s="84"/>
    </row>
    <row r="901" spans="20:20" ht="14.25" customHeight="1" x14ac:dyDescent="0.2">
      <c r="T901" s="84"/>
    </row>
    <row r="902" spans="20:20" ht="14.25" customHeight="1" x14ac:dyDescent="0.2">
      <c r="T902" s="84"/>
    </row>
    <row r="903" spans="20:20" ht="14.25" customHeight="1" x14ac:dyDescent="0.2">
      <c r="T903" s="84"/>
    </row>
    <row r="904" spans="20:20" ht="14.25" customHeight="1" x14ac:dyDescent="0.2">
      <c r="T904" s="84"/>
    </row>
    <row r="905" spans="20:20" ht="14.25" customHeight="1" x14ac:dyDescent="0.2">
      <c r="T905" s="84"/>
    </row>
    <row r="906" spans="20:20" ht="14.25" customHeight="1" x14ac:dyDescent="0.2">
      <c r="T906" s="84"/>
    </row>
    <row r="907" spans="20:20" ht="14.25" customHeight="1" x14ac:dyDescent="0.2">
      <c r="T907" s="84"/>
    </row>
    <row r="908" spans="20:20" ht="14.25" customHeight="1" x14ac:dyDescent="0.2">
      <c r="T908" s="84"/>
    </row>
    <row r="909" spans="20:20" ht="14.25" customHeight="1" x14ac:dyDescent="0.2">
      <c r="T909" s="84"/>
    </row>
    <row r="910" spans="20:20" ht="14.25" customHeight="1" x14ac:dyDescent="0.2">
      <c r="T910" s="84"/>
    </row>
    <row r="911" spans="20:20" ht="14.25" customHeight="1" x14ac:dyDescent="0.2">
      <c r="T911" s="84"/>
    </row>
    <row r="912" spans="20:20" ht="14.25" customHeight="1" x14ac:dyDescent="0.2">
      <c r="T912" s="84"/>
    </row>
    <row r="913" spans="20:20" ht="14.25" customHeight="1" x14ac:dyDescent="0.2">
      <c r="T913" s="84"/>
    </row>
    <row r="914" spans="20:20" ht="14.25" customHeight="1" x14ac:dyDescent="0.2">
      <c r="T914" s="84"/>
    </row>
    <row r="915" spans="20:20" ht="14.25" customHeight="1" x14ac:dyDescent="0.2">
      <c r="T915" s="84"/>
    </row>
    <row r="916" spans="20:20" ht="14.25" customHeight="1" x14ac:dyDescent="0.2">
      <c r="T916" s="84"/>
    </row>
    <row r="917" spans="20:20" ht="14.25" customHeight="1" x14ac:dyDescent="0.2">
      <c r="T917" s="84"/>
    </row>
    <row r="918" spans="20:20" ht="14.25" customHeight="1" x14ac:dyDescent="0.2">
      <c r="T918" s="84"/>
    </row>
    <row r="919" spans="20:20" ht="14.25" customHeight="1" x14ac:dyDescent="0.2">
      <c r="T919" s="84"/>
    </row>
    <row r="920" spans="20:20" ht="14.25" customHeight="1" x14ac:dyDescent="0.2">
      <c r="T920" s="84"/>
    </row>
    <row r="921" spans="20:20" ht="14.25" customHeight="1" x14ac:dyDescent="0.2">
      <c r="T921" s="84"/>
    </row>
    <row r="922" spans="20:20" ht="14.25" customHeight="1" x14ac:dyDescent="0.2">
      <c r="T922" s="84"/>
    </row>
    <row r="923" spans="20:20" ht="14.25" customHeight="1" x14ac:dyDescent="0.2">
      <c r="T923" s="84"/>
    </row>
    <row r="924" spans="20:20" ht="14.25" customHeight="1" x14ac:dyDescent="0.2">
      <c r="T924" s="84"/>
    </row>
    <row r="925" spans="20:20" ht="14.25" customHeight="1" x14ac:dyDescent="0.2">
      <c r="T925" s="84"/>
    </row>
    <row r="926" spans="20:20" ht="14.25" customHeight="1" x14ac:dyDescent="0.2">
      <c r="T926" s="84"/>
    </row>
    <row r="927" spans="20:20" ht="14.25" customHeight="1" x14ac:dyDescent="0.2">
      <c r="T927" s="84"/>
    </row>
    <row r="928" spans="20:20" ht="14.25" customHeight="1" x14ac:dyDescent="0.2">
      <c r="T928" s="84"/>
    </row>
    <row r="929" spans="20:20" ht="14.25" customHeight="1" x14ac:dyDescent="0.2">
      <c r="T929" s="84"/>
    </row>
    <row r="930" spans="20:20" ht="14.25" customHeight="1" x14ac:dyDescent="0.2">
      <c r="T930" s="84"/>
    </row>
    <row r="931" spans="20:20" ht="14.25" customHeight="1" x14ac:dyDescent="0.2">
      <c r="T931" s="84"/>
    </row>
    <row r="932" spans="20:20" ht="14.25" customHeight="1" x14ac:dyDescent="0.2">
      <c r="T932" s="84"/>
    </row>
    <row r="933" spans="20:20" ht="14.25" customHeight="1" x14ac:dyDescent="0.2">
      <c r="T933" s="84"/>
    </row>
    <row r="934" spans="20:20" ht="14.25" customHeight="1" x14ac:dyDescent="0.2">
      <c r="T934" s="84"/>
    </row>
    <row r="935" spans="20:20" ht="14.25" customHeight="1" x14ac:dyDescent="0.2">
      <c r="T935" s="84"/>
    </row>
    <row r="936" spans="20:20" ht="14.25" customHeight="1" x14ac:dyDescent="0.2">
      <c r="T936" s="84"/>
    </row>
    <row r="937" spans="20:20" ht="14.25" customHeight="1" x14ac:dyDescent="0.2">
      <c r="T937" s="84"/>
    </row>
    <row r="938" spans="20:20" ht="14.25" customHeight="1" x14ac:dyDescent="0.2">
      <c r="T938" s="84"/>
    </row>
    <row r="939" spans="20:20" ht="14.25" customHeight="1" x14ac:dyDescent="0.2">
      <c r="T939" s="84"/>
    </row>
    <row r="940" spans="20:20" ht="14.25" customHeight="1" x14ac:dyDescent="0.2">
      <c r="T940" s="84"/>
    </row>
    <row r="941" spans="20:20" ht="14.25" customHeight="1" x14ac:dyDescent="0.2">
      <c r="T941" s="84"/>
    </row>
    <row r="942" spans="20:20" ht="14.25" customHeight="1" x14ac:dyDescent="0.2">
      <c r="T942" s="84"/>
    </row>
    <row r="943" spans="20:20" ht="14.25" customHeight="1" x14ac:dyDescent="0.2">
      <c r="T943" s="84"/>
    </row>
    <row r="944" spans="20:20" ht="14.25" customHeight="1" x14ac:dyDescent="0.2">
      <c r="T944" s="84"/>
    </row>
    <row r="945" spans="20:20" ht="14.25" customHeight="1" x14ac:dyDescent="0.2">
      <c r="T945" s="84"/>
    </row>
    <row r="946" spans="20:20" ht="14.25" customHeight="1" x14ac:dyDescent="0.2">
      <c r="T946" s="84"/>
    </row>
    <row r="947" spans="20:20" ht="14.25" customHeight="1" x14ac:dyDescent="0.2">
      <c r="T947" s="84"/>
    </row>
    <row r="948" spans="20:20" ht="14.25" customHeight="1" x14ac:dyDescent="0.2">
      <c r="T948" s="84"/>
    </row>
    <row r="949" spans="20:20" ht="14.25" customHeight="1" x14ac:dyDescent="0.2">
      <c r="T949" s="84"/>
    </row>
    <row r="950" spans="20:20" ht="14.25" customHeight="1" x14ac:dyDescent="0.2">
      <c r="T950" s="84"/>
    </row>
    <row r="951" spans="20:20" ht="14.25" customHeight="1" x14ac:dyDescent="0.2">
      <c r="T951" s="84"/>
    </row>
    <row r="952" spans="20:20" ht="14.25" customHeight="1" x14ac:dyDescent="0.2">
      <c r="T952" s="84"/>
    </row>
    <row r="953" spans="20:20" ht="14.25" customHeight="1" x14ac:dyDescent="0.2">
      <c r="T953" s="84"/>
    </row>
    <row r="954" spans="20:20" ht="14.25" customHeight="1" x14ac:dyDescent="0.2">
      <c r="T954" s="84"/>
    </row>
    <row r="955" spans="20:20" ht="14.25" customHeight="1" x14ac:dyDescent="0.2">
      <c r="T955" s="84"/>
    </row>
    <row r="956" spans="20:20" ht="14.25" customHeight="1" x14ac:dyDescent="0.2">
      <c r="T956" s="84"/>
    </row>
    <row r="957" spans="20:20" ht="14.25" customHeight="1" x14ac:dyDescent="0.2">
      <c r="T957" s="84"/>
    </row>
    <row r="958" spans="20:20" ht="14.25" customHeight="1" x14ac:dyDescent="0.2">
      <c r="T958" s="84"/>
    </row>
    <row r="959" spans="20:20" ht="14.25" customHeight="1" x14ac:dyDescent="0.2">
      <c r="T959" s="84"/>
    </row>
    <row r="960" spans="20:20" ht="14.25" customHeight="1" x14ac:dyDescent="0.2">
      <c r="T960" s="84"/>
    </row>
    <row r="961" spans="20:20" ht="14.25" customHeight="1" x14ac:dyDescent="0.2">
      <c r="T961" s="84"/>
    </row>
    <row r="962" spans="20:20" ht="14.25" customHeight="1" x14ac:dyDescent="0.2">
      <c r="T962" s="84"/>
    </row>
    <row r="963" spans="20:20" ht="14.25" customHeight="1" x14ac:dyDescent="0.2">
      <c r="T963" s="84"/>
    </row>
    <row r="964" spans="20:20" ht="14.25" customHeight="1" x14ac:dyDescent="0.2">
      <c r="T964" s="84"/>
    </row>
    <row r="965" spans="20:20" ht="14.25" customHeight="1" x14ac:dyDescent="0.2">
      <c r="T965" s="84"/>
    </row>
    <row r="966" spans="20:20" ht="14.25" customHeight="1" x14ac:dyDescent="0.2">
      <c r="T966" s="84"/>
    </row>
    <row r="967" spans="20:20" ht="14.25" customHeight="1" x14ac:dyDescent="0.2">
      <c r="T967" s="84"/>
    </row>
    <row r="968" spans="20:20" ht="14.25" customHeight="1" x14ac:dyDescent="0.2">
      <c r="T968" s="84"/>
    </row>
    <row r="969" spans="20:20" ht="14.25" customHeight="1" x14ac:dyDescent="0.2">
      <c r="T969" s="84"/>
    </row>
    <row r="970" spans="20:20" ht="14.25" customHeight="1" x14ac:dyDescent="0.2">
      <c r="T970" s="84"/>
    </row>
    <row r="971" spans="20:20" ht="14.25" customHeight="1" x14ac:dyDescent="0.2">
      <c r="T971" s="84"/>
    </row>
    <row r="972" spans="20:20" ht="14.25" customHeight="1" x14ac:dyDescent="0.2">
      <c r="T972" s="84"/>
    </row>
    <row r="973" spans="20:20" ht="14.25" customHeight="1" x14ac:dyDescent="0.2">
      <c r="T973" s="84"/>
    </row>
    <row r="974" spans="20:20" ht="14.25" customHeight="1" x14ac:dyDescent="0.2">
      <c r="T974" s="84"/>
    </row>
    <row r="975" spans="20:20" ht="14.25" customHeight="1" x14ac:dyDescent="0.2">
      <c r="T975" s="84"/>
    </row>
    <row r="976" spans="20:20" ht="14.25" customHeight="1" x14ac:dyDescent="0.2">
      <c r="T976" s="84"/>
    </row>
    <row r="977" spans="20:20" ht="14.25" customHeight="1" x14ac:dyDescent="0.2">
      <c r="T977" s="84"/>
    </row>
    <row r="978" spans="20:20" ht="14.25" customHeight="1" x14ac:dyDescent="0.2">
      <c r="T978" s="84"/>
    </row>
    <row r="979" spans="20:20" ht="14.25" customHeight="1" x14ac:dyDescent="0.2">
      <c r="T979" s="84"/>
    </row>
    <row r="980" spans="20:20" ht="14.25" customHeight="1" x14ac:dyDescent="0.2">
      <c r="T980" s="84"/>
    </row>
    <row r="981" spans="20:20" ht="14.25" customHeight="1" x14ac:dyDescent="0.2">
      <c r="T981" s="84"/>
    </row>
    <row r="982" spans="20:20" ht="14.25" customHeight="1" x14ac:dyDescent="0.2">
      <c r="T982" s="84"/>
    </row>
    <row r="983" spans="20:20" ht="14.25" customHeight="1" x14ac:dyDescent="0.2">
      <c r="T983" s="84"/>
    </row>
    <row r="984" spans="20:20" ht="14.25" customHeight="1" x14ac:dyDescent="0.2">
      <c r="T984" s="84"/>
    </row>
    <row r="985" spans="20:20" ht="14.25" customHeight="1" x14ac:dyDescent="0.2">
      <c r="T985" s="84"/>
    </row>
    <row r="986" spans="20:20" ht="14.25" customHeight="1" x14ac:dyDescent="0.2">
      <c r="T986" s="84"/>
    </row>
    <row r="987" spans="20:20" ht="14.25" customHeight="1" x14ac:dyDescent="0.2">
      <c r="T987" s="84"/>
    </row>
    <row r="988" spans="20:20" ht="14.25" customHeight="1" x14ac:dyDescent="0.2">
      <c r="T988" s="84"/>
    </row>
    <row r="989" spans="20:20" ht="14.25" customHeight="1" x14ac:dyDescent="0.2">
      <c r="T989" s="84"/>
    </row>
    <row r="990" spans="20:20" ht="14.25" customHeight="1" x14ac:dyDescent="0.2">
      <c r="T990" s="84"/>
    </row>
    <row r="991" spans="20:20" ht="14.25" customHeight="1" x14ac:dyDescent="0.2">
      <c r="T991" s="84"/>
    </row>
    <row r="992" spans="20:20" ht="14.25" customHeight="1" x14ac:dyDescent="0.2">
      <c r="T992" s="84"/>
    </row>
    <row r="993" spans="20:20" ht="14.25" customHeight="1" x14ac:dyDescent="0.2">
      <c r="T993" s="84"/>
    </row>
    <row r="994" spans="20:20" ht="14.25" customHeight="1" x14ac:dyDescent="0.2">
      <c r="T994" s="84"/>
    </row>
    <row r="995" spans="20:20" ht="14.25" customHeight="1" x14ac:dyDescent="0.2">
      <c r="T995" s="84"/>
    </row>
    <row r="996" spans="20:20" ht="14.25" customHeight="1" x14ac:dyDescent="0.2">
      <c r="T996" s="84"/>
    </row>
    <row r="997" spans="20:20" ht="14.25" customHeight="1" x14ac:dyDescent="0.2">
      <c r="T997" s="84"/>
    </row>
    <row r="998" spans="20:20" ht="14.25" customHeight="1" x14ac:dyDescent="0.2">
      <c r="T998" s="84"/>
    </row>
    <row r="999" spans="20:20" ht="14.25" customHeight="1" x14ac:dyDescent="0.2">
      <c r="T999" s="84"/>
    </row>
    <row r="1000" spans="20:20" ht="14.25" customHeight="1" x14ac:dyDescent="0.2">
      <c r="T1000" s="84"/>
    </row>
  </sheetData>
  <mergeCells count="136">
    <mergeCell ref="C2:C3"/>
    <mergeCell ref="C4:C9"/>
    <mergeCell ref="D4:D6"/>
    <mergeCell ref="E4:E6"/>
    <mergeCell ref="F4:F6"/>
    <mergeCell ref="G4:G6"/>
    <mergeCell ref="Q4:Q6"/>
    <mergeCell ref="R4:R6"/>
    <mergeCell ref="H4:H10"/>
    <mergeCell ref="I4:I10"/>
    <mergeCell ref="E7:E9"/>
    <mergeCell ref="F7:F9"/>
    <mergeCell ref="J4:J6"/>
    <mergeCell ref="J7:J9"/>
    <mergeCell ref="K7:K9"/>
    <mergeCell ref="L7:L9"/>
    <mergeCell ref="Q7:Q9"/>
    <mergeCell ref="R7:R9"/>
    <mergeCell ref="K2:K3"/>
    <mergeCell ref="Q11:Q12"/>
    <mergeCell ref="R11:R12"/>
    <mergeCell ref="B4:B10"/>
    <mergeCell ref="D7:D9"/>
    <mergeCell ref="B11:B13"/>
    <mergeCell ref="C11:C13"/>
    <mergeCell ref="D11:D12"/>
    <mergeCell ref="E11:E12"/>
    <mergeCell ref="F11:F12"/>
    <mergeCell ref="G11:G13"/>
    <mergeCell ref="H11:H13"/>
    <mergeCell ref="I11:I13"/>
    <mergeCell ref="C17:C26"/>
    <mergeCell ref="D17:D20"/>
    <mergeCell ref="E17:E20"/>
    <mergeCell ref="F17:F20"/>
    <mergeCell ref="M7:M9"/>
    <mergeCell ref="N7:N9"/>
    <mergeCell ref="K11:K12"/>
    <mergeCell ref="L11:L12"/>
    <mergeCell ref="M11:M12"/>
    <mergeCell ref="N11:N12"/>
    <mergeCell ref="K17:K20"/>
    <mergeCell ref="L17:L20"/>
    <mergeCell ref="M17:M20"/>
    <mergeCell ref="N17:N20"/>
    <mergeCell ref="J21:J24"/>
    <mergeCell ref="D25:D26"/>
    <mergeCell ref="E25:E26"/>
    <mergeCell ref="J25:J26"/>
    <mergeCell ref="Q17:Q20"/>
    <mergeCell ref="R17:R20"/>
    <mergeCell ref="M21:M24"/>
    <mergeCell ref="N21:N24"/>
    <mergeCell ref="Q21:Q24"/>
    <mergeCell ref="R21:R24"/>
    <mergeCell ref="Q30:Q31"/>
    <mergeCell ref="Q32:Q35"/>
    <mergeCell ref="R32:R35"/>
    <mergeCell ref="N25:N26"/>
    <mergeCell ref="Q36:Q38"/>
    <mergeCell ref="R36:R38"/>
    <mergeCell ref="K25:K26"/>
    <mergeCell ref="L25:L26"/>
    <mergeCell ref="Q25:Q26"/>
    <mergeCell ref="R25:R26"/>
    <mergeCell ref="Q27:Q29"/>
    <mergeCell ref="R27:R29"/>
    <mergeCell ref="R30:R31"/>
    <mergeCell ref="M32:M35"/>
    <mergeCell ref="N32:N35"/>
    <mergeCell ref="K36:K38"/>
    <mergeCell ref="L36:L38"/>
    <mergeCell ref="M36:M38"/>
    <mergeCell ref="N36:N38"/>
    <mergeCell ref="O2:O38"/>
    <mergeCell ref="P2:P38"/>
    <mergeCell ref="K4:K6"/>
    <mergeCell ref="L4:L6"/>
    <mergeCell ref="M4:M6"/>
    <mergeCell ref="N4:N6"/>
    <mergeCell ref="K21:K24"/>
    <mergeCell ref="L21:L24"/>
    <mergeCell ref="M25:M26"/>
    <mergeCell ref="G27:G29"/>
    <mergeCell ref="H27:H38"/>
    <mergeCell ref="I27:I38"/>
    <mergeCell ref="J27:J29"/>
    <mergeCell ref="D30:D31"/>
    <mergeCell ref="E30:E31"/>
    <mergeCell ref="F30:F31"/>
    <mergeCell ref="G30:G31"/>
    <mergeCell ref="J30:J31"/>
    <mergeCell ref="D32:D35"/>
    <mergeCell ref="E32:E35"/>
    <mergeCell ref="F32:F35"/>
    <mergeCell ref="G32:G35"/>
    <mergeCell ref="J32:J35"/>
    <mergeCell ref="D36:D38"/>
    <mergeCell ref="E36:E38"/>
    <mergeCell ref="F36:F38"/>
    <mergeCell ref="G36:G38"/>
    <mergeCell ref="J36:J38"/>
    <mergeCell ref="A2:A38"/>
    <mergeCell ref="G2:G3"/>
    <mergeCell ref="H2:H3"/>
    <mergeCell ref="I2:I3"/>
    <mergeCell ref="J2:J3"/>
    <mergeCell ref="G7:G9"/>
    <mergeCell ref="J11:J12"/>
    <mergeCell ref="B2:B3"/>
    <mergeCell ref="B17:B26"/>
    <mergeCell ref="G17:G26"/>
    <mergeCell ref="H17:H20"/>
    <mergeCell ref="H21:H26"/>
    <mergeCell ref="I17:I20"/>
    <mergeCell ref="J17:J20"/>
    <mergeCell ref="D21:D24"/>
    <mergeCell ref="E21:E24"/>
    <mergeCell ref="F21:F24"/>
    <mergeCell ref="I21:I26"/>
    <mergeCell ref="F25:F26"/>
    <mergeCell ref="B27:B38"/>
    <mergeCell ref="C27:C38"/>
    <mergeCell ref="D27:D29"/>
    <mergeCell ref="E27:E29"/>
    <mergeCell ref="F27:F29"/>
    <mergeCell ref="K27:K29"/>
    <mergeCell ref="L27:L29"/>
    <mergeCell ref="M27:M29"/>
    <mergeCell ref="N27:N29"/>
    <mergeCell ref="K30:K31"/>
    <mergeCell ref="L30:L31"/>
    <mergeCell ref="M30:M31"/>
    <mergeCell ref="N30:N31"/>
    <mergeCell ref="K32:K35"/>
    <mergeCell ref="L32:L35"/>
  </mergeCells>
  <conditionalFormatting sqref="R2:R7 R11 R13:R14 R17:R25">
    <cfRule type="colorScale" priority="5">
      <colorScale>
        <cfvo type="min"/>
        <cfvo type="percentile" val="50"/>
        <cfvo type="max"/>
        <color rgb="FFF8696B"/>
        <color rgb="FFFFEB84"/>
        <color rgb="FF63BE7B"/>
      </colorScale>
    </cfRule>
  </conditionalFormatting>
  <conditionalFormatting sqref="R2:R7 R11:R14 R16:R26">
    <cfRule type="colorScale" priority="4">
      <colorScale>
        <cfvo type="min"/>
        <cfvo type="percentile" val="50"/>
        <cfvo type="max"/>
        <color rgb="FFF8696B"/>
        <color rgb="FFFFEB84"/>
        <color rgb="FF63BE7B"/>
      </colorScale>
    </cfRule>
  </conditionalFormatting>
  <conditionalFormatting sqref="R2:R31 R36:R38">
    <cfRule type="colorScale" priority="1">
      <colorScale>
        <cfvo type="min"/>
        <cfvo type="percentile" val="50"/>
        <cfvo type="max"/>
        <color rgb="FFF8696B"/>
        <color rgb="FFFFEB84"/>
        <color rgb="FF63BE7B"/>
      </colorScale>
    </cfRule>
  </conditionalFormatting>
  <conditionalFormatting sqref="R15">
    <cfRule type="colorScale" priority="2">
      <colorScale>
        <cfvo type="min"/>
        <cfvo type="percentile" val="50"/>
        <cfvo type="max"/>
        <color rgb="FFF8696B"/>
        <color rgb="FFFFEB84"/>
        <color rgb="FF63BE7B"/>
      </colorScale>
    </cfRule>
  </conditionalFormatting>
  <conditionalFormatting sqref="R16">
    <cfRule type="colorScale" priority="3">
      <colorScale>
        <cfvo type="min"/>
        <cfvo type="percentile" val="50"/>
        <cfvo type="max"/>
        <color rgb="FFF8696B"/>
        <color rgb="FFFFEB84"/>
        <color rgb="FF63BE7B"/>
      </colorScale>
    </cfRule>
  </conditionalFormatting>
  <conditionalFormatting sqref="R27:R31 R36:R38">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onditionalFormatting>
  <conditionalFormatting sqref="R32:R35">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fRule type="colorScale" priority="10">
      <colorScale>
        <cfvo type="min"/>
        <cfvo type="percentile" val="50"/>
        <cfvo type="max"/>
        <color rgb="FFF8696B"/>
        <color rgb="FFFFEB84"/>
        <color rgb="FF63BE7B"/>
      </colorScale>
    </cfRule>
  </conditionalFormatting>
  <hyperlinks>
    <hyperlink ref="S4" r:id="rId1" xr:uid="{00000000-0004-0000-1900-000000000000}"/>
    <hyperlink ref="S6" r:id="rId2" xr:uid="{00000000-0004-0000-1900-000001000000}"/>
    <hyperlink ref="S11" r:id="rId3" xr:uid="{00000000-0004-0000-1900-000002000000}"/>
    <hyperlink ref="S13" r:id="rId4" location=":~:text=The%20minimum%20thickness%20for%20commercial,to%202.5%20psf%20of%20reinforcing). " xr:uid="{00000000-0004-0000-1900-000003000000}"/>
    <hyperlink ref="S18" r:id="rId5" xr:uid="{00000000-0004-0000-1900-000004000000}"/>
    <hyperlink ref="S24" r:id="rId6" xr:uid="{00000000-0004-0000-1900-000005000000}"/>
    <hyperlink ref="S26" r:id="rId7" xr:uid="{00000000-0004-0000-1900-000006000000}"/>
  </hyperlinks>
  <pageMargins left="0.7" right="0.7" top="0.75" bottom="0.75" header="0" footer="0"/>
  <pageSetup orientation="portrait"/>
  <drawing r:id="rId8"/>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L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37.164062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38" width="8.6640625" customWidth="1"/>
  </cols>
  <sheetData>
    <row r="1" spans="1:38"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1507</v>
      </c>
      <c r="R1" s="28" t="s">
        <v>133</v>
      </c>
      <c r="S1" s="28" t="s">
        <v>134</v>
      </c>
      <c r="T1" s="31" t="s">
        <v>135</v>
      </c>
      <c r="U1" s="32"/>
      <c r="V1" s="33"/>
      <c r="W1" s="33"/>
      <c r="X1" s="33"/>
      <c r="Y1" s="33"/>
      <c r="Z1" s="33"/>
      <c r="AA1" s="33"/>
      <c r="AB1" s="33"/>
      <c r="AC1" s="33"/>
      <c r="AD1" s="33"/>
      <c r="AE1" s="33"/>
      <c r="AF1" s="33"/>
      <c r="AG1" s="33"/>
      <c r="AH1" s="33"/>
      <c r="AI1" s="33"/>
      <c r="AJ1" s="33"/>
      <c r="AK1" s="33"/>
      <c r="AL1" s="33"/>
    </row>
    <row r="2" spans="1:38" ht="16.5" customHeight="1" x14ac:dyDescent="0.2">
      <c r="A2" s="185" t="s">
        <v>141</v>
      </c>
      <c r="B2" s="183" t="s">
        <v>53</v>
      </c>
      <c r="C2" s="183" t="s">
        <v>139</v>
      </c>
      <c r="D2" s="179" t="s">
        <v>140</v>
      </c>
      <c r="E2" s="179" t="s">
        <v>140</v>
      </c>
      <c r="F2" s="179" t="s">
        <v>140</v>
      </c>
      <c r="G2" s="182">
        <v>1</v>
      </c>
      <c r="H2" s="182">
        <v>750</v>
      </c>
      <c r="I2" s="183" t="s">
        <v>142</v>
      </c>
      <c r="J2" s="178">
        <v>0.66666666666666663</v>
      </c>
      <c r="K2" s="178">
        <v>1.5</v>
      </c>
      <c r="L2" s="178">
        <v>150</v>
      </c>
      <c r="M2" s="179" t="s">
        <v>1510</v>
      </c>
      <c r="N2" s="188">
        <f>L2*K2*J2*H2</f>
        <v>112500</v>
      </c>
      <c r="O2" s="186">
        <v>63918</v>
      </c>
      <c r="P2" s="183" t="s">
        <v>1512</v>
      </c>
      <c r="Q2" s="175">
        <f>N2/O2</f>
        <v>1.7600675865953253</v>
      </c>
      <c r="R2" s="191">
        <v>4</v>
      </c>
      <c r="S2" s="14" t="s">
        <v>149</v>
      </c>
      <c r="T2" s="14" t="s">
        <v>150</v>
      </c>
    </row>
    <row r="3" spans="1:38" ht="14.25" customHeight="1" x14ac:dyDescent="0.2">
      <c r="A3" s="181"/>
      <c r="B3" s="181"/>
      <c r="C3" s="181"/>
      <c r="D3" s="176"/>
      <c r="E3" s="176"/>
      <c r="F3" s="176"/>
      <c r="G3" s="181"/>
      <c r="H3" s="181"/>
      <c r="I3" s="181"/>
      <c r="J3" s="181"/>
      <c r="K3" s="181"/>
      <c r="L3" s="176"/>
      <c r="M3" s="176"/>
      <c r="N3" s="176"/>
      <c r="O3" s="181"/>
      <c r="P3" s="181"/>
      <c r="Q3" s="176"/>
      <c r="R3" s="176"/>
      <c r="S3" s="14" t="s">
        <v>401</v>
      </c>
      <c r="T3" s="14" t="s">
        <v>714</v>
      </c>
    </row>
    <row r="4" spans="1:38" ht="14.25" customHeight="1" x14ac:dyDescent="0.2">
      <c r="A4" s="181"/>
      <c r="B4" s="176"/>
      <c r="C4" s="176"/>
      <c r="D4" s="14" t="s">
        <v>154</v>
      </c>
      <c r="E4" s="14" t="s">
        <v>155</v>
      </c>
      <c r="F4" s="14" t="s">
        <v>156</v>
      </c>
      <c r="G4" s="176"/>
      <c r="H4" s="176"/>
      <c r="I4" s="176"/>
      <c r="J4" s="176"/>
      <c r="K4" s="176"/>
      <c r="L4" s="14">
        <v>5.25</v>
      </c>
      <c r="M4" s="14" t="s">
        <v>1516</v>
      </c>
      <c r="N4" s="38">
        <f>L4*K2*J2*H2</f>
        <v>3937.5</v>
      </c>
      <c r="O4" s="181"/>
      <c r="P4" s="181"/>
      <c r="Q4" s="19">
        <f t="shared" ref="Q4:Q13" si="0">N4/$O$2</f>
        <v>6.1602365530836381E-2</v>
      </c>
      <c r="R4" s="48">
        <v>4</v>
      </c>
      <c r="S4" s="40" t="s">
        <v>240</v>
      </c>
      <c r="T4" s="14" t="s">
        <v>1518</v>
      </c>
    </row>
    <row r="5" spans="1:38" ht="14.25" customHeight="1" x14ac:dyDescent="0.2">
      <c r="A5" s="181"/>
      <c r="B5" s="183" t="s">
        <v>164</v>
      </c>
      <c r="C5" s="183" t="s">
        <v>165</v>
      </c>
      <c r="D5" s="14" t="s">
        <v>140</v>
      </c>
      <c r="E5" s="41" t="s">
        <v>140</v>
      </c>
      <c r="F5" s="41" t="s">
        <v>140</v>
      </c>
      <c r="G5" s="182">
        <v>1</v>
      </c>
      <c r="H5" s="182">
        <v>25000</v>
      </c>
      <c r="I5" s="183" t="s">
        <v>166</v>
      </c>
      <c r="J5" s="175">
        <v>0.66666666666666663</v>
      </c>
      <c r="K5" s="179" t="s">
        <v>27</v>
      </c>
      <c r="L5" s="14">
        <v>150</v>
      </c>
      <c r="M5" s="14" t="s">
        <v>1523</v>
      </c>
      <c r="N5" s="38">
        <f>L5*J5*H5</f>
        <v>2500000</v>
      </c>
      <c r="O5" s="181"/>
      <c r="P5" s="181"/>
      <c r="Q5" s="19">
        <f t="shared" si="0"/>
        <v>39.112613035451673</v>
      </c>
      <c r="R5" s="49">
        <v>5</v>
      </c>
      <c r="S5" s="14" t="s">
        <v>388</v>
      </c>
      <c r="T5" s="14"/>
    </row>
    <row r="6" spans="1:38" ht="14.25" customHeight="1" x14ac:dyDescent="0.2">
      <c r="A6" s="181"/>
      <c r="B6" s="176"/>
      <c r="C6" s="176"/>
      <c r="D6" s="14" t="s">
        <v>154</v>
      </c>
      <c r="E6" s="41" t="s">
        <v>155</v>
      </c>
      <c r="F6" s="41" t="s">
        <v>156</v>
      </c>
      <c r="G6" s="176"/>
      <c r="H6" s="176"/>
      <c r="I6" s="176"/>
      <c r="J6" s="176"/>
      <c r="K6" s="176"/>
      <c r="L6" s="14">
        <v>6</v>
      </c>
      <c r="M6" s="14" t="s">
        <v>1525</v>
      </c>
      <c r="N6" s="38">
        <f>L6*J5*H5</f>
        <v>100000</v>
      </c>
      <c r="O6" s="181"/>
      <c r="P6" s="181"/>
      <c r="Q6" s="19">
        <f t="shared" si="0"/>
        <v>1.5645045214180668</v>
      </c>
      <c r="R6" s="49">
        <v>5</v>
      </c>
      <c r="S6" s="40" t="s">
        <v>240</v>
      </c>
      <c r="T6" s="14" t="s">
        <v>405</v>
      </c>
    </row>
    <row r="7" spans="1:38" ht="17.25" customHeight="1" x14ac:dyDescent="0.2">
      <c r="A7" s="181"/>
      <c r="B7" s="184" t="s">
        <v>176</v>
      </c>
      <c r="C7" s="184" t="s">
        <v>473</v>
      </c>
      <c r="D7" s="240" t="s">
        <v>255</v>
      </c>
      <c r="E7" s="41" t="s">
        <v>140</v>
      </c>
      <c r="F7" s="41" t="s">
        <v>140</v>
      </c>
      <c r="G7" s="182">
        <v>1</v>
      </c>
      <c r="H7" s="182">
        <v>50000</v>
      </c>
      <c r="I7" s="183" t="s">
        <v>166</v>
      </c>
      <c r="J7" s="175">
        <v>0.5</v>
      </c>
      <c r="K7" s="179" t="s">
        <v>27</v>
      </c>
      <c r="L7" s="14">
        <v>150</v>
      </c>
      <c r="M7" s="14" t="s">
        <v>1529</v>
      </c>
      <c r="N7" s="38">
        <f>L7*J7*H7</f>
        <v>3750000</v>
      </c>
      <c r="O7" s="181"/>
      <c r="P7" s="181"/>
      <c r="Q7" s="19">
        <f t="shared" si="0"/>
        <v>58.66891955317751</v>
      </c>
      <c r="R7" s="62">
        <v>2</v>
      </c>
      <c r="S7" s="14" t="s">
        <v>181</v>
      </c>
      <c r="T7" s="14" t="s">
        <v>478</v>
      </c>
    </row>
    <row r="8" spans="1:38" ht="17.25" customHeight="1" x14ac:dyDescent="0.2">
      <c r="A8" s="181"/>
      <c r="B8" s="181"/>
      <c r="C8" s="181"/>
      <c r="D8" s="176"/>
      <c r="E8" s="41" t="s">
        <v>155</v>
      </c>
      <c r="F8" s="41" t="s">
        <v>156</v>
      </c>
      <c r="G8" s="176"/>
      <c r="H8" s="181"/>
      <c r="I8" s="181"/>
      <c r="J8" s="176"/>
      <c r="K8" s="176"/>
      <c r="L8" s="14">
        <v>6</v>
      </c>
      <c r="M8" s="14" t="s">
        <v>1533</v>
      </c>
      <c r="N8" s="38">
        <f>L8*J7*H7</f>
        <v>150000</v>
      </c>
      <c r="O8" s="181"/>
      <c r="P8" s="181"/>
      <c r="Q8" s="19">
        <f t="shared" si="0"/>
        <v>2.3467567821271005</v>
      </c>
      <c r="R8" s="62">
        <v>2</v>
      </c>
      <c r="S8" s="40" t="s">
        <v>240</v>
      </c>
      <c r="T8" s="14" t="s">
        <v>405</v>
      </c>
    </row>
    <row r="9" spans="1:38" ht="17.25" customHeight="1" x14ac:dyDescent="0.2">
      <c r="A9" s="181"/>
      <c r="B9" s="181"/>
      <c r="C9" s="181"/>
      <c r="D9" s="240" t="s">
        <v>480</v>
      </c>
      <c r="E9" s="41" t="s">
        <v>140</v>
      </c>
      <c r="F9" s="41" t="s">
        <v>140</v>
      </c>
      <c r="G9" s="178">
        <v>4200</v>
      </c>
      <c r="H9" s="181"/>
      <c r="I9" s="181"/>
      <c r="J9" s="175">
        <v>0.83333333333333337</v>
      </c>
      <c r="K9" s="178">
        <v>1.6666666666666667</v>
      </c>
      <c r="L9" s="14">
        <v>150</v>
      </c>
      <c r="M9" s="14" t="s">
        <v>1535</v>
      </c>
      <c r="N9" s="158">
        <f>L9*K9*J9*G9</f>
        <v>875000</v>
      </c>
      <c r="O9" s="181"/>
      <c r="P9" s="181"/>
      <c r="Q9" s="19">
        <f t="shared" si="0"/>
        <v>13.689414562408086</v>
      </c>
      <c r="R9" s="62">
        <v>2</v>
      </c>
      <c r="S9" s="14" t="s">
        <v>191</v>
      </c>
      <c r="T9" s="14" t="s">
        <v>1536</v>
      </c>
    </row>
    <row r="10" spans="1:38" ht="17.25" customHeight="1" x14ac:dyDescent="0.2">
      <c r="A10" s="181"/>
      <c r="B10" s="181"/>
      <c r="C10" s="181"/>
      <c r="D10" s="176"/>
      <c r="E10" s="41" t="s">
        <v>155</v>
      </c>
      <c r="F10" s="41" t="s">
        <v>156</v>
      </c>
      <c r="G10" s="176"/>
      <c r="H10" s="176"/>
      <c r="I10" s="176"/>
      <c r="J10" s="176"/>
      <c r="K10" s="176"/>
      <c r="L10" s="14">
        <v>19</v>
      </c>
      <c r="M10" s="14" t="s">
        <v>1537</v>
      </c>
      <c r="N10" s="158">
        <f>L10*K9*J9*G9</f>
        <v>110833.33333333333</v>
      </c>
      <c r="O10" s="181"/>
      <c r="P10" s="181"/>
      <c r="Q10" s="19">
        <f t="shared" si="0"/>
        <v>1.7339925112383574</v>
      </c>
      <c r="R10" s="62">
        <v>2</v>
      </c>
      <c r="S10" s="40" t="s">
        <v>485</v>
      </c>
      <c r="T10" s="14" t="s">
        <v>1540</v>
      </c>
    </row>
    <row r="11" spans="1:38" ht="17.25" customHeight="1" x14ac:dyDescent="0.2">
      <c r="A11" s="181"/>
      <c r="B11" s="181"/>
      <c r="C11" s="181"/>
      <c r="D11" s="240" t="s">
        <v>489</v>
      </c>
      <c r="E11" s="41" t="s">
        <v>140</v>
      </c>
      <c r="F11" s="41" t="s">
        <v>140</v>
      </c>
      <c r="G11" s="178">
        <v>88</v>
      </c>
      <c r="H11" s="178">
        <v>1</v>
      </c>
      <c r="I11" s="179" t="s">
        <v>166</v>
      </c>
      <c r="J11" s="175">
        <v>11.666666666666666</v>
      </c>
      <c r="K11" s="179" t="s">
        <v>27</v>
      </c>
      <c r="L11" s="14">
        <v>150</v>
      </c>
      <c r="M11" s="14" t="s">
        <v>1541</v>
      </c>
      <c r="N11" s="158">
        <f>L11*J11*H11*G11</f>
        <v>154000</v>
      </c>
      <c r="O11" s="181"/>
      <c r="P11" s="181"/>
      <c r="Q11" s="19">
        <f t="shared" si="0"/>
        <v>2.409336962983823</v>
      </c>
      <c r="R11" s="62">
        <v>2</v>
      </c>
      <c r="S11" s="14" t="s">
        <v>191</v>
      </c>
      <c r="T11" s="14" t="s">
        <v>1542</v>
      </c>
    </row>
    <row r="12" spans="1:38" ht="17.25" customHeight="1" x14ac:dyDescent="0.2">
      <c r="A12" s="181"/>
      <c r="B12" s="176"/>
      <c r="C12" s="176"/>
      <c r="D12" s="176"/>
      <c r="E12" s="41" t="s">
        <v>155</v>
      </c>
      <c r="F12" s="41" t="s">
        <v>156</v>
      </c>
      <c r="G12" s="176"/>
      <c r="H12" s="176"/>
      <c r="I12" s="176"/>
      <c r="J12" s="176"/>
      <c r="K12" s="176"/>
      <c r="L12" s="14">
        <v>20.2</v>
      </c>
      <c r="M12" s="14" t="s">
        <v>1543</v>
      </c>
      <c r="N12" s="158">
        <f>L12*J11*H11*G11</f>
        <v>20738.666666666664</v>
      </c>
      <c r="O12" s="181"/>
      <c r="P12" s="181"/>
      <c r="Q12" s="19">
        <f t="shared" si="0"/>
        <v>0.32445737768182148</v>
      </c>
      <c r="R12" s="62">
        <v>2</v>
      </c>
      <c r="S12" s="40" t="s">
        <v>240</v>
      </c>
      <c r="T12" s="14" t="s">
        <v>405</v>
      </c>
    </row>
    <row r="13" spans="1:38" ht="14.25" customHeight="1" x14ac:dyDescent="0.2">
      <c r="A13" s="181"/>
      <c r="B13" s="183" t="s">
        <v>209</v>
      </c>
      <c r="C13" s="184" t="s">
        <v>473</v>
      </c>
      <c r="D13" s="179" t="s">
        <v>255</v>
      </c>
      <c r="E13" s="179" t="s">
        <v>140</v>
      </c>
      <c r="F13" s="179" t="s">
        <v>140</v>
      </c>
      <c r="G13" s="182">
        <v>1</v>
      </c>
      <c r="H13" s="182">
        <v>25000</v>
      </c>
      <c r="I13" s="183" t="s">
        <v>166</v>
      </c>
      <c r="J13" s="175">
        <v>0.5</v>
      </c>
      <c r="K13" s="179" t="s">
        <v>27</v>
      </c>
      <c r="L13" s="178">
        <v>150</v>
      </c>
      <c r="M13" s="179" t="s">
        <v>1545</v>
      </c>
      <c r="N13" s="195">
        <f>L13*J13*H13</f>
        <v>1875000</v>
      </c>
      <c r="O13" s="181"/>
      <c r="P13" s="181"/>
      <c r="Q13" s="175">
        <f t="shared" si="0"/>
        <v>29.334459776588755</v>
      </c>
      <c r="R13" s="190">
        <v>2</v>
      </c>
      <c r="S13" s="40" t="s">
        <v>560</v>
      </c>
      <c r="T13" s="14" t="s">
        <v>1432</v>
      </c>
    </row>
    <row r="14" spans="1:38" ht="14.25" customHeight="1" x14ac:dyDescent="0.2">
      <c r="A14" s="181"/>
      <c r="B14" s="181"/>
      <c r="C14" s="181"/>
      <c r="D14" s="176"/>
      <c r="E14" s="176"/>
      <c r="F14" s="176"/>
      <c r="G14" s="181"/>
      <c r="H14" s="181"/>
      <c r="I14" s="181"/>
      <c r="J14" s="176"/>
      <c r="K14" s="176"/>
      <c r="L14" s="176"/>
      <c r="M14" s="176"/>
      <c r="N14" s="176"/>
      <c r="O14" s="181"/>
      <c r="P14" s="181"/>
      <c r="Q14" s="176"/>
      <c r="R14" s="176"/>
      <c r="S14" s="40" t="s">
        <v>219</v>
      </c>
      <c r="T14" s="14" t="s">
        <v>1433</v>
      </c>
    </row>
    <row r="15" spans="1:38" ht="14.25" customHeight="1" x14ac:dyDescent="0.2">
      <c r="A15" s="181"/>
      <c r="B15" s="181"/>
      <c r="C15" s="181"/>
      <c r="D15" s="41" t="s">
        <v>154</v>
      </c>
      <c r="E15" s="34" t="s">
        <v>155</v>
      </c>
      <c r="F15" s="50" t="s">
        <v>156</v>
      </c>
      <c r="G15" s="176"/>
      <c r="H15" s="181"/>
      <c r="I15" s="181"/>
      <c r="J15" s="51">
        <v>0.5</v>
      </c>
      <c r="K15" s="50" t="s">
        <v>27</v>
      </c>
      <c r="L15" s="53">
        <v>6</v>
      </c>
      <c r="M15" s="14" t="s">
        <v>1548</v>
      </c>
      <c r="N15" s="54">
        <f>L15*H13*J15</f>
        <v>75000</v>
      </c>
      <c r="O15" s="181"/>
      <c r="P15" s="181"/>
      <c r="Q15" s="51">
        <f t="shared" ref="Q15:Q20" si="1">N15/$O$2</f>
        <v>1.1733783910635502</v>
      </c>
      <c r="R15" s="62">
        <v>2</v>
      </c>
      <c r="S15" s="14" t="s">
        <v>568</v>
      </c>
      <c r="T15" s="14" t="s">
        <v>569</v>
      </c>
    </row>
    <row r="16" spans="1:38" ht="14.25" customHeight="1" x14ac:dyDescent="0.2">
      <c r="A16" s="181"/>
      <c r="B16" s="181"/>
      <c r="C16" s="181"/>
      <c r="D16" s="240" t="s">
        <v>480</v>
      </c>
      <c r="E16" s="41" t="s">
        <v>140</v>
      </c>
      <c r="F16" s="41" t="s">
        <v>140</v>
      </c>
      <c r="G16" s="178">
        <v>2100</v>
      </c>
      <c r="H16" s="181"/>
      <c r="I16" s="181"/>
      <c r="J16" s="175">
        <v>0.83333333333333337</v>
      </c>
      <c r="K16" s="178">
        <v>1.6666666666666667</v>
      </c>
      <c r="L16" s="14">
        <v>150</v>
      </c>
      <c r="M16" s="14" t="s">
        <v>1549</v>
      </c>
      <c r="N16" s="54">
        <f>L16*G16*J16*K16</f>
        <v>437500</v>
      </c>
      <c r="O16" s="181"/>
      <c r="P16" s="181"/>
      <c r="Q16" s="51">
        <f t="shared" si="1"/>
        <v>6.8447072812040428</v>
      </c>
      <c r="R16" s="62">
        <v>2</v>
      </c>
      <c r="S16" s="14" t="s">
        <v>191</v>
      </c>
      <c r="T16" s="14" t="s">
        <v>1551</v>
      </c>
    </row>
    <row r="17" spans="1:38" ht="14.25" customHeight="1" x14ac:dyDescent="0.2">
      <c r="A17" s="181"/>
      <c r="B17" s="181"/>
      <c r="C17" s="181"/>
      <c r="D17" s="176"/>
      <c r="E17" s="41" t="s">
        <v>155</v>
      </c>
      <c r="F17" s="41" t="s">
        <v>156</v>
      </c>
      <c r="G17" s="176"/>
      <c r="H17" s="176"/>
      <c r="I17" s="176"/>
      <c r="J17" s="176"/>
      <c r="K17" s="176"/>
      <c r="L17" s="14">
        <v>19</v>
      </c>
      <c r="M17" s="14" t="s">
        <v>1553</v>
      </c>
      <c r="N17" s="54">
        <f>L17*G16*J16*K16</f>
        <v>55416.666666666672</v>
      </c>
      <c r="O17" s="181"/>
      <c r="P17" s="181"/>
      <c r="Q17" s="51">
        <f t="shared" si="1"/>
        <v>0.86699625561917881</v>
      </c>
      <c r="R17" s="62">
        <v>2</v>
      </c>
      <c r="S17" s="40" t="s">
        <v>485</v>
      </c>
      <c r="T17" s="14" t="s">
        <v>1554</v>
      </c>
    </row>
    <row r="18" spans="1:38" ht="14.25" customHeight="1" x14ac:dyDescent="0.2">
      <c r="A18" s="181"/>
      <c r="B18" s="181"/>
      <c r="C18" s="181"/>
      <c r="D18" s="240" t="s">
        <v>489</v>
      </c>
      <c r="E18" s="41" t="s">
        <v>140</v>
      </c>
      <c r="F18" s="41" t="s">
        <v>140</v>
      </c>
      <c r="G18" s="178">
        <v>44</v>
      </c>
      <c r="H18" s="178">
        <v>1</v>
      </c>
      <c r="I18" s="179" t="s">
        <v>166</v>
      </c>
      <c r="J18" s="200">
        <v>11.666666666666666</v>
      </c>
      <c r="K18" s="179" t="s">
        <v>27</v>
      </c>
      <c r="L18" s="14">
        <v>150</v>
      </c>
      <c r="M18" s="14" t="s">
        <v>1555</v>
      </c>
      <c r="N18" s="54">
        <f>L18*G18*J18*H18</f>
        <v>77000</v>
      </c>
      <c r="O18" s="181"/>
      <c r="P18" s="181"/>
      <c r="Q18" s="51">
        <f t="shared" si="1"/>
        <v>1.2046684814919115</v>
      </c>
      <c r="R18" s="62">
        <v>2</v>
      </c>
      <c r="S18" s="14" t="s">
        <v>191</v>
      </c>
      <c r="T18" s="14" t="s">
        <v>1542</v>
      </c>
    </row>
    <row r="19" spans="1:38" ht="14.25" customHeight="1" x14ac:dyDescent="0.2">
      <c r="A19" s="181"/>
      <c r="B19" s="176"/>
      <c r="C19" s="176"/>
      <c r="D19" s="176"/>
      <c r="E19" s="41" t="s">
        <v>155</v>
      </c>
      <c r="F19" s="41" t="s">
        <v>156</v>
      </c>
      <c r="G19" s="176"/>
      <c r="H19" s="176"/>
      <c r="I19" s="176"/>
      <c r="J19" s="176"/>
      <c r="K19" s="176"/>
      <c r="L19" s="14">
        <v>20.2</v>
      </c>
      <c r="M19" s="14" t="s">
        <v>1556</v>
      </c>
      <c r="N19" s="54">
        <f>L19*G18*J18*H18</f>
        <v>10369.333333333332</v>
      </c>
      <c r="O19" s="181"/>
      <c r="P19" s="181"/>
      <c r="Q19" s="51">
        <f t="shared" si="1"/>
        <v>0.16222868884091074</v>
      </c>
      <c r="R19" s="62">
        <v>2</v>
      </c>
      <c r="S19" s="14" t="s">
        <v>174</v>
      </c>
      <c r="T19" s="14" t="s">
        <v>175</v>
      </c>
    </row>
    <row r="20" spans="1:38" ht="15" customHeight="1" x14ac:dyDescent="0.2">
      <c r="A20" s="181"/>
      <c r="B20" s="183" t="s">
        <v>251</v>
      </c>
      <c r="C20" s="184" t="s">
        <v>252</v>
      </c>
      <c r="D20" s="179" t="s">
        <v>253</v>
      </c>
      <c r="E20" s="179" t="s">
        <v>140</v>
      </c>
      <c r="F20" s="179" t="s">
        <v>557</v>
      </c>
      <c r="G20" s="182">
        <v>1</v>
      </c>
      <c r="H20" s="182">
        <v>30000</v>
      </c>
      <c r="I20" s="183" t="s">
        <v>166</v>
      </c>
      <c r="J20" s="175">
        <v>0.66666666666666663</v>
      </c>
      <c r="K20" s="179" t="s">
        <v>27</v>
      </c>
      <c r="L20" s="178">
        <v>150</v>
      </c>
      <c r="M20" s="179" t="s">
        <v>1558</v>
      </c>
      <c r="N20" s="180">
        <f>L20*J20*H20</f>
        <v>3000000</v>
      </c>
      <c r="O20" s="181"/>
      <c r="P20" s="181"/>
      <c r="Q20" s="230">
        <f t="shared" si="1"/>
        <v>46.935135642542008</v>
      </c>
      <c r="R20" s="190">
        <v>3</v>
      </c>
      <c r="S20" s="40" t="s">
        <v>259</v>
      </c>
      <c r="T20" s="14" t="s">
        <v>260</v>
      </c>
      <c r="U20" s="63"/>
      <c r="V20" s="63"/>
      <c r="W20" s="63"/>
      <c r="X20" s="63"/>
      <c r="Y20" s="63"/>
      <c r="Z20" s="63"/>
      <c r="AA20" s="63"/>
      <c r="AB20" s="63"/>
      <c r="AC20" s="63"/>
      <c r="AD20" s="63"/>
      <c r="AE20" s="63"/>
      <c r="AF20" s="63"/>
      <c r="AG20" s="63"/>
      <c r="AH20" s="63"/>
      <c r="AI20" s="63"/>
      <c r="AJ20" s="63"/>
      <c r="AK20" s="63"/>
      <c r="AL20" s="63"/>
    </row>
    <row r="21" spans="1:38" ht="15" customHeight="1" x14ac:dyDescent="0.2">
      <c r="A21" s="181"/>
      <c r="B21" s="181"/>
      <c r="C21" s="181"/>
      <c r="D21" s="176"/>
      <c r="E21" s="176"/>
      <c r="F21" s="176"/>
      <c r="G21" s="181"/>
      <c r="H21" s="181"/>
      <c r="I21" s="181"/>
      <c r="J21" s="176"/>
      <c r="K21" s="176"/>
      <c r="L21" s="176"/>
      <c r="M21" s="176"/>
      <c r="N21" s="176"/>
      <c r="O21" s="181"/>
      <c r="P21" s="181"/>
      <c r="Q21" s="176"/>
      <c r="R21" s="176"/>
      <c r="S21" s="40" t="s">
        <v>1490</v>
      </c>
      <c r="T21" s="14" t="s">
        <v>1491</v>
      </c>
      <c r="U21" s="63"/>
      <c r="V21" s="63"/>
      <c r="W21" s="63"/>
      <c r="X21" s="63"/>
      <c r="Y21" s="63"/>
      <c r="Z21" s="63"/>
      <c r="AA21" s="63"/>
      <c r="AB21" s="63"/>
      <c r="AC21" s="63"/>
      <c r="AD21" s="63"/>
      <c r="AE21" s="63"/>
      <c r="AF21" s="63"/>
      <c r="AG21" s="63"/>
      <c r="AH21" s="63"/>
      <c r="AI21" s="63"/>
      <c r="AJ21" s="63"/>
      <c r="AK21" s="63"/>
      <c r="AL21" s="63"/>
    </row>
    <row r="22" spans="1:38" ht="15" customHeight="1" x14ac:dyDescent="0.2">
      <c r="A22" s="181"/>
      <c r="B22" s="176"/>
      <c r="C22" s="176"/>
      <c r="D22" s="50" t="s">
        <v>154</v>
      </c>
      <c r="E22" s="50" t="s">
        <v>155</v>
      </c>
      <c r="F22" s="50" t="s">
        <v>156</v>
      </c>
      <c r="G22" s="176"/>
      <c r="H22" s="176"/>
      <c r="I22" s="176"/>
      <c r="J22" s="51" t="s">
        <v>27</v>
      </c>
      <c r="K22" s="50" t="s">
        <v>27</v>
      </c>
      <c r="L22" s="53">
        <v>1.9</v>
      </c>
      <c r="M22" s="14" t="s">
        <v>1559</v>
      </c>
      <c r="N22" s="54">
        <f>L22*H20</f>
        <v>57000</v>
      </c>
      <c r="O22" s="181"/>
      <c r="P22" s="181"/>
      <c r="Q22" s="57">
        <f t="shared" ref="Q22:Q25" si="2">N22/$O$2</f>
        <v>0.89176757720829813</v>
      </c>
      <c r="R22" s="71">
        <v>3</v>
      </c>
      <c r="S22" s="40" t="s">
        <v>262</v>
      </c>
      <c r="T22" s="14" t="s">
        <v>407</v>
      </c>
      <c r="U22" s="63"/>
      <c r="V22" s="63"/>
      <c r="W22" s="63"/>
      <c r="X22" s="63"/>
      <c r="Y22" s="63"/>
      <c r="Z22" s="63"/>
      <c r="AA22" s="63"/>
      <c r="AB22" s="63"/>
      <c r="AC22" s="63"/>
      <c r="AD22" s="63"/>
      <c r="AE22" s="63"/>
      <c r="AF22" s="63"/>
      <c r="AG22" s="63"/>
      <c r="AH22" s="63"/>
      <c r="AI22" s="63"/>
      <c r="AJ22" s="63"/>
      <c r="AK22" s="63"/>
      <c r="AL22" s="63"/>
    </row>
    <row r="23" spans="1:38" ht="14.25" customHeight="1" x14ac:dyDescent="0.2">
      <c r="A23" s="181"/>
      <c r="B23" s="68" t="s">
        <v>463</v>
      </c>
      <c r="C23" s="69" t="s">
        <v>300</v>
      </c>
      <c r="D23" s="50" t="s">
        <v>301</v>
      </c>
      <c r="E23" s="50" t="s">
        <v>27</v>
      </c>
      <c r="F23" s="50" t="s">
        <v>27</v>
      </c>
      <c r="G23" s="70">
        <v>12</v>
      </c>
      <c r="H23" s="53">
        <v>20</v>
      </c>
      <c r="I23" s="50" t="s">
        <v>166</v>
      </c>
      <c r="J23" s="51" t="s">
        <v>27</v>
      </c>
      <c r="K23" s="50" t="s">
        <v>27</v>
      </c>
      <c r="L23" s="53" t="s">
        <v>27</v>
      </c>
      <c r="M23" s="50" t="s">
        <v>304</v>
      </c>
      <c r="N23" s="54">
        <f t="shared" ref="N23:N24" si="3">H23*G23</f>
        <v>240</v>
      </c>
      <c r="O23" s="181"/>
      <c r="P23" s="181"/>
      <c r="Q23" s="51">
        <f t="shared" si="2"/>
        <v>3.7548108514033605E-3</v>
      </c>
      <c r="R23" s="71">
        <v>4</v>
      </c>
      <c r="S23" s="14" t="s">
        <v>305</v>
      </c>
      <c r="T23" s="14" t="s">
        <v>306</v>
      </c>
    </row>
    <row r="24" spans="1:38" ht="14.25" customHeight="1" x14ac:dyDescent="0.2">
      <c r="A24" s="181"/>
      <c r="B24" s="68" t="s">
        <v>463</v>
      </c>
      <c r="C24" s="69" t="s">
        <v>1561</v>
      </c>
      <c r="D24" s="50" t="s">
        <v>66</v>
      </c>
      <c r="E24" s="50" t="s">
        <v>27</v>
      </c>
      <c r="F24" s="50" t="s">
        <v>27</v>
      </c>
      <c r="G24" s="70">
        <v>132</v>
      </c>
      <c r="H24" s="53">
        <v>20</v>
      </c>
      <c r="I24" s="50" t="s">
        <v>166</v>
      </c>
      <c r="J24" s="51" t="s">
        <v>27</v>
      </c>
      <c r="K24" s="50" t="s">
        <v>27</v>
      </c>
      <c r="L24" s="53" t="s">
        <v>27</v>
      </c>
      <c r="M24" s="50" t="s">
        <v>304</v>
      </c>
      <c r="N24" s="54">
        <f t="shared" si="3"/>
        <v>2640</v>
      </c>
      <c r="O24" s="181"/>
      <c r="P24" s="181"/>
      <c r="Q24" s="51">
        <f t="shared" si="2"/>
        <v>4.1302919365436966E-2</v>
      </c>
      <c r="R24" s="71">
        <v>4</v>
      </c>
      <c r="S24" s="40" t="s">
        <v>967</v>
      </c>
      <c r="T24" s="14" t="s">
        <v>969</v>
      </c>
    </row>
    <row r="25" spans="1:38" ht="14.25" customHeight="1" x14ac:dyDescent="0.2">
      <c r="A25" s="181"/>
      <c r="B25" s="183" t="s">
        <v>417</v>
      </c>
      <c r="C25" s="183" t="s">
        <v>662</v>
      </c>
      <c r="D25" s="179" t="s">
        <v>663</v>
      </c>
      <c r="E25" s="179" t="s">
        <v>13</v>
      </c>
      <c r="F25" s="179" t="s">
        <v>13</v>
      </c>
      <c r="G25" s="182">
        <v>140</v>
      </c>
      <c r="H25" s="178">
        <v>13.5</v>
      </c>
      <c r="I25" s="179" t="s">
        <v>142</v>
      </c>
      <c r="J25" s="175" t="s">
        <v>27</v>
      </c>
      <c r="K25" s="179" t="s">
        <v>27</v>
      </c>
      <c r="L25" s="178">
        <v>1</v>
      </c>
      <c r="M25" s="179" t="s">
        <v>1562</v>
      </c>
      <c r="N25" s="180">
        <f>L25*G25*H25</f>
        <v>1890</v>
      </c>
      <c r="O25" s="181"/>
      <c r="P25" s="181"/>
      <c r="Q25" s="175">
        <f t="shared" si="2"/>
        <v>2.9569135454801464E-2</v>
      </c>
      <c r="R25" s="190">
        <v>3</v>
      </c>
      <c r="S25" s="40" t="s">
        <v>1563</v>
      </c>
      <c r="T25" s="14" t="s">
        <v>1564</v>
      </c>
    </row>
    <row r="26" spans="1:38" ht="14.25" customHeight="1" x14ac:dyDescent="0.2">
      <c r="A26" s="181"/>
      <c r="B26" s="181"/>
      <c r="C26" s="181"/>
      <c r="D26" s="181"/>
      <c r="E26" s="181"/>
      <c r="F26" s="181"/>
      <c r="G26" s="181"/>
      <c r="H26" s="181"/>
      <c r="I26" s="181"/>
      <c r="J26" s="181"/>
      <c r="K26" s="181"/>
      <c r="L26" s="181"/>
      <c r="M26" s="181"/>
      <c r="N26" s="181"/>
      <c r="O26" s="181"/>
      <c r="P26" s="181"/>
      <c r="Q26" s="181"/>
      <c r="R26" s="181"/>
      <c r="S26" s="40" t="s">
        <v>1565</v>
      </c>
      <c r="T26" s="14" t="s">
        <v>1566</v>
      </c>
    </row>
    <row r="27" spans="1:38" ht="14.25" customHeight="1" x14ac:dyDescent="0.2">
      <c r="A27" s="181"/>
      <c r="B27" s="181"/>
      <c r="C27" s="181"/>
      <c r="D27" s="181"/>
      <c r="E27" s="181"/>
      <c r="F27" s="181"/>
      <c r="G27" s="181"/>
      <c r="H27" s="181"/>
      <c r="I27" s="181"/>
      <c r="J27" s="181"/>
      <c r="K27" s="181"/>
      <c r="L27" s="181"/>
      <c r="M27" s="181"/>
      <c r="N27" s="181"/>
      <c r="O27" s="181"/>
      <c r="P27" s="181"/>
      <c r="Q27" s="181"/>
      <c r="R27" s="181"/>
      <c r="S27" s="40" t="s">
        <v>667</v>
      </c>
      <c r="T27" s="14" t="s">
        <v>668</v>
      </c>
    </row>
    <row r="28" spans="1:38" ht="14.25" customHeight="1" x14ac:dyDescent="0.2">
      <c r="A28" s="181"/>
      <c r="B28" s="181"/>
      <c r="C28" s="181"/>
      <c r="D28" s="181"/>
      <c r="E28" s="181"/>
      <c r="F28" s="181"/>
      <c r="G28" s="181"/>
      <c r="H28" s="181"/>
      <c r="I28" s="181"/>
      <c r="J28" s="181"/>
      <c r="K28" s="181"/>
      <c r="L28" s="181"/>
      <c r="M28" s="181"/>
      <c r="N28" s="181"/>
      <c r="O28" s="181"/>
      <c r="P28" s="181"/>
      <c r="Q28" s="181"/>
      <c r="R28" s="181"/>
      <c r="S28" s="14" t="s">
        <v>669</v>
      </c>
      <c r="T28" s="14" t="s">
        <v>670</v>
      </c>
    </row>
    <row r="29" spans="1:38" ht="14.25" customHeight="1" x14ac:dyDescent="0.2">
      <c r="A29" s="181"/>
      <c r="B29" s="181"/>
      <c r="C29" s="181"/>
      <c r="D29" s="176"/>
      <c r="E29" s="176"/>
      <c r="F29" s="176"/>
      <c r="G29" s="181"/>
      <c r="H29" s="176"/>
      <c r="I29" s="176"/>
      <c r="J29" s="176"/>
      <c r="K29" s="176"/>
      <c r="L29" s="176"/>
      <c r="M29" s="176"/>
      <c r="N29" s="176"/>
      <c r="O29" s="181"/>
      <c r="P29" s="181"/>
      <c r="Q29" s="176"/>
      <c r="R29" s="176"/>
      <c r="S29" s="14" t="s">
        <v>671</v>
      </c>
      <c r="T29" s="14" t="s">
        <v>672</v>
      </c>
    </row>
    <row r="30" spans="1:38" ht="14.25" customHeight="1" x14ac:dyDescent="0.2">
      <c r="A30" s="181"/>
      <c r="B30" s="181"/>
      <c r="C30" s="181"/>
      <c r="D30" s="179" t="s">
        <v>433</v>
      </c>
      <c r="E30" s="179" t="s">
        <v>434</v>
      </c>
      <c r="F30" s="179" t="s">
        <v>435</v>
      </c>
      <c r="G30" s="181"/>
      <c r="H30" s="178">
        <v>13.5</v>
      </c>
      <c r="I30" s="179" t="s">
        <v>166</v>
      </c>
      <c r="J30" s="175">
        <v>2.0833333333333332E-2</v>
      </c>
      <c r="K30" s="193" t="s">
        <v>27</v>
      </c>
      <c r="L30" s="194">
        <v>158</v>
      </c>
      <c r="M30" s="193" t="s">
        <v>1567</v>
      </c>
      <c r="N30" s="180">
        <f>L30*J30*H30*G25*2</f>
        <v>12442.5</v>
      </c>
      <c r="O30" s="181"/>
      <c r="P30" s="181"/>
      <c r="Q30" s="175">
        <f>N30/$O$2</f>
        <v>0.19466347507744297</v>
      </c>
      <c r="R30" s="190">
        <v>3</v>
      </c>
      <c r="S30" s="14" t="s">
        <v>439</v>
      </c>
      <c r="T30" s="14" t="s">
        <v>440</v>
      </c>
    </row>
    <row r="31" spans="1:38" ht="14.25" customHeight="1" x14ac:dyDescent="0.2">
      <c r="A31" s="181"/>
      <c r="B31" s="181"/>
      <c r="C31" s="181"/>
      <c r="D31" s="181"/>
      <c r="E31" s="181"/>
      <c r="F31" s="181"/>
      <c r="G31" s="181"/>
      <c r="H31" s="181"/>
      <c r="I31" s="181"/>
      <c r="J31" s="181"/>
      <c r="K31" s="181"/>
      <c r="L31" s="181"/>
      <c r="M31" s="181"/>
      <c r="N31" s="181"/>
      <c r="O31" s="181"/>
      <c r="P31" s="181"/>
      <c r="Q31" s="181"/>
      <c r="R31" s="181"/>
      <c r="S31" s="14" t="s">
        <v>443</v>
      </c>
      <c r="T31" s="14" t="s">
        <v>444</v>
      </c>
    </row>
    <row r="32" spans="1:38" ht="14.25" customHeight="1" x14ac:dyDescent="0.2">
      <c r="A32" s="181"/>
      <c r="B32" s="181"/>
      <c r="C32" s="181"/>
      <c r="D32" s="181"/>
      <c r="E32" s="181"/>
      <c r="F32" s="181"/>
      <c r="G32" s="181"/>
      <c r="H32" s="181"/>
      <c r="I32" s="181"/>
      <c r="J32" s="181"/>
      <c r="K32" s="181"/>
      <c r="L32" s="181"/>
      <c r="M32" s="181"/>
      <c r="N32" s="181"/>
      <c r="O32" s="181"/>
      <c r="P32" s="181"/>
      <c r="Q32" s="181"/>
      <c r="R32" s="181"/>
      <c r="S32" s="14" t="s">
        <v>451</v>
      </c>
      <c r="T32" s="14" t="s">
        <v>452</v>
      </c>
    </row>
    <row r="33" spans="1:20" ht="14.25" customHeight="1" x14ac:dyDescent="0.2">
      <c r="A33" s="181"/>
      <c r="B33" s="181"/>
      <c r="C33" s="181"/>
      <c r="D33" s="176"/>
      <c r="E33" s="176"/>
      <c r="F33" s="176"/>
      <c r="G33" s="181"/>
      <c r="H33" s="181"/>
      <c r="I33" s="181"/>
      <c r="J33" s="176"/>
      <c r="K33" s="176"/>
      <c r="L33" s="176"/>
      <c r="M33" s="176"/>
      <c r="N33" s="176"/>
      <c r="O33" s="181"/>
      <c r="P33" s="181"/>
      <c r="Q33" s="176"/>
      <c r="R33" s="176"/>
      <c r="S33" s="40" t="s">
        <v>447</v>
      </c>
      <c r="T33" s="14" t="s">
        <v>449</v>
      </c>
    </row>
    <row r="34" spans="1:20" ht="17.25" customHeight="1" x14ac:dyDescent="0.2">
      <c r="A34" s="181"/>
      <c r="B34" s="181"/>
      <c r="C34" s="181"/>
      <c r="D34" s="179" t="s">
        <v>677</v>
      </c>
      <c r="E34" s="179" t="s">
        <v>287</v>
      </c>
      <c r="F34" s="179" t="s">
        <v>19</v>
      </c>
      <c r="G34" s="181"/>
      <c r="H34" s="181"/>
      <c r="I34" s="181"/>
      <c r="J34" s="175">
        <v>2.5000000000000001E-3</v>
      </c>
      <c r="K34" s="179" t="s">
        <v>27</v>
      </c>
      <c r="L34" s="178">
        <v>0.17</v>
      </c>
      <c r="M34" s="179" t="s">
        <v>1568</v>
      </c>
      <c r="N34" s="195">
        <f>L34*H30*G25*2</f>
        <v>642.60000000000014</v>
      </c>
      <c r="O34" s="181"/>
      <c r="P34" s="181"/>
      <c r="Q34" s="175">
        <f>N34/$O$2</f>
        <v>1.00535060546325E-2</v>
      </c>
      <c r="R34" s="190">
        <v>3</v>
      </c>
      <c r="S34" s="14" t="s">
        <v>451</v>
      </c>
      <c r="T34" s="14" t="s">
        <v>452</v>
      </c>
    </row>
    <row r="35" spans="1:20" ht="14.25" customHeight="1" x14ac:dyDescent="0.2">
      <c r="A35" s="181"/>
      <c r="B35" s="197"/>
      <c r="C35" s="197"/>
      <c r="D35" s="176"/>
      <c r="E35" s="176"/>
      <c r="F35" s="176"/>
      <c r="G35" s="197"/>
      <c r="H35" s="176"/>
      <c r="I35" s="176"/>
      <c r="J35" s="176"/>
      <c r="K35" s="176"/>
      <c r="L35" s="176"/>
      <c r="M35" s="176"/>
      <c r="N35" s="176"/>
      <c r="O35" s="181"/>
      <c r="P35" s="181"/>
      <c r="Q35" s="176"/>
      <c r="R35" s="176"/>
      <c r="S35" s="40" t="s">
        <v>460</v>
      </c>
      <c r="T35" s="14" t="s">
        <v>461</v>
      </c>
    </row>
    <row r="36" spans="1:20" ht="14.25" customHeight="1" x14ac:dyDescent="0.2">
      <c r="A36" s="181"/>
      <c r="B36" s="183" t="s">
        <v>321</v>
      </c>
      <c r="C36" s="184" t="s">
        <v>484</v>
      </c>
      <c r="D36" s="179" t="s">
        <v>286</v>
      </c>
      <c r="E36" s="179" t="s">
        <v>287</v>
      </c>
      <c r="F36" s="179" t="s">
        <v>10</v>
      </c>
      <c r="G36" s="178">
        <v>2</v>
      </c>
      <c r="H36" s="182">
        <v>25000</v>
      </c>
      <c r="I36" s="183" t="s">
        <v>166</v>
      </c>
      <c r="J36" s="175">
        <v>0.125</v>
      </c>
      <c r="K36" s="179" t="s">
        <v>27</v>
      </c>
      <c r="L36" s="178">
        <v>2.5</v>
      </c>
      <c r="M36" s="179" t="s">
        <v>1569</v>
      </c>
      <c r="N36" s="180">
        <f>H36*L36*(J36)*G36</f>
        <v>15625</v>
      </c>
      <c r="O36" s="181"/>
      <c r="P36" s="181"/>
      <c r="Q36" s="175">
        <f>N36/$O$2</f>
        <v>0.24445383147157296</v>
      </c>
      <c r="R36" s="192">
        <v>3</v>
      </c>
      <c r="S36" s="14" t="s">
        <v>347</v>
      </c>
      <c r="T36" s="14" t="s">
        <v>348</v>
      </c>
    </row>
    <row r="37" spans="1:20" ht="14.25" customHeight="1" x14ac:dyDescent="0.2">
      <c r="A37" s="181"/>
      <c r="B37" s="181"/>
      <c r="C37" s="181"/>
      <c r="D37" s="181"/>
      <c r="E37" s="181"/>
      <c r="F37" s="181"/>
      <c r="G37" s="181"/>
      <c r="H37" s="181"/>
      <c r="I37" s="181"/>
      <c r="J37" s="181"/>
      <c r="K37" s="181"/>
      <c r="L37" s="181"/>
      <c r="M37" s="181"/>
      <c r="N37" s="181"/>
      <c r="O37" s="181"/>
      <c r="P37" s="181"/>
      <c r="Q37" s="181"/>
      <c r="R37" s="181"/>
      <c r="S37" s="14" t="s">
        <v>349</v>
      </c>
      <c r="T37" s="14" t="s">
        <v>350</v>
      </c>
    </row>
    <row r="38" spans="1:20" ht="14.25" customHeight="1" x14ac:dyDescent="0.2">
      <c r="A38" s="181"/>
      <c r="B38" s="181"/>
      <c r="C38" s="181"/>
      <c r="D38" s="176"/>
      <c r="E38" s="176"/>
      <c r="F38" s="176"/>
      <c r="G38" s="176"/>
      <c r="H38" s="181"/>
      <c r="I38" s="181"/>
      <c r="J38" s="176"/>
      <c r="K38" s="176"/>
      <c r="L38" s="176"/>
      <c r="M38" s="176"/>
      <c r="N38" s="176"/>
      <c r="O38" s="181"/>
      <c r="P38" s="181"/>
      <c r="Q38" s="176"/>
      <c r="R38" s="176"/>
      <c r="S38" s="14" t="s">
        <v>494</v>
      </c>
      <c r="T38" s="14" t="s">
        <v>495</v>
      </c>
    </row>
    <row r="39" spans="1:20" ht="14.25" customHeight="1" x14ac:dyDescent="0.2">
      <c r="A39" s="181"/>
      <c r="B39" s="181"/>
      <c r="C39" s="181"/>
      <c r="D39" s="179" t="s">
        <v>498</v>
      </c>
      <c r="E39" s="179" t="s">
        <v>294</v>
      </c>
      <c r="F39" s="196" t="s">
        <v>12</v>
      </c>
      <c r="G39" s="178">
        <v>1</v>
      </c>
      <c r="H39" s="181"/>
      <c r="I39" s="181"/>
      <c r="J39" s="193">
        <v>4.1666666666666664E-2</v>
      </c>
      <c r="K39" s="179" t="s">
        <v>27</v>
      </c>
      <c r="L39" s="178">
        <v>2</v>
      </c>
      <c r="M39" s="179" t="s">
        <v>1570</v>
      </c>
      <c r="N39" s="201">
        <f>H36*L39</f>
        <v>50000</v>
      </c>
      <c r="O39" s="181"/>
      <c r="P39" s="181"/>
      <c r="Q39" s="175">
        <f>N39/$O$2</f>
        <v>0.78225226070903342</v>
      </c>
      <c r="R39" s="191">
        <v>1</v>
      </c>
      <c r="S39" s="14" t="s">
        <v>503</v>
      </c>
      <c r="T39" s="14" t="s">
        <v>504</v>
      </c>
    </row>
    <row r="40" spans="1:20" ht="14.25" customHeight="1" x14ac:dyDescent="0.2">
      <c r="A40" s="181"/>
      <c r="B40" s="181"/>
      <c r="C40" s="181"/>
      <c r="D40" s="181"/>
      <c r="E40" s="181"/>
      <c r="F40" s="181"/>
      <c r="G40" s="181"/>
      <c r="H40" s="181"/>
      <c r="I40" s="181"/>
      <c r="J40" s="181"/>
      <c r="K40" s="181"/>
      <c r="L40" s="181"/>
      <c r="M40" s="181"/>
      <c r="N40" s="181"/>
      <c r="O40" s="181"/>
      <c r="P40" s="181"/>
      <c r="Q40" s="181"/>
      <c r="R40" s="181"/>
      <c r="S40" s="14" t="s">
        <v>508</v>
      </c>
      <c r="T40" s="14" t="s">
        <v>509</v>
      </c>
    </row>
    <row r="41" spans="1:20" ht="14.25" customHeight="1" x14ac:dyDescent="0.2">
      <c r="A41" s="181"/>
      <c r="B41" s="181"/>
      <c r="C41" s="181"/>
      <c r="D41" s="176"/>
      <c r="E41" s="176"/>
      <c r="F41" s="176"/>
      <c r="G41" s="176"/>
      <c r="H41" s="181"/>
      <c r="I41" s="181"/>
      <c r="J41" s="176"/>
      <c r="K41" s="176"/>
      <c r="L41" s="176"/>
      <c r="M41" s="176"/>
      <c r="N41" s="176"/>
      <c r="O41" s="181"/>
      <c r="P41" s="181"/>
      <c r="Q41" s="176"/>
      <c r="R41" s="176"/>
      <c r="S41" s="40" t="s">
        <v>510</v>
      </c>
      <c r="T41" s="14" t="s">
        <v>512</v>
      </c>
    </row>
    <row r="42" spans="1:20" ht="15" customHeight="1" x14ac:dyDescent="0.2">
      <c r="A42" s="181"/>
      <c r="B42" s="181"/>
      <c r="C42" s="181"/>
      <c r="D42" s="179" t="s">
        <v>515</v>
      </c>
      <c r="E42" s="179" t="s">
        <v>516</v>
      </c>
      <c r="F42" s="179" t="s">
        <v>517</v>
      </c>
      <c r="G42" s="178">
        <v>1</v>
      </c>
      <c r="H42" s="181"/>
      <c r="I42" s="181"/>
      <c r="J42" s="175" t="s">
        <v>27</v>
      </c>
      <c r="K42" s="179" t="s">
        <v>27</v>
      </c>
      <c r="L42" s="178">
        <v>6.3</v>
      </c>
      <c r="M42" s="179" t="s">
        <v>1574</v>
      </c>
      <c r="N42" s="180">
        <f>L42*H36</f>
        <v>157500</v>
      </c>
      <c r="O42" s="181"/>
      <c r="P42" s="181"/>
      <c r="Q42" s="175">
        <f>N42/$O$2</f>
        <v>2.4640946212334556</v>
      </c>
      <c r="R42" s="191">
        <v>1</v>
      </c>
      <c r="S42" s="14" t="s">
        <v>521</v>
      </c>
      <c r="T42" s="14" t="s">
        <v>522</v>
      </c>
    </row>
    <row r="43" spans="1:20" ht="14.25" customHeight="1" x14ac:dyDescent="0.2">
      <c r="A43" s="181"/>
      <c r="B43" s="181"/>
      <c r="C43" s="181"/>
      <c r="D43" s="176"/>
      <c r="E43" s="176"/>
      <c r="F43" s="176"/>
      <c r="G43" s="176"/>
      <c r="H43" s="181"/>
      <c r="I43" s="176"/>
      <c r="J43" s="176"/>
      <c r="K43" s="176"/>
      <c r="L43" s="176"/>
      <c r="M43" s="176"/>
      <c r="N43" s="176"/>
      <c r="O43" s="181"/>
      <c r="P43" s="181"/>
      <c r="Q43" s="176"/>
      <c r="R43" s="176"/>
      <c r="S43" s="14" t="s">
        <v>524</v>
      </c>
      <c r="T43" s="14" t="s">
        <v>525</v>
      </c>
    </row>
    <row r="44" spans="1:20" ht="17.25" customHeight="1" x14ac:dyDescent="0.2">
      <c r="A44" s="181"/>
      <c r="B44" s="181"/>
      <c r="C44" s="181"/>
      <c r="D44" s="179" t="s">
        <v>526</v>
      </c>
      <c r="E44" s="179" t="s">
        <v>527</v>
      </c>
      <c r="F44" s="179" t="s">
        <v>23</v>
      </c>
      <c r="G44" s="182">
        <v>1</v>
      </c>
      <c r="H44" s="181"/>
      <c r="I44" s="183" t="s">
        <v>166</v>
      </c>
      <c r="J44" s="175" t="s">
        <v>27</v>
      </c>
      <c r="K44" s="179" t="s">
        <v>27</v>
      </c>
      <c r="L44" s="178">
        <v>1</v>
      </c>
      <c r="M44" s="179" t="s">
        <v>1577</v>
      </c>
      <c r="N44" s="180">
        <f>L44*H36</f>
        <v>25000</v>
      </c>
      <c r="O44" s="181"/>
      <c r="P44" s="181"/>
      <c r="Q44" s="175">
        <f>N44/$O$2</f>
        <v>0.39112613035451671</v>
      </c>
      <c r="R44" s="191">
        <v>1</v>
      </c>
      <c r="S44" s="40" t="s">
        <v>530</v>
      </c>
      <c r="T44" s="14" t="s">
        <v>531</v>
      </c>
    </row>
    <row r="45" spans="1:20" ht="14.25" customHeight="1" x14ac:dyDescent="0.2">
      <c r="A45" s="181"/>
      <c r="B45" s="181"/>
      <c r="C45" s="181"/>
      <c r="D45" s="181"/>
      <c r="E45" s="181"/>
      <c r="F45" s="181"/>
      <c r="G45" s="181"/>
      <c r="H45" s="181"/>
      <c r="I45" s="181"/>
      <c r="J45" s="181"/>
      <c r="K45" s="181"/>
      <c r="L45" s="181"/>
      <c r="M45" s="181"/>
      <c r="N45" s="181"/>
      <c r="O45" s="181"/>
      <c r="P45" s="181"/>
      <c r="Q45" s="181"/>
      <c r="R45" s="181"/>
      <c r="S45" s="14" t="s">
        <v>947</v>
      </c>
      <c r="T45" s="14" t="s">
        <v>948</v>
      </c>
    </row>
    <row r="46" spans="1:20" ht="14.25" customHeight="1" x14ac:dyDescent="0.2">
      <c r="A46" s="176"/>
      <c r="B46" s="176"/>
      <c r="C46" s="176"/>
      <c r="D46" s="176"/>
      <c r="E46" s="176"/>
      <c r="F46" s="176"/>
      <c r="G46" s="176"/>
      <c r="H46" s="176"/>
      <c r="I46" s="176"/>
      <c r="J46" s="176"/>
      <c r="K46" s="176"/>
      <c r="L46" s="176"/>
      <c r="M46" s="176"/>
      <c r="N46" s="176"/>
      <c r="O46" s="176"/>
      <c r="P46" s="176"/>
      <c r="Q46" s="176"/>
      <c r="R46" s="176"/>
      <c r="S46" s="14" t="s">
        <v>536</v>
      </c>
      <c r="T46" s="14" t="s">
        <v>537</v>
      </c>
    </row>
    <row r="47" spans="1:20" ht="14.25" customHeight="1" x14ac:dyDescent="0.2"/>
    <row r="48" spans="1:20" ht="14.25" customHeight="1" x14ac:dyDescent="0.2"/>
    <row r="49" spans="6:8" ht="14.25" customHeight="1" x14ac:dyDescent="0.2">
      <c r="F49" s="28" t="s">
        <v>309</v>
      </c>
      <c r="G49" s="28" t="s">
        <v>128</v>
      </c>
      <c r="H49" s="28" t="s">
        <v>1579</v>
      </c>
    </row>
    <row r="50" spans="6:8" ht="14.25" customHeight="1" x14ac:dyDescent="0.2">
      <c r="F50" s="50" t="s">
        <v>140</v>
      </c>
      <c r="G50" s="72">
        <f t="shared" ref="G50:G59" si="4">SUMIF($F$2:$F$46,F50,N$2:N$46)</f>
        <v>9781000</v>
      </c>
      <c r="H50" s="73">
        <f t="shared" ref="H50:H59" si="5">SUMIF($F$2:$F$46,F50,Q$2:Q$46)</f>
        <v>153.02418723990115</v>
      </c>
    </row>
    <row r="51" spans="6:8" ht="14.25" customHeight="1" x14ac:dyDescent="0.2">
      <c r="F51" s="14" t="s">
        <v>156</v>
      </c>
      <c r="G51" s="72">
        <f t="shared" si="4"/>
        <v>583295.5</v>
      </c>
      <c r="H51" s="73">
        <f t="shared" si="5"/>
        <v>9.1256844707281211</v>
      </c>
    </row>
    <row r="52" spans="6:8" ht="14.25" customHeight="1" x14ac:dyDescent="0.2">
      <c r="F52" s="50" t="s">
        <v>557</v>
      </c>
      <c r="G52" s="72">
        <f t="shared" si="4"/>
        <v>3000000</v>
      </c>
      <c r="H52" s="73">
        <f t="shared" si="5"/>
        <v>46.935135642542008</v>
      </c>
    </row>
    <row r="53" spans="6:8" ht="14.25" customHeight="1" x14ac:dyDescent="0.2">
      <c r="F53" s="50" t="s">
        <v>13</v>
      </c>
      <c r="G53" s="72">
        <f t="shared" si="4"/>
        <v>1890</v>
      </c>
      <c r="H53" s="73">
        <f t="shared" si="5"/>
        <v>2.9569135454801464E-2</v>
      </c>
    </row>
    <row r="54" spans="6:8" ht="14.25" customHeight="1" x14ac:dyDescent="0.2">
      <c r="F54" s="50" t="s">
        <v>435</v>
      </c>
      <c r="G54" s="72">
        <f t="shared" si="4"/>
        <v>12442.5</v>
      </c>
      <c r="H54" s="73">
        <f t="shared" si="5"/>
        <v>0.19466347507744297</v>
      </c>
    </row>
    <row r="55" spans="6:8" ht="14.25" customHeight="1" x14ac:dyDescent="0.2">
      <c r="F55" s="34" t="s">
        <v>19</v>
      </c>
      <c r="G55" s="72">
        <f t="shared" si="4"/>
        <v>642.60000000000014</v>
      </c>
      <c r="H55" s="73">
        <f t="shared" si="5"/>
        <v>1.00535060546325E-2</v>
      </c>
    </row>
    <row r="56" spans="6:8" ht="14.25" customHeight="1" x14ac:dyDescent="0.2">
      <c r="F56" s="50" t="s">
        <v>10</v>
      </c>
      <c r="G56" s="72">
        <f t="shared" si="4"/>
        <v>15625</v>
      </c>
      <c r="H56" s="73">
        <f t="shared" si="5"/>
        <v>0.24445383147157296</v>
      </c>
    </row>
    <row r="57" spans="6:8" ht="14.25" customHeight="1" x14ac:dyDescent="0.2">
      <c r="F57" s="90" t="s">
        <v>12</v>
      </c>
      <c r="G57" s="72">
        <f t="shared" si="4"/>
        <v>50000</v>
      </c>
      <c r="H57" s="73">
        <f t="shared" si="5"/>
        <v>0.78225226070903342</v>
      </c>
    </row>
    <row r="58" spans="6:8" ht="14.25" customHeight="1" x14ac:dyDescent="0.2">
      <c r="F58" s="50" t="s">
        <v>517</v>
      </c>
      <c r="G58" s="72">
        <f t="shared" si="4"/>
        <v>157500</v>
      </c>
      <c r="H58" s="73">
        <f t="shared" si="5"/>
        <v>2.4640946212334556</v>
      </c>
    </row>
    <row r="59" spans="6:8" ht="14.25" customHeight="1" x14ac:dyDescent="0.2">
      <c r="F59" s="50" t="s">
        <v>23</v>
      </c>
      <c r="G59" s="72">
        <f t="shared" si="4"/>
        <v>25000</v>
      </c>
      <c r="H59" s="73">
        <f t="shared" si="5"/>
        <v>0.39112613035451671</v>
      </c>
    </row>
    <row r="60" spans="6:8" ht="14.25" customHeight="1" x14ac:dyDescent="0.2">
      <c r="G60" s="75"/>
      <c r="H60" s="111"/>
    </row>
    <row r="61" spans="6:8" ht="14.25" customHeight="1" x14ac:dyDescent="0.2">
      <c r="G61" s="75"/>
    </row>
    <row r="62" spans="6:8" ht="14.25" customHeight="1" x14ac:dyDescent="0.2">
      <c r="F62" s="93" t="s">
        <v>631</v>
      </c>
      <c r="G62" s="28" t="s">
        <v>128</v>
      </c>
      <c r="H62" s="28" t="s">
        <v>1582</v>
      </c>
    </row>
    <row r="63" spans="6:8" ht="14.25" customHeight="1" x14ac:dyDescent="0.2">
      <c r="F63" s="50" t="s">
        <v>140</v>
      </c>
      <c r="G63" s="72">
        <f t="shared" ref="G63:G70" si="6">SUMIF($E$2:$E$46,F63,$N$2:$N$46)</f>
        <v>12781000</v>
      </c>
      <c r="H63" s="73">
        <f t="shared" ref="H63:H70" si="7">SUMIF($E$2:$E$46,F63,Q$2:Q$46)</f>
        <v>199.95932288244316</v>
      </c>
    </row>
    <row r="64" spans="6:8" ht="14.25" customHeight="1" x14ac:dyDescent="0.2">
      <c r="F64" s="14" t="s">
        <v>155</v>
      </c>
      <c r="G64" s="72">
        <f t="shared" si="6"/>
        <v>583295.5</v>
      </c>
      <c r="H64" s="73">
        <f t="shared" si="7"/>
        <v>9.1256844707281211</v>
      </c>
    </row>
    <row r="65" spans="6:8" ht="14.25" customHeight="1" x14ac:dyDescent="0.2">
      <c r="F65" s="50" t="s">
        <v>13</v>
      </c>
      <c r="G65" s="72">
        <f t="shared" si="6"/>
        <v>1890</v>
      </c>
      <c r="H65" s="73">
        <f t="shared" si="7"/>
        <v>2.9569135454801464E-2</v>
      </c>
    </row>
    <row r="66" spans="6:8" ht="14.25" customHeight="1" x14ac:dyDescent="0.2">
      <c r="F66" s="34" t="s">
        <v>434</v>
      </c>
      <c r="G66" s="72">
        <f t="shared" si="6"/>
        <v>12442.5</v>
      </c>
      <c r="H66" s="73">
        <f t="shared" si="7"/>
        <v>0.19466347507744297</v>
      </c>
    </row>
    <row r="67" spans="6:8" ht="14.25" customHeight="1" x14ac:dyDescent="0.2">
      <c r="F67" s="34" t="s">
        <v>287</v>
      </c>
      <c r="G67" s="72">
        <f t="shared" si="6"/>
        <v>16267.6</v>
      </c>
      <c r="H67" s="73">
        <f t="shared" si="7"/>
        <v>0.25450733752620547</v>
      </c>
    </row>
    <row r="68" spans="6:8" ht="14.25" customHeight="1" x14ac:dyDescent="0.2">
      <c r="F68" s="34" t="s">
        <v>294</v>
      </c>
      <c r="G68" s="72">
        <f t="shared" si="6"/>
        <v>50000</v>
      </c>
      <c r="H68" s="73">
        <f t="shared" si="7"/>
        <v>0.78225226070903342</v>
      </c>
    </row>
    <row r="69" spans="6:8" ht="14.25" customHeight="1" x14ac:dyDescent="0.2">
      <c r="F69" s="50" t="s">
        <v>516</v>
      </c>
      <c r="G69" s="72">
        <f t="shared" si="6"/>
        <v>157500</v>
      </c>
      <c r="H69" s="73">
        <f t="shared" si="7"/>
        <v>2.4640946212334556</v>
      </c>
    </row>
    <row r="70" spans="6:8" ht="14.25" customHeight="1" x14ac:dyDescent="0.2">
      <c r="F70" s="50" t="s">
        <v>527</v>
      </c>
      <c r="G70" s="72">
        <f t="shared" si="6"/>
        <v>25000</v>
      </c>
      <c r="H70" s="73">
        <f t="shared" si="7"/>
        <v>0.39112613035451671</v>
      </c>
    </row>
    <row r="71" spans="6:8" ht="14.25" customHeight="1" x14ac:dyDescent="0.2"/>
    <row r="72" spans="6:8" ht="14.25" customHeight="1" x14ac:dyDescent="0.2"/>
    <row r="73" spans="6:8" ht="14.25" customHeight="1" x14ac:dyDescent="0.2"/>
    <row r="74" spans="6:8" ht="14.25" customHeight="1" x14ac:dyDescent="0.2"/>
    <row r="75" spans="6:8" ht="14.25" customHeight="1" x14ac:dyDescent="0.2"/>
    <row r="76" spans="6:8" ht="14.25" customHeight="1" x14ac:dyDescent="0.2"/>
    <row r="77" spans="6:8" ht="14.25" customHeight="1" x14ac:dyDescent="0.2"/>
    <row r="78" spans="6:8" ht="14.25" customHeight="1" x14ac:dyDescent="0.2"/>
    <row r="79" spans="6:8" ht="14.25" customHeight="1" x14ac:dyDescent="0.2"/>
    <row r="80" spans="6:8"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69">
    <mergeCell ref="D44:D46"/>
    <mergeCell ref="E44:E46"/>
    <mergeCell ref="F44:F46"/>
    <mergeCell ref="G44:G46"/>
    <mergeCell ref="I44:I46"/>
    <mergeCell ref="J44:J46"/>
    <mergeCell ref="K44:K46"/>
    <mergeCell ref="D2:D3"/>
    <mergeCell ref="D7:D8"/>
    <mergeCell ref="I7:I10"/>
    <mergeCell ref="K7:K8"/>
    <mergeCell ref="D9:D10"/>
    <mergeCell ref="G9:G10"/>
    <mergeCell ref="K9:K10"/>
    <mergeCell ref="F39:F41"/>
    <mergeCell ref="G39:G41"/>
    <mergeCell ref="K39:K41"/>
    <mergeCell ref="F36:F38"/>
    <mergeCell ref="J25:J29"/>
    <mergeCell ref="H7:H10"/>
    <mergeCell ref="B2:B4"/>
    <mergeCell ref="B7:B12"/>
    <mergeCell ref="G36:G38"/>
    <mergeCell ref="H36:H46"/>
    <mergeCell ref="I36:I43"/>
    <mergeCell ref="J36:J38"/>
    <mergeCell ref="G42:G43"/>
    <mergeCell ref="L42:L43"/>
    <mergeCell ref="M42:M43"/>
    <mergeCell ref="J11:J12"/>
    <mergeCell ref="J13:J14"/>
    <mergeCell ref="H11:H12"/>
    <mergeCell ref="I11:I12"/>
    <mergeCell ref="H13:H17"/>
    <mergeCell ref="C7:C12"/>
    <mergeCell ref="D11:D12"/>
    <mergeCell ref="D13:D14"/>
    <mergeCell ref="E13:E14"/>
    <mergeCell ref="G11:G12"/>
    <mergeCell ref="G13:G15"/>
    <mergeCell ref="D16:D17"/>
    <mergeCell ref="G16:G17"/>
    <mergeCell ref="D18:D19"/>
    <mergeCell ref="G18:G19"/>
    <mergeCell ref="B5:B6"/>
    <mergeCell ref="C5:C6"/>
    <mergeCell ref="H5:H6"/>
    <mergeCell ref="I5:I6"/>
    <mergeCell ref="J5:J6"/>
    <mergeCell ref="K5:K6"/>
    <mergeCell ref="C2:C4"/>
    <mergeCell ref="N42:N43"/>
    <mergeCell ref="K36:K38"/>
    <mergeCell ref="L36:L38"/>
    <mergeCell ref="M36:M38"/>
    <mergeCell ref="N36:N38"/>
    <mergeCell ref="L39:L41"/>
    <mergeCell ref="M39:M41"/>
    <mergeCell ref="N39:N41"/>
    <mergeCell ref="L13:L14"/>
    <mergeCell ref="M13:M14"/>
    <mergeCell ref="N13:N14"/>
    <mergeCell ref="K11:K12"/>
    <mergeCell ref="K13:K14"/>
    <mergeCell ref="K16:K17"/>
    <mergeCell ref="K25:K29"/>
    <mergeCell ref="L25:L29"/>
    <mergeCell ref="M25:M29"/>
    <mergeCell ref="J7:J8"/>
    <mergeCell ref="J9:J10"/>
    <mergeCell ref="R2:R3"/>
    <mergeCell ref="H2:H4"/>
    <mergeCell ref="I2:I4"/>
    <mergeCell ref="J2:J4"/>
    <mergeCell ref="K2:K4"/>
    <mergeCell ref="L2:L3"/>
    <mergeCell ref="M2:M3"/>
    <mergeCell ref="N2:N3"/>
    <mergeCell ref="Q2:Q3"/>
    <mergeCell ref="L44:L46"/>
    <mergeCell ref="M44:M46"/>
    <mergeCell ref="N44:N46"/>
    <mergeCell ref="Q44:Q46"/>
    <mergeCell ref="R44:R46"/>
    <mergeCell ref="O2:O46"/>
    <mergeCell ref="P2:P46"/>
    <mergeCell ref="Q30:Q33"/>
    <mergeCell ref="R30:R33"/>
    <mergeCell ref="Q34:Q35"/>
    <mergeCell ref="R34:R35"/>
    <mergeCell ref="R36:R38"/>
    <mergeCell ref="Q13:Q14"/>
    <mergeCell ref="Q20:Q21"/>
    <mergeCell ref="Q25:Q29"/>
    <mergeCell ref="L20:L21"/>
    <mergeCell ref="M20:M21"/>
    <mergeCell ref="N20:N21"/>
    <mergeCell ref="B13:B19"/>
    <mergeCell ref="C13:C19"/>
    <mergeCell ref="R13:R14"/>
    <mergeCell ref="D39:D41"/>
    <mergeCell ref="E39:E41"/>
    <mergeCell ref="Q36:Q38"/>
    <mergeCell ref="Q39:Q41"/>
    <mergeCell ref="R39:R41"/>
    <mergeCell ref="Q42:Q43"/>
    <mergeCell ref="R42:R43"/>
    <mergeCell ref="I13:I17"/>
    <mergeCell ref="J16:J17"/>
    <mergeCell ref="D42:D43"/>
    <mergeCell ref="E42:E43"/>
    <mergeCell ref="F42:F43"/>
    <mergeCell ref="J39:J41"/>
    <mergeCell ref="J42:J43"/>
    <mergeCell ref="K42:K43"/>
    <mergeCell ref="C20:C22"/>
    <mergeCell ref="D20:D21"/>
    <mergeCell ref="E20:E21"/>
    <mergeCell ref="J18:J19"/>
    <mergeCell ref="J20:J21"/>
    <mergeCell ref="H18:H19"/>
    <mergeCell ref="I18:I19"/>
    <mergeCell ref="K18:K19"/>
    <mergeCell ref="F20:F21"/>
    <mergeCell ref="G20:G22"/>
    <mergeCell ref="H20:H22"/>
    <mergeCell ref="I20:I22"/>
    <mergeCell ref="K20:K21"/>
    <mergeCell ref="R20:R21"/>
    <mergeCell ref="H25:H29"/>
    <mergeCell ref="I25:I29"/>
    <mergeCell ref="N25:N29"/>
    <mergeCell ref="R25:R29"/>
    <mergeCell ref="J30:J33"/>
    <mergeCell ref="J34:J35"/>
    <mergeCell ref="K34:K35"/>
    <mergeCell ref="L34:L35"/>
    <mergeCell ref="M34:M35"/>
    <mergeCell ref="N34:N35"/>
    <mergeCell ref="H30:H35"/>
    <mergeCell ref="I30:I35"/>
    <mergeCell ref="K30:K33"/>
    <mergeCell ref="L30:L33"/>
    <mergeCell ref="M30:M33"/>
    <mergeCell ref="N30:N33"/>
    <mergeCell ref="A2:A46"/>
    <mergeCell ref="E2:E3"/>
    <mergeCell ref="F2:F3"/>
    <mergeCell ref="G2:G4"/>
    <mergeCell ref="G5:G6"/>
    <mergeCell ref="G7:G8"/>
    <mergeCell ref="F13:F14"/>
    <mergeCell ref="B25:B35"/>
    <mergeCell ref="C25:C35"/>
    <mergeCell ref="D25:D29"/>
    <mergeCell ref="E25:E29"/>
    <mergeCell ref="F25:F29"/>
    <mergeCell ref="G25:G35"/>
    <mergeCell ref="F30:F33"/>
    <mergeCell ref="F34:F35"/>
    <mergeCell ref="D30:D33"/>
    <mergeCell ref="E30:E33"/>
    <mergeCell ref="D34:D35"/>
    <mergeCell ref="E34:E35"/>
    <mergeCell ref="B36:B46"/>
    <mergeCell ref="C36:C46"/>
    <mergeCell ref="D36:D38"/>
    <mergeCell ref="E36:E38"/>
    <mergeCell ref="B20:B22"/>
  </mergeCells>
  <conditionalFormatting sqref="R2:R6 R13 R15:R20 R22:R23 R25:R34 R36:R39 R42:R46">
    <cfRule type="colorScale" priority="4">
      <colorScale>
        <cfvo type="min"/>
        <cfvo type="percentile" val="50"/>
        <cfvo type="max"/>
        <color rgb="FFF8696B"/>
        <color rgb="FFFFEB84"/>
        <color rgb="FF63BE7B"/>
      </colorScale>
    </cfRule>
  </conditionalFormatting>
  <conditionalFormatting sqref="R2:R46">
    <cfRule type="colorScale" priority="1">
      <colorScale>
        <cfvo type="min"/>
        <cfvo type="percentile" val="50"/>
        <cfvo type="max"/>
        <color rgb="FFF8696B"/>
        <color rgb="FFFFEB84"/>
        <color rgb="FF63BE7B"/>
      </colorScale>
    </cfRule>
  </conditionalFormatting>
  <conditionalFormatting sqref="R7:R12">
    <cfRule type="colorScale" priority="2">
      <colorScale>
        <cfvo type="min"/>
        <cfvo type="percentile" val="50"/>
        <cfvo type="max"/>
        <color rgb="FFF8696B"/>
        <color rgb="FFFFEB84"/>
        <color rgb="FF63BE7B"/>
      </colorScale>
    </cfRule>
  </conditionalFormatting>
  <conditionalFormatting sqref="R24">
    <cfRule type="colorScale" priority="3">
      <colorScale>
        <cfvo type="min"/>
        <cfvo type="percentile" val="50"/>
        <cfvo type="max"/>
        <color rgb="FFF8696B"/>
        <color rgb="FFFFEB84"/>
        <color rgb="FF63BE7B"/>
      </colorScale>
    </cfRule>
  </conditionalFormatting>
  <hyperlinks>
    <hyperlink ref="S4" r:id="rId1" xr:uid="{00000000-0004-0000-1A00-000000000000}"/>
    <hyperlink ref="S6" r:id="rId2" xr:uid="{00000000-0004-0000-1A00-000001000000}"/>
    <hyperlink ref="S8" r:id="rId3" xr:uid="{00000000-0004-0000-1A00-000002000000}"/>
    <hyperlink ref="S10" r:id="rId4" location="_Toc479145359 " xr:uid="{00000000-0004-0000-1A00-000003000000}"/>
    <hyperlink ref="S12" r:id="rId5" xr:uid="{00000000-0004-0000-1A00-000004000000}"/>
    <hyperlink ref="S13" r:id="rId6" xr:uid="{00000000-0004-0000-1A00-000005000000}"/>
    <hyperlink ref="S17" r:id="rId7" location="_Toc479145359 " xr:uid="{00000000-0004-0000-1A00-000006000000}"/>
    <hyperlink ref="S20" r:id="rId8" xr:uid="{00000000-0004-0000-1A00-000007000000}"/>
    <hyperlink ref="S22" r:id="rId9" location=":~:text=The%20minimum%20thickness%20for%20commercial,to%202.5%20psf%20of%20reinforcing). " xr:uid="{00000000-0004-0000-1A00-000008000000}"/>
    <hyperlink ref="S24" r:id="rId10" xr:uid="{00000000-0004-0000-1A00-000009000000}"/>
    <hyperlink ref="S25" r:id="rId11" xr:uid="{00000000-0004-0000-1A00-00000A000000}"/>
    <hyperlink ref="S26" r:id="rId12" location=":~:text=A%20majority%20of%20standard%20sliding,and%2014%2D96%20inches%20high. " xr:uid="{00000000-0004-0000-1A00-00000B000000}"/>
    <hyperlink ref="S27" r:id="rId13" xr:uid="{00000000-0004-0000-1A00-00000C000000}"/>
    <hyperlink ref="S33" r:id="rId14" xr:uid="{00000000-0004-0000-1A00-00000D000000}"/>
    <hyperlink ref="S35" r:id="rId15" xr:uid="{00000000-0004-0000-1A00-00000E000000}"/>
    <hyperlink ref="S41" r:id="rId16" xr:uid="{00000000-0004-0000-1A00-00000F000000}"/>
    <hyperlink ref="S44" r:id="rId17" xr:uid="{00000000-0004-0000-1A00-000010000000}"/>
  </hyperlinks>
  <pageMargins left="0.7" right="0.7" top="0.75" bottom="0.75" header="0" footer="0"/>
  <pageSetup orientation="portrait"/>
  <drawing r:id="rId18"/>
  <legacyDrawing r:id="rId19"/>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L1000"/>
  <sheetViews>
    <sheetView workbookViewId="0"/>
  </sheetViews>
  <sheetFormatPr baseColWidth="10" defaultColWidth="14.5" defaultRowHeight="15" customHeight="1" x14ac:dyDescent="0.2"/>
  <cols>
    <col min="1" max="1" width="22.1640625" customWidth="1"/>
    <col min="2" max="2" width="29" customWidth="1"/>
    <col min="3" max="3" width="30.5" customWidth="1"/>
    <col min="4" max="4" width="44" customWidth="1"/>
    <col min="5" max="5" width="26.5" customWidth="1"/>
    <col min="6" max="6" width="37.83203125" customWidth="1"/>
    <col min="7" max="7" width="14.6640625" customWidth="1"/>
    <col min="8" max="8" width="12.6640625" customWidth="1"/>
    <col min="9" max="9" width="8.6640625" customWidth="1"/>
    <col min="10" max="10" width="13" customWidth="1"/>
    <col min="11" max="11" width="8.6640625" customWidth="1"/>
    <col min="12" max="16" width="14" customWidth="1"/>
    <col min="17" max="18" width="16" customWidth="1"/>
    <col min="19" max="19" width="52.6640625" customWidth="1"/>
    <col min="20" max="20" width="255.5" customWidth="1"/>
    <col min="21" max="38" width="8.6640625" customWidth="1"/>
  </cols>
  <sheetData>
    <row r="1" spans="1:38" ht="14.25" customHeight="1" x14ac:dyDescent="0.2">
      <c r="A1" s="28" t="s">
        <v>115</v>
      </c>
      <c r="B1" s="29" t="s">
        <v>116</v>
      </c>
      <c r="C1" s="28" t="s">
        <v>117</v>
      </c>
      <c r="D1" s="28" t="s">
        <v>118</v>
      </c>
      <c r="E1" s="28" t="s">
        <v>119</v>
      </c>
      <c r="F1" s="28" t="s">
        <v>121</v>
      </c>
      <c r="G1" s="28" t="s">
        <v>122</v>
      </c>
      <c r="H1" s="30" t="s">
        <v>123</v>
      </c>
      <c r="I1" s="30" t="s">
        <v>124</v>
      </c>
      <c r="J1" s="30" t="s">
        <v>125</v>
      </c>
      <c r="K1" s="30" t="s">
        <v>126</v>
      </c>
      <c r="L1" s="30" t="s">
        <v>127</v>
      </c>
      <c r="M1" s="30" t="s">
        <v>124</v>
      </c>
      <c r="N1" s="30" t="s">
        <v>128</v>
      </c>
      <c r="O1" s="30" t="s">
        <v>130</v>
      </c>
      <c r="P1" s="30" t="s">
        <v>131</v>
      </c>
      <c r="Q1" s="28" t="s">
        <v>1571</v>
      </c>
      <c r="R1" s="28" t="s">
        <v>133</v>
      </c>
      <c r="S1" s="28" t="s">
        <v>134</v>
      </c>
      <c r="T1" s="31" t="s">
        <v>135</v>
      </c>
      <c r="U1" s="32"/>
      <c r="V1" s="33"/>
      <c r="W1" s="33"/>
      <c r="X1" s="33"/>
      <c r="Y1" s="33"/>
      <c r="Z1" s="33"/>
      <c r="AA1" s="33"/>
      <c r="AB1" s="33"/>
      <c r="AC1" s="33"/>
      <c r="AD1" s="33"/>
      <c r="AE1" s="33"/>
      <c r="AF1" s="33"/>
      <c r="AG1" s="33"/>
      <c r="AH1" s="33"/>
      <c r="AI1" s="33"/>
      <c r="AJ1" s="33"/>
      <c r="AK1" s="33"/>
      <c r="AL1" s="33"/>
    </row>
    <row r="2" spans="1:38" ht="16.5" customHeight="1" x14ac:dyDescent="0.2">
      <c r="A2" s="185" t="s">
        <v>1573</v>
      </c>
      <c r="B2" s="183" t="s">
        <v>53</v>
      </c>
      <c r="C2" s="183" t="s">
        <v>139</v>
      </c>
      <c r="D2" s="179" t="s">
        <v>140</v>
      </c>
      <c r="E2" s="179" t="s">
        <v>140</v>
      </c>
      <c r="F2" s="179" t="s">
        <v>140</v>
      </c>
      <c r="G2" s="182">
        <v>1</v>
      </c>
      <c r="H2" s="182">
        <v>1750</v>
      </c>
      <c r="I2" s="183" t="s">
        <v>142</v>
      </c>
      <c r="J2" s="178">
        <v>0.66666666666666663</v>
      </c>
      <c r="K2" s="178">
        <v>1.5</v>
      </c>
      <c r="L2" s="178">
        <v>150</v>
      </c>
      <c r="M2" s="179" t="s">
        <v>1575</v>
      </c>
      <c r="N2" s="188">
        <f>L2*K2*J2*H2</f>
        <v>262500</v>
      </c>
      <c r="O2" s="186">
        <v>120408</v>
      </c>
      <c r="P2" s="183" t="s">
        <v>1576</v>
      </c>
      <c r="Q2" s="175">
        <f>N2/O2</f>
        <v>2.1800877018138332</v>
      </c>
      <c r="R2" s="177">
        <v>4</v>
      </c>
      <c r="S2" s="14" t="s">
        <v>149</v>
      </c>
      <c r="T2" s="14" t="s">
        <v>150</v>
      </c>
    </row>
    <row r="3" spans="1:38" ht="14.25" customHeight="1" x14ac:dyDescent="0.2">
      <c r="A3" s="181"/>
      <c r="B3" s="181"/>
      <c r="C3" s="181"/>
      <c r="D3" s="176"/>
      <c r="E3" s="176"/>
      <c r="F3" s="176"/>
      <c r="G3" s="181"/>
      <c r="H3" s="181"/>
      <c r="I3" s="181"/>
      <c r="J3" s="181"/>
      <c r="K3" s="181"/>
      <c r="L3" s="176"/>
      <c r="M3" s="176"/>
      <c r="N3" s="176"/>
      <c r="O3" s="181"/>
      <c r="P3" s="181"/>
      <c r="Q3" s="176"/>
      <c r="R3" s="176"/>
      <c r="S3" s="14" t="s">
        <v>401</v>
      </c>
      <c r="T3" s="14" t="s">
        <v>402</v>
      </c>
    </row>
    <row r="4" spans="1:38" ht="14.25" customHeight="1" x14ac:dyDescent="0.2">
      <c r="A4" s="181"/>
      <c r="B4" s="176"/>
      <c r="C4" s="176"/>
      <c r="D4" s="14" t="s">
        <v>154</v>
      </c>
      <c r="E4" s="14" t="s">
        <v>155</v>
      </c>
      <c r="F4" s="14" t="s">
        <v>156</v>
      </c>
      <c r="G4" s="176"/>
      <c r="H4" s="176"/>
      <c r="I4" s="176"/>
      <c r="J4" s="176"/>
      <c r="K4" s="176"/>
      <c r="L4" s="14">
        <v>5.25</v>
      </c>
      <c r="M4" s="14" t="s">
        <v>1578</v>
      </c>
      <c r="N4" s="38">
        <f>L4*K2*J2*H2</f>
        <v>9187.5</v>
      </c>
      <c r="O4" s="181"/>
      <c r="P4" s="181"/>
      <c r="Q4" s="19">
        <f t="shared" ref="Q4:Q7" si="0">N4/$O$2</f>
        <v>7.6303069563484149E-2</v>
      </c>
      <c r="R4" s="39">
        <v>4</v>
      </c>
      <c r="S4" s="40" t="s">
        <v>240</v>
      </c>
      <c r="T4" s="14" t="s">
        <v>405</v>
      </c>
    </row>
    <row r="5" spans="1:38" ht="14.25" customHeight="1" x14ac:dyDescent="0.2">
      <c r="A5" s="181"/>
      <c r="B5" s="183" t="s">
        <v>164</v>
      </c>
      <c r="C5" s="183" t="s">
        <v>165</v>
      </c>
      <c r="D5" s="14" t="s">
        <v>140</v>
      </c>
      <c r="E5" s="41" t="s">
        <v>140</v>
      </c>
      <c r="F5" s="41" t="s">
        <v>140</v>
      </c>
      <c r="G5" s="182">
        <v>1</v>
      </c>
      <c r="H5" s="182">
        <v>122500</v>
      </c>
      <c r="I5" s="183" t="s">
        <v>166</v>
      </c>
      <c r="J5" s="175">
        <v>0.83333333333333337</v>
      </c>
      <c r="K5" s="179" t="s">
        <v>27</v>
      </c>
      <c r="L5" s="14">
        <v>150</v>
      </c>
      <c r="M5" s="14" t="s">
        <v>1580</v>
      </c>
      <c r="N5" s="38">
        <f>L5*J5*H5</f>
        <v>15312500</v>
      </c>
      <c r="O5" s="181"/>
      <c r="P5" s="181"/>
      <c r="Q5" s="19">
        <f t="shared" si="0"/>
        <v>127.17178260580692</v>
      </c>
      <c r="R5" s="39">
        <v>5</v>
      </c>
      <c r="S5" s="14" t="s">
        <v>169</v>
      </c>
      <c r="T5" s="14"/>
    </row>
    <row r="6" spans="1:38" ht="14.25" customHeight="1" x14ac:dyDescent="0.2">
      <c r="A6" s="181"/>
      <c r="B6" s="176"/>
      <c r="C6" s="176"/>
      <c r="D6" s="14" t="s">
        <v>154</v>
      </c>
      <c r="E6" s="41" t="s">
        <v>155</v>
      </c>
      <c r="F6" s="41" t="s">
        <v>156</v>
      </c>
      <c r="G6" s="176"/>
      <c r="H6" s="176"/>
      <c r="I6" s="176"/>
      <c r="J6" s="176"/>
      <c r="K6" s="176"/>
      <c r="L6" s="14">
        <v>6</v>
      </c>
      <c r="M6" s="14" t="s">
        <v>1581</v>
      </c>
      <c r="N6" s="38">
        <f>L6*J5*H5</f>
        <v>612500</v>
      </c>
      <c r="O6" s="181"/>
      <c r="P6" s="181"/>
      <c r="Q6" s="19">
        <f t="shared" si="0"/>
        <v>5.0868713042322771</v>
      </c>
      <c r="R6" s="39">
        <v>5</v>
      </c>
      <c r="S6" s="14" t="s">
        <v>174</v>
      </c>
      <c r="T6" s="14" t="s">
        <v>175</v>
      </c>
    </row>
    <row r="7" spans="1:38" ht="15" customHeight="1" x14ac:dyDescent="0.2">
      <c r="A7" s="181"/>
      <c r="B7" s="183" t="s">
        <v>209</v>
      </c>
      <c r="C7" s="184" t="s">
        <v>210</v>
      </c>
      <c r="D7" s="179" t="s">
        <v>591</v>
      </c>
      <c r="E7" s="179" t="s">
        <v>155</v>
      </c>
      <c r="F7" s="179" t="s">
        <v>9</v>
      </c>
      <c r="G7" s="178">
        <v>15</v>
      </c>
      <c r="H7" s="182">
        <v>122500</v>
      </c>
      <c r="I7" s="183" t="s">
        <v>166</v>
      </c>
      <c r="J7" s="175" t="s">
        <v>1583</v>
      </c>
      <c r="K7" s="179">
        <v>170</v>
      </c>
      <c r="L7" s="178">
        <v>78</v>
      </c>
      <c r="M7" s="179" t="s">
        <v>180</v>
      </c>
      <c r="N7" s="180">
        <f>L7*K7*G7</f>
        <v>198900</v>
      </c>
      <c r="O7" s="181"/>
      <c r="P7" s="181"/>
      <c r="Q7" s="209">
        <f t="shared" si="0"/>
        <v>1.6518835957743672</v>
      </c>
      <c r="R7" s="177">
        <v>2</v>
      </c>
      <c r="S7" s="40" t="s">
        <v>1584</v>
      </c>
      <c r="T7" s="14" t="s">
        <v>1585</v>
      </c>
    </row>
    <row r="8" spans="1:38" ht="14.25" customHeight="1" x14ac:dyDescent="0.2">
      <c r="A8" s="181"/>
      <c r="B8" s="181"/>
      <c r="C8" s="181"/>
      <c r="D8" s="181"/>
      <c r="E8" s="181"/>
      <c r="F8" s="181"/>
      <c r="G8" s="181"/>
      <c r="H8" s="181"/>
      <c r="I8" s="181"/>
      <c r="J8" s="181"/>
      <c r="K8" s="181"/>
      <c r="L8" s="181"/>
      <c r="M8" s="181"/>
      <c r="N8" s="181"/>
      <c r="O8" s="181"/>
      <c r="P8" s="181"/>
      <c r="Q8" s="181"/>
      <c r="R8" s="181"/>
      <c r="S8" s="40" t="s">
        <v>378</v>
      </c>
      <c r="T8" s="14" t="s">
        <v>1586</v>
      </c>
    </row>
    <row r="9" spans="1:38" ht="14.25" customHeight="1" x14ac:dyDescent="0.2">
      <c r="A9" s="181"/>
      <c r="B9" s="181"/>
      <c r="C9" s="181"/>
      <c r="D9" s="181"/>
      <c r="E9" s="181"/>
      <c r="F9" s="181"/>
      <c r="G9" s="181"/>
      <c r="H9" s="181"/>
      <c r="I9" s="181"/>
      <c r="J9" s="181"/>
      <c r="K9" s="181"/>
      <c r="L9" s="181"/>
      <c r="M9" s="181"/>
      <c r="N9" s="181"/>
      <c r="O9" s="181"/>
      <c r="P9" s="181"/>
      <c r="Q9" s="181"/>
      <c r="R9" s="181"/>
      <c r="S9" s="14" t="s">
        <v>213</v>
      </c>
      <c r="T9" s="14" t="s">
        <v>1587</v>
      </c>
    </row>
    <row r="10" spans="1:38" ht="14.25" customHeight="1" x14ac:dyDescent="0.2">
      <c r="A10" s="181"/>
      <c r="B10" s="181"/>
      <c r="C10" s="181"/>
      <c r="D10" s="176"/>
      <c r="E10" s="176"/>
      <c r="F10" s="176"/>
      <c r="G10" s="176"/>
      <c r="H10" s="181"/>
      <c r="I10" s="181"/>
      <c r="J10" s="176"/>
      <c r="K10" s="176"/>
      <c r="L10" s="176"/>
      <c r="M10" s="176"/>
      <c r="N10" s="176"/>
      <c r="O10" s="181"/>
      <c r="P10" s="181"/>
      <c r="Q10" s="176"/>
      <c r="R10" s="176"/>
      <c r="S10" s="14" t="s">
        <v>623</v>
      </c>
      <c r="T10" s="14" t="s">
        <v>1588</v>
      </c>
    </row>
    <row r="11" spans="1:38" ht="14.25" customHeight="1" x14ac:dyDescent="0.2">
      <c r="A11" s="181"/>
      <c r="B11" s="181"/>
      <c r="C11" s="181"/>
      <c r="D11" s="179" t="s">
        <v>185</v>
      </c>
      <c r="E11" s="179" t="s">
        <v>155</v>
      </c>
      <c r="F11" s="179" t="s">
        <v>9</v>
      </c>
      <c r="G11" s="178">
        <v>30</v>
      </c>
      <c r="H11" s="181"/>
      <c r="I11" s="181"/>
      <c r="J11" s="175" t="s">
        <v>1449</v>
      </c>
      <c r="K11" s="179">
        <v>700</v>
      </c>
      <c r="L11" s="178">
        <v>11.7</v>
      </c>
      <c r="M11" s="179" t="s">
        <v>221</v>
      </c>
      <c r="N11" s="180">
        <f>L11*G11*K11</f>
        <v>245700</v>
      </c>
      <c r="O11" s="181"/>
      <c r="P11" s="181"/>
      <c r="Q11" s="209">
        <f>N11/$O$2</f>
        <v>2.0405620888977478</v>
      </c>
      <c r="R11" s="177">
        <v>2</v>
      </c>
      <c r="S11" s="14" t="s">
        <v>568</v>
      </c>
      <c r="T11" s="14" t="s">
        <v>569</v>
      </c>
    </row>
    <row r="12" spans="1:38" ht="14.25" customHeight="1" x14ac:dyDescent="0.2">
      <c r="A12" s="181"/>
      <c r="B12" s="181"/>
      <c r="C12" s="181"/>
      <c r="D12" s="181"/>
      <c r="E12" s="181"/>
      <c r="F12" s="181"/>
      <c r="G12" s="181"/>
      <c r="H12" s="181"/>
      <c r="I12" s="181"/>
      <c r="J12" s="181"/>
      <c r="K12" s="181"/>
      <c r="L12" s="181"/>
      <c r="M12" s="181"/>
      <c r="N12" s="181"/>
      <c r="O12" s="181"/>
      <c r="P12" s="181"/>
      <c r="Q12" s="181"/>
      <c r="R12" s="181"/>
      <c r="S12" s="40" t="s">
        <v>227</v>
      </c>
      <c r="T12" s="14" t="s">
        <v>1589</v>
      </c>
    </row>
    <row r="13" spans="1:38" ht="14.25" customHeight="1" x14ac:dyDescent="0.2">
      <c r="A13" s="181"/>
      <c r="B13" s="181"/>
      <c r="C13" s="181"/>
      <c r="D13" s="176"/>
      <c r="E13" s="176"/>
      <c r="F13" s="176"/>
      <c r="G13" s="176"/>
      <c r="H13" s="181"/>
      <c r="I13" s="181"/>
      <c r="J13" s="176"/>
      <c r="K13" s="176"/>
      <c r="L13" s="176"/>
      <c r="M13" s="176"/>
      <c r="N13" s="176"/>
      <c r="O13" s="181"/>
      <c r="P13" s="181"/>
      <c r="Q13" s="176"/>
      <c r="R13" s="176"/>
      <c r="S13" s="40" t="s">
        <v>1584</v>
      </c>
      <c r="T13" s="14" t="s">
        <v>1590</v>
      </c>
    </row>
    <row r="14" spans="1:38" ht="14.25" customHeight="1" x14ac:dyDescent="0.2">
      <c r="A14" s="181"/>
      <c r="B14" s="181"/>
      <c r="C14" s="181"/>
      <c r="D14" s="179" t="s">
        <v>239</v>
      </c>
      <c r="E14" s="179" t="s">
        <v>155</v>
      </c>
      <c r="F14" s="179" t="s">
        <v>7</v>
      </c>
      <c r="G14" s="182">
        <v>1</v>
      </c>
      <c r="H14" s="181"/>
      <c r="I14" s="181"/>
      <c r="J14" s="175">
        <v>2.6083333333333336E-3</v>
      </c>
      <c r="K14" s="179" t="s">
        <v>27</v>
      </c>
      <c r="L14" s="178">
        <v>1.25</v>
      </c>
      <c r="M14" s="179" t="s">
        <v>1591</v>
      </c>
      <c r="N14" s="180">
        <f>L14*H7</f>
        <v>153125</v>
      </c>
      <c r="O14" s="181"/>
      <c r="P14" s="181"/>
      <c r="Q14" s="209">
        <f>N14/$O$2</f>
        <v>1.2717178260580693</v>
      </c>
      <c r="R14" s="177">
        <v>4</v>
      </c>
      <c r="S14" s="14" t="s">
        <v>243</v>
      </c>
      <c r="T14" s="14" t="s">
        <v>244</v>
      </c>
    </row>
    <row r="15" spans="1:38" ht="14.25" customHeight="1" x14ac:dyDescent="0.2">
      <c r="A15" s="181"/>
      <c r="B15" s="181"/>
      <c r="C15" s="181"/>
      <c r="D15" s="181"/>
      <c r="E15" s="181"/>
      <c r="F15" s="181"/>
      <c r="G15" s="181"/>
      <c r="H15" s="181"/>
      <c r="I15" s="181"/>
      <c r="J15" s="181"/>
      <c r="K15" s="181"/>
      <c r="L15" s="181"/>
      <c r="M15" s="181"/>
      <c r="N15" s="181"/>
      <c r="O15" s="181"/>
      <c r="P15" s="181"/>
      <c r="Q15" s="181"/>
      <c r="R15" s="181"/>
      <c r="S15" s="40" t="s">
        <v>610</v>
      </c>
      <c r="T15" s="14" t="s">
        <v>611</v>
      </c>
    </row>
    <row r="16" spans="1:38" ht="14.25" customHeight="1" x14ac:dyDescent="0.2">
      <c r="A16" s="181"/>
      <c r="B16" s="181"/>
      <c r="C16" s="181"/>
      <c r="D16" s="176"/>
      <c r="E16" s="176"/>
      <c r="F16" s="176"/>
      <c r="G16" s="176"/>
      <c r="H16" s="181"/>
      <c r="I16" s="181"/>
      <c r="J16" s="176"/>
      <c r="K16" s="176"/>
      <c r="L16" s="176"/>
      <c r="M16" s="176"/>
      <c r="N16" s="176"/>
      <c r="O16" s="181"/>
      <c r="P16" s="181"/>
      <c r="Q16" s="176"/>
      <c r="R16" s="176"/>
      <c r="S16" s="40" t="s">
        <v>246</v>
      </c>
      <c r="T16" s="14" t="s">
        <v>247</v>
      </c>
    </row>
    <row r="17" spans="1:38" ht="14.25" customHeight="1" x14ac:dyDescent="0.2">
      <c r="A17" s="181"/>
      <c r="B17" s="181"/>
      <c r="C17" s="181"/>
      <c r="D17" s="179" t="s">
        <v>197</v>
      </c>
      <c r="E17" s="179" t="s">
        <v>155</v>
      </c>
      <c r="F17" s="179" t="s">
        <v>8</v>
      </c>
      <c r="G17" s="178">
        <v>30</v>
      </c>
      <c r="H17" s="181"/>
      <c r="I17" s="181"/>
      <c r="J17" s="194">
        <v>30</v>
      </c>
      <c r="K17" s="179" t="s">
        <v>27</v>
      </c>
      <c r="L17" s="178">
        <v>54</v>
      </c>
      <c r="M17" s="179" t="s">
        <v>221</v>
      </c>
      <c r="N17" s="180">
        <f>L17*J17*G17</f>
        <v>48600</v>
      </c>
      <c r="O17" s="181"/>
      <c r="P17" s="181"/>
      <c r="Q17" s="209">
        <f>N17/$O$2</f>
        <v>0.40362766593581823</v>
      </c>
      <c r="R17" s="177">
        <v>2</v>
      </c>
      <c r="S17" s="40" t="s">
        <v>1584</v>
      </c>
      <c r="T17" s="14" t="s">
        <v>1592</v>
      </c>
    </row>
    <row r="18" spans="1:38" ht="14.25" customHeight="1" x14ac:dyDescent="0.2">
      <c r="A18" s="181"/>
      <c r="B18" s="176"/>
      <c r="C18" s="176"/>
      <c r="D18" s="176"/>
      <c r="E18" s="176"/>
      <c r="F18" s="176"/>
      <c r="G18" s="176"/>
      <c r="H18" s="176"/>
      <c r="I18" s="176"/>
      <c r="J18" s="176"/>
      <c r="K18" s="176"/>
      <c r="L18" s="176"/>
      <c r="M18" s="176"/>
      <c r="N18" s="176"/>
      <c r="O18" s="181"/>
      <c r="P18" s="181"/>
      <c r="Q18" s="176"/>
      <c r="R18" s="176"/>
      <c r="S18" s="40" t="s">
        <v>1115</v>
      </c>
      <c r="T18" s="117" t="s">
        <v>1593</v>
      </c>
    </row>
    <row r="19" spans="1:38" ht="16.5" customHeight="1" x14ac:dyDescent="0.2">
      <c r="A19" s="181"/>
      <c r="B19" s="183" t="s">
        <v>251</v>
      </c>
      <c r="C19" s="184" t="s">
        <v>1285</v>
      </c>
      <c r="D19" s="179" t="s">
        <v>140</v>
      </c>
      <c r="E19" s="179" t="s">
        <v>140</v>
      </c>
      <c r="F19" s="179" t="s">
        <v>140</v>
      </c>
      <c r="G19" s="182">
        <v>1</v>
      </c>
      <c r="H19" s="182">
        <v>52500</v>
      </c>
      <c r="I19" s="183" t="s">
        <v>166</v>
      </c>
      <c r="J19" s="175">
        <v>0.75</v>
      </c>
      <c r="K19" s="179" t="s">
        <v>27</v>
      </c>
      <c r="L19" s="178">
        <v>150</v>
      </c>
      <c r="M19" s="179" t="s">
        <v>1594</v>
      </c>
      <c r="N19" s="180">
        <f>H19*L19*J19</f>
        <v>5906250</v>
      </c>
      <c r="O19" s="181"/>
      <c r="P19" s="181"/>
      <c r="Q19" s="175">
        <f>N19/$O$2</f>
        <v>49.05197329081124</v>
      </c>
      <c r="R19" s="177">
        <v>4</v>
      </c>
      <c r="S19" s="14" t="s">
        <v>1120</v>
      </c>
      <c r="T19" s="14" t="s">
        <v>1121</v>
      </c>
    </row>
    <row r="20" spans="1:38" ht="15" customHeight="1" x14ac:dyDescent="0.2">
      <c r="A20" s="181"/>
      <c r="B20" s="181"/>
      <c r="C20" s="181"/>
      <c r="D20" s="176"/>
      <c r="E20" s="176"/>
      <c r="F20" s="176"/>
      <c r="G20" s="181"/>
      <c r="H20" s="181"/>
      <c r="I20" s="181"/>
      <c r="J20" s="176"/>
      <c r="K20" s="176"/>
      <c r="L20" s="176"/>
      <c r="M20" s="176"/>
      <c r="N20" s="176"/>
      <c r="O20" s="181"/>
      <c r="P20" s="181"/>
      <c r="Q20" s="176"/>
      <c r="R20" s="176"/>
      <c r="S20" s="14" t="s">
        <v>1124</v>
      </c>
      <c r="T20" s="14" t="s">
        <v>1125</v>
      </c>
      <c r="U20" s="63"/>
      <c r="V20" s="63"/>
      <c r="W20" s="63"/>
      <c r="X20" s="63"/>
      <c r="Y20" s="63"/>
      <c r="Z20" s="63"/>
      <c r="AA20" s="63"/>
      <c r="AB20" s="63"/>
      <c r="AC20" s="63"/>
      <c r="AD20" s="63"/>
      <c r="AE20" s="63"/>
      <c r="AF20" s="63"/>
      <c r="AG20" s="63"/>
      <c r="AH20" s="63"/>
      <c r="AI20" s="63"/>
      <c r="AJ20" s="63"/>
      <c r="AK20" s="63"/>
      <c r="AL20" s="63"/>
    </row>
    <row r="21" spans="1:38" ht="14.25" customHeight="1" x14ac:dyDescent="0.2">
      <c r="A21" s="181"/>
      <c r="B21" s="181"/>
      <c r="C21" s="181"/>
      <c r="D21" s="14" t="s">
        <v>154</v>
      </c>
      <c r="E21" s="14" t="s">
        <v>155</v>
      </c>
      <c r="F21" s="14" t="s">
        <v>156</v>
      </c>
      <c r="G21" s="181"/>
      <c r="H21" s="181"/>
      <c r="I21" s="181"/>
      <c r="J21" s="100">
        <v>0.75</v>
      </c>
      <c r="K21" s="101" t="s">
        <v>27</v>
      </c>
      <c r="L21" s="14">
        <v>6</v>
      </c>
      <c r="M21" s="14" t="s">
        <v>1595</v>
      </c>
      <c r="N21" s="38">
        <f>L21*H19*J21</f>
        <v>236250</v>
      </c>
      <c r="O21" s="181"/>
      <c r="P21" s="181"/>
      <c r="Q21" s="19">
        <f t="shared" ref="Q21:Q22" si="1">N21/$O$2</f>
        <v>1.9620789316324496</v>
      </c>
      <c r="R21" s="39">
        <v>3</v>
      </c>
      <c r="S21" s="14" t="s">
        <v>1128</v>
      </c>
      <c r="T21" s="14" t="s">
        <v>1129</v>
      </c>
    </row>
    <row r="22" spans="1:38" ht="14.25" customHeight="1" x14ac:dyDescent="0.2">
      <c r="A22" s="181"/>
      <c r="B22" s="181"/>
      <c r="C22" s="181"/>
      <c r="D22" s="179" t="s">
        <v>286</v>
      </c>
      <c r="E22" s="179" t="s">
        <v>287</v>
      </c>
      <c r="F22" s="179" t="s">
        <v>1130</v>
      </c>
      <c r="G22" s="181"/>
      <c r="H22" s="181"/>
      <c r="I22" s="181"/>
      <c r="J22" s="175">
        <v>0.25</v>
      </c>
      <c r="K22" s="179"/>
      <c r="L22" s="178">
        <v>1.4</v>
      </c>
      <c r="M22" s="179" t="s">
        <v>1596</v>
      </c>
      <c r="N22" s="180">
        <f>H19*J22*L22</f>
        <v>18375</v>
      </c>
      <c r="O22" s="181"/>
      <c r="P22" s="181"/>
      <c r="Q22" s="175">
        <f t="shared" si="1"/>
        <v>0.1526061391269683</v>
      </c>
      <c r="R22" s="177">
        <v>1</v>
      </c>
      <c r="S22" s="14" t="s">
        <v>1133</v>
      </c>
      <c r="T22" s="14" t="s">
        <v>1134</v>
      </c>
    </row>
    <row r="23" spans="1:38" ht="14.25" customHeight="1" x14ac:dyDescent="0.2">
      <c r="A23" s="181"/>
      <c r="B23" s="176"/>
      <c r="C23" s="176"/>
      <c r="D23" s="176"/>
      <c r="E23" s="176"/>
      <c r="F23" s="176"/>
      <c r="G23" s="176"/>
      <c r="H23" s="176"/>
      <c r="I23" s="176"/>
      <c r="J23" s="176"/>
      <c r="K23" s="176"/>
      <c r="L23" s="176"/>
      <c r="M23" s="176"/>
      <c r="N23" s="176"/>
      <c r="O23" s="181"/>
      <c r="P23" s="181"/>
      <c r="Q23" s="176"/>
      <c r="R23" s="176"/>
      <c r="S23" s="14" t="s">
        <v>1136</v>
      </c>
      <c r="T23" s="14" t="s">
        <v>1137</v>
      </c>
    </row>
    <row r="24" spans="1:38" ht="14.25" customHeight="1" x14ac:dyDescent="0.2">
      <c r="A24" s="181"/>
      <c r="B24" s="127" t="s">
        <v>299</v>
      </c>
      <c r="C24" s="94" t="s">
        <v>300</v>
      </c>
      <c r="D24" s="50" t="s">
        <v>301</v>
      </c>
      <c r="E24" s="50" t="s">
        <v>27</v>
      </c>
      <c r="F24" s="50" t="s">
        <v>27</v>
      </c>
      <c r="G24" s="70">
        <v>7</v>
      </c>
      <c r="H24" s="53">
        <f>3*7</f>
        <v>21</v>
      </c>
      <c r="I24" s="50" t="s">
        <v>166</v>
      </c>
      <c r="J24" s="51" t="s">
        <v>27</v>
      </c>
      <c r="K24" s="50" t="s">
        <v>27</v>
      </c>
      <c r="L24" s="53" t="s">
        <v>27</v>
      </c>
      <c r="M24" s="50" t="s">
        <v>304</v>
      </c>
      <c r="N24" s="54">
        <f t="shared" ref="N24:N25" si="2">H24*G24</f>
        <v>147</v>
      </c>
      <c r="O24" s="181"/>
      <c r="P24" s="181"/>
      <c r="Q24" s="51">
        <f t="shared" ref="Q24:Q25" si="3">N24/$O$2</f>
        <v>1.2208491130157465E-3</v>
      </c>
      <c r="R24" s="58">
        <v>5</v>
      </c>
      <c r="S24" s="14" t="s">
        <v>1102</v>
      </c>
      <c r="T24" s="14" t="s">
        <v>1103</v>
      </c>
    </row>
    <row r="25" spans="1:38" ht="16.5" customHeight="1" x14ac:dyDescent="0.2">
      <c r="A25" s="181"/>
      <c r="B25" s="183" t="s">
        <v>310</v>
      </c>
      <c r="C25" s="183" t="s">
        <v>312</v>
      </c>
      <c r="D25" s="179" t="s">
        <v>996</v>
      </c>
      <c r="E25" s="179" t="s">
        <v>27</v>
      </c>
      <c r="F25" s="179" t="s">
        <v>27</v>
      </c>
      <c r="G25" s="182">
        <v>5</v>
      </c>
      <c r="H25" s="178">
        <v>360</v>
      </c>
      <c r="I25" s="179" t="s">
        <v>166</v>
      </c>
      <c r="J25" s="175">
        <v>3.1249999999999997E-3</v>
      </c>
      <c r="K25" s="179" t="s">
        <v>27</v>
      </c>
      <c r="L25" s="178" t="s">
        <v>27</v>
      </c>
      <c r="M25" s="179" t="s">
        <v>1597</v>
      </c>
      <c r="N25" s="178">
        <f t="shared" si="2"/>
        <v>1800</v>
      </c>
      <c r="O25" s="181"/>
      <c r="P25" s="181"/>
      <c r="Q25" s="178">
        <f t="shared" si="3"/>
        <v>1.4949172812437711E-2</v>
      </c>
      <c r="R25" s="177">
        <v>2</v>
      </c>
      <c r="S25" s="14" t="s">
        <v>1107</v>
      </c>
      <c r="T25" s="14"/>
    </row>
    <row r="26" spans="1:38" ht="14.25" customHeight="1" x14ac:dyDescent="0.2">
      <c r="A26" s="181"/>
      <c r="B26" s="181"/>
      <c r="C26" s="181"/>
      <c r="D26" s="181"/>
      <c r="E26" s="181"/>
      <c r="F26" s="181"/>
      <c r="G26" s="181"/>
      <c r="H26" s="181"/>
      <c r="I26" s="181"/>
      <c r="J26" s="181"/>
      <c r="K26" s="181"/>
      <c r="L26" s="181"/>
      <c r="M26" s="181"/>
      <c r="N26" s="181"/>
      <c r="O26" s="181"/>
      <c r="P26" s="181"/>
      <c r="Q26" s="181"/>
      <c r="R26" s="181"/>
      <c r="S26" s="14" t="s">
        <v>1598</v>
      </c>
      <c r="T26" s="14"/>
    </row>
    <row r="27" spans="1:38" ht="14.25" customHeight="1" x14ac:dyDescent="0.2">
      <c r="A27" s="181"/>
      <c r="B27" s="181"/>
      <c r="C27" s="181"/>
      <c r="D27" s="181"/>
      <c r="E27" s="181"/>
      <c r="F27" s="181"/>
      <c r="G27" s="181"/>
      <c r="H27" s="181"/>
      <c r="I27" s="181"/>
      <c r="J27" s="181"/>
      <c r="K27" s="181"/>
      <c r="L27" s="181"/>
      <c r="M27" s="181"/>
      <c r="N27" s="181"/>
      <c r="O27" s="181"/>
      <c r="P27" s="181"/>
      <c r="Q27" s="181"/>
      <c r="R27" s="181"/>
      <c r="S27" s="40" t="s">
        <v>1599</v>
      </c>
      <c r="T27" s="14" t="s">
        <v>1600</v>
      </c>
    </row>
    <row r="28" spans="1:38" ht="14.25" customHeight="1" x14ac:dyDescent="0.2">
      <c r="A28" s="181"/>
      <c r="B28" s="181"/>
      <c r="C28" s="181"/>
      <c r="D28" s="181"/>
      <c r="E28" s="181"/>
      <c r="F28" s="181"/>
      <c r="G28" s="181"/>
      <c r="H28" s="181"/>
      <c r="I28" s="181"/>
      <c r="J28" s="181"/>
      <c r="K28" s="181"/>
      <c r="L28" s="181"/>
      <c r="M28" s="181"/>
      <c r="N28" s="181"/>
      <c r="O28" s="181"/>
      <c r="P28" s="181"/>
      <c r="Q28" s="181"/>
      <c r="R28" s="181"/>
      <c r="S28" s="40" t="s">
        <v>1601</v>
      </c>
      <c r="T28" s="14" t="s">
        <v>1602</v>
      </c>
    </row>
    <row r="29" spans="1:38" ht="14.25" customHeight="1" x14ac:dyDescent="0.2">
      <c r="A29" s="181"/>
      <c r="B29" s="181"/>
      <c r="C29" s="181"/>
      <c r="D29" s="181"/>
      <c r="E29" s="181"/>
      <c r="F29" s="181"/>
      <c r="G29" s="181"/>
      <c r="H29" s="181"/>
      <c r="I29" s="181"/>
      <c r="J29" s="181"/>
      <c r="K29" s="181"/>
      <c r="L29" s="181"/>
      <c r="M29" s="181"/>
      <c r="N29" s="181"/>
      <c r="O29" s="181"/>
      <c r="P29" s="181"/>
      <c r="Q29" s="181"/>
      <c r="R29" s="181"/>
      <c r="S29" s="14" t="s">
        <v>1603</v>
      </c>
      <c r="T29" s="14"/>
    </row>
    <row r="30" spans="1:38" ht="14.25" customHeight="1" x14ac:dyDescent="0.2">
      <c r="A30" s="181"/>
      <c r="B30" s="176"/>
      <c r="C30" s="176"/>
      <c r="D30" s="176"/>
      <c r="E30" s="176"/>
      <c r="F30" s="176"/>
      <c r="G30" s="176"/>
      <c r="H30" s="176"/>
      <c r="I30" s="176"/>
      <c r="J30" s="176"/>
      <c r="K30" s="176"/>
      <c r="L30" s="176"/>
      <c r="M30" s="176"/>
      <c r="N30" s="176"/>
      <c r="O30" s="181"/>
      <c r="P30" s="181"/>
      <c r="Q30" s="176"/>
      <c r="R30" s="176"/>
      <c r="S30" s="40" t="s">
        <v>1604</v>
      </c>
      <c r="T30" s="14" t="s">
        <v>1605</v>
      </c>
    </row>
    <row r="31" spans="1:38" ht="14.25" customHeight="1" x14ac:dyDescent="0.2">
      <c r="A31" s="181"/>
      <c r="B31" s="183" t="s">
        <v>321</v>
      </c>
      <c r="C31" s="184" t="s">
        <v>597</v>
      </c>
      <c r="D31" s="179" t="s">
        <v>598</v>
      </c>
      <c r="E31" s="179" t="s">
        <v>287</v>
      </c>
      <c r="F31" s="179" t="s">
        <v>17</v>
      </c>
      <c r="G31" s="182">
        <v>1</v>
      </c>
      <c r="H31" s="182">
        <v>125000</v>
      </c>
      <c r="I31" s="183" t="s">
        <v>166</v>
      </c>
      <c r="J31" s="175">
        <v>5.8333333333333336E-3</v>
      </c>
      <c r="K31" s="179" t="s">
        <v>27</v>
      </c>
      <c r="L31" s="178">
        <v>0.35</v>
      </c>
      <c r="M31" s="179" t="s">
        <v>1606</v>
      </c>
      <c r="N31" s="180">
        <f>H31*L31</f>
        <v>43750</v>
      </c>
      <c r="O31" s="181"/>
      <c r="P31" s="181"/>
      <c r="Q31" s="175">
        <f>N31/$O$2</f>
        <v>0.36334795030230549</v>
      </c>
      <c r="R31" s="177">
        <v>3</v>
      </c>
      <c r="S31" s="40" t="s">
        <v>530</v>
      </c>
      <c r="T31" s="14" t="s">
        <v>603</v>
      </c>
    </row>
    <row r="32" spans="1:38" ht="14.25" customHeight="1" x14ac:dyDescent="0.2">
      <c r="A32" s="181"/>
      <c r="B32" s="181"/>
      <c r="C32" s="181"/>
      <c r="D32" s="181"/>
      <c r="E32" s="181"/>
      <c r="F32" s="181"/>
      <c r="G32" s="181"/>
      <c r="H32" s="181"/>
      <c r="I32" s="181"/>
      <c r="J32" s="181"/>
      <c r="K32" s="181"/>
      <c r="L32" s="181"/>
      <c r="M32" s="181"/>
      <c r="N32" s="181"/>
      <c r="O32" s="181"/>
      <c r="P32" s="181"/>
      <c r="Q32" s="181"/>
      <c r="R32" s="181"/>
      <c r="S32" s="14" t="s">
        <v>604</v>
      </c>
      <c r="T32" s="14" t="s">
        <v>605</v>
      </c>
    </row>
    <row r="33" spans="1:20" ht="14.25" customHeight="1" x14ac:dyDescent="0.2">
      <c r="A33" s="181"/>
      <c r="B33" s="181"/>
      <c r="C33" s="181"/>
      <c r="D33" s="176"/>
      <c r="E33" s="176"/>
      <c r="F33" s="176"/>
      <c r="G33" s="176"/>
      <c r="H33" s="181"/>
      <c r="I33" s="181"/>
      <c r="J33" s="176"/>
      <c r="K33" s="176"/>
      <c r="L33" s="176"/>
      <c r="M33" s="176"/>
      <c r="N33" s="176"/>
      <c r="O33" s="181"/>
      <c r="P33" s="181"/>
      <c r="Q33" s="176"/>
      <c r="R33" s="176"/>
      <c r="S33" s="14" t="s">
        <v>606</v>
      </c>
      <c r="T33" s="14" t="s">
        <v>607</v>
      </c>
    </row>
    <row r="34" spans="1:20" ht="14.25" customHeight="1" x14ac:dyDescent="0.2">
      <c r="A34" s="181"/>
      <c r="B34" s="181"/>
      <c r="C34" s="181"/>
      <c r="D34" s="179" t="s">
        <v>498</v>
      </c>
      <c r="E34" s="179" t="s">
        <v>294</v>
      </c>
      <c r="F34" s="196" t="s">
        <v>12</v>
      </c>
      <c r="G34" s="182">
        <v>1</v>
      </c>
      <c r="H34" s="181"/>
      <c r="I34" s="181"/>
      <c r="J34" s="175">
        <v>4.1666666666666664E-2</v>
      </c>
      <c r="K34" s="179" t="s">
        <v>27</v>
      </c>
      <c r="L34" s="178">
        <v>2</v>
      </c>
      <c r="M34" s="179" t="s">
        <v>1607</v>
      </c>
      <c r="N34" s="180">
        <f>H31*L34</f>
        <v>250000</v>
      </c>
      <c r="O34" s="181"/>
      <c r="P34" s="181"/>
      <c r="Q34" s="175">
        <f>N34/$O$2</f>
        <v>2.0762740017274601</v>
      </c>
      <c r="R34" s="177">
        <v>3</v>
      </c>
      <c r="S34" s="14" t="s">
        <v>503</v>
      </c>
      <c r="T34" s="14" t="s">
        <v>504</v>
      </c>
    </row>
    <row r="35" spans="1:20" ht="15" customHeight="1" x14ac:dyDescent="0.2">
      <c r="A35" s="181"/>
      <c r="B35" s="181"/>
      <c r="C35" s="181"/>
      <c r="D35" s="181"/>
      <c r="E35" s="181"/>
      <c r="F35" s="181"/>
      <c r="G35" s="181"/>
      <c r="H35" s="181"/>
      <c r="I35" s="181"/>
      <c r="J35" s="181"/>
      <c r="K35" s="181"/>
      <c r="L35" s="181"/>
      <c r="M35" s="181"/>
      <c r="N35" s="181"/>
      <c r="O35" s="181"/>
      <c r="P35" s="181"/>
      <c r="Q35" s="181"/>
      <c r="R35" s="181"/>
      <c r="S35" s="14" t="s">
        <v>508</v>
      </c>
      <c r="T35" s="14" t="s">
        <v>509</v>
      </c>
    </row>
    <row r="36" spans="1:20" ht="14.25" customHeight="1" x14ac:dyDescent="0.2">
      <c r="A36" s="181"/>
      <c r="B36" s="181"/>
      <c r="C36" s="181"/>
      <c r="D36" s="176"/>
      <c r="E36" s="176"/>
      <c r="F36" s="176"/>
      <c r="G36" s="176"/>
      <c r="H36" s="181"/>
      <c r="I36" s="181"/>
      <c r="J36" s="176"/>
      <c r="K36" s="176"/>
      <c r="L36" s="176"/>
      <c r="M36" s="176"/>
      <c r="N36" s="176"/>
      <c r="O36" s="181"/>
      <c r="P36" s="181"/>
      <c r="Q36" s="176"/>
      <c r="R36" s="176"/>
      <c r="S36" s="40" t="s">
        <v>510</v>
      </c>
      <c r="T36" s="14" t="s">
        <v>614</v>
      </c>
    </row>
    <row r="37" spans="1:20" ht="17.25" customHeight="1" x14ac:dyDescent="0.2">
      <c r="A37" s="181"/>
      <c r="B37" s="181"/>
      <c r="C37" s="181"/>
      <c r="D37" s="179" t="s">
        <v>286</v>
      </c>
      <c r="E37" s="179" t="s">
        <v>287</v>
      </c>
      <c r="F37" s="179" t="s">
        <v>10</v>
      </c>
      <c r="G37" s="182">
        <v>2</v>
      </c>
      <c r="H37" s="181"/>
      <c r="I37" s="181"/>
      <c r="J37" s="175">
        <v>0.125</v>
      </c>
      <c r="K37" s="179" t="s">
        <v>27</v>
      </c>
      <c r="L37" s="178">
        <v>2.5</v>
      </c>
      <c r="M37" s="179" t="s">
        <v>1608</v>
      </c>
      <c r="N37" s="180">
        <f>L37*H31*(J37)*G37</f>
        <v>78125</v>
      </c>
      <c r="O37" s="181"/>
      <c r="P37" s="181"/>
      <c r="Q37" s="175">
        <f>N37/$O$2</f>
        <v>0.64883562553983121</v>
      </c>
      <c r="R37" s="177">
        <v>2</v>
      </c>
      <c r="S37" s="14" t="s">
        <v>343</v>
      </c>
      <c r="T37" s="14" t="s">
        <v>344</v>
      </c>
    </row>
    <row r="38" spans="1:20" ht="14.25" customHeight="1" x14ac:dyDescent="0.2">
      <c r="A38" s="181"/>
      <c r="B38" s="181"/>
      <c r="C38" s="181"/>
      <c r="D38" s="181"/>
      <c r="E38" s="181"/>
      <c r="F38" s="181"/>
      <c r="G38" s="181"/>
      <c r="H38" s="181"/>
      <c r="I38" s="181"/>
      <c r="J38" s="181"/>
      <c r="K38" s="181"/>
      <c r="L38" s="181"/>
      <c r="M38" s="181"/>
      <c r="N38" s="181"/>
      <c r="O38" s="181"/>
      <c r="P38" s="181"/>
      <c r="Q38" s="181"/>
      <c r="R38" s="181"/>
      <c r="S38" s="14" t="s">
        <v>494</v>
      </c>
      <c r="T38" s="14" t="s">
        <v>495</v>
      </c>
    </row>
    <row r="39" spans="1:20" ht="14.25" customHeight="1" x14ac:dyDescent="0.2">
      <c r="A39" s="181"/>
      <c r="B39" s="181"/>
      <c r="C39" s="181"/>
      <c r="D39" s="181"/>
      <c r="E39" s="181"/>
      <c r="F39" s="181"/>
      <c r="G39" s="181"/>
      <c r="H39" s="181"/>
      <c r="I39" s="181"/>
      <c r="J39" s="181"/>
      <c r="K39" s="181"/>
      <c r="L39" s="181"/>
      <c r="M39" s="181"/>
      <c r="N39" s="181"/>
      <c r="O39" s="181"/>
      <c r="P39" s="181"/>
      <c r="Q39" s="181"/>
      <c r="R39" s="181"/>
      <c r="S39" s="14" t="s">
        <v>347</v>
      </c>
      <c r="T39" s="14" t="s">
        <v>348</v>
      </c>
    </row>
    <row r="40" spans="1:20" ht="14.25" customHeight="1" x14ac:dyDescent="0.2">
      <c r="A40" s="176"/>
      <c r="B40" s="176"/>
      <c r="C40" s="176"/>
      <c r="D40" s="176"/>
      <c r="E40" s="176"/>
      <c r="F40" s="176"/>
      <c r="G40" s="176"/>
      <c r="H40" s="176"/>
      <c r="I40" s="176"/>
      <c r="J40" s="176"/>
      <c r="K40" s="176"/>
      <c r="L40" s="176"/>
      <c r="M40" s="176"/>
      <c r="N40" s="176"/>
      <c r="O40" s="176"/>
      <c r="P40" s="176"/>
      <c r="Q40" s="176"/>
      <c r="R40" s="176"/>
      <c r="S40" s="14" t="s">
        <v>349</v>
      </c>
      <c r="T40" s="14" t="s">
        <v>350</v>
      </c>
    </row>
    <row r="41" spans="1:20" ht="14.25" customHeight="1" x14ac:dyDescent="0.2"/>
    <row r="42" spans="1:20" ht="14.25" customHeight="1" x14ac:dyDescent="0.2"/>
    <row r="43" spans="1:20" ht="14.25" customHeight="1" x14ac:dyDescent="0.2">
      <c r="F43" s="28" t="s">
        <v>121</v>
      </c>
      <c r="G43" s="28" t="s">
        <v>128</v>
      </c>
      <c r="H43" s="28" t="s">
        <v>1609</v>
      </c>
    </row>
    <row r="44" spans="1:20" ht="14.25" customHeight="1" x14ac:dyDescent="0.2">
      <c r="F44" s="50" t="s">
        <v>140</v>
      </c>
      <c r="G44" s="72">
        <f t="shared" ref="G44:G52" si="4">SUMIF($F$2:$F$40,$F44,N$2:N$40)</f>
        <v>21481250</v>
      </c>
      <c r="H44" s="73">
        <f t="shared" ref="H44:H52" si="5">SUMIF($F$2:$F$40,$F44,Q$2:Q$40)</f>
        <v>178.40384359843202</v>
      </c>
    </row>
    <row r="45" spans="1:20" ht="14.25" customHeight="1" x14ac:dyDescent="0.2">
      <c r="F45" s="14" t="s">
        <v>156</v>
      </c>
      <c r="G45" s="72">
        <f t="shared" si="4"/>
        <v>857937.5</v>
      </c>
      <c r="H45" s="73">
        <f t="shared" si="5"/>
        <v>7.1252533054282106</v>
      </c>
    </row>
    <row r="46" spans="1:20" ht="14.25" customHeight="1" x14ac:dyDescent="0.2">
      <c r="F46" s="50" t="s">
        <v>9</v>
      </c>
      <c r="G46" s="72">
        <f t="shared" si="4"/>
        <v>444600</v>
      </c>
      <c r="H46" s="73">
        <f t="shared" si="5"/>
        <v>3.6924456846721148</v>
      </c>
    </row>
    <row r="47" spans="1:20" ht="14.25" customHeight="1" x14ac:dyDescent="0.2">
      <c r="F47" s="50" t="s">
        <v>7</v>
      </c>
      <c r="G47" s="72">
        <f t="shared" si="4"/>
        <v>153125</v>
      </c>
      <c r="H47" s="73">
        <f t="shared" si="5"/>
        <v>1.2717178260580693</v>
      </c>
    </row>
    <row r="48" spans="1:20" ht="14.25" customHeight="1" x14ac:dyDescent="0.2">
      <c r="F48" s="34" t="s">
        <v>8</v>
      </c>
      <c r="G48" s="72">
        <f t="shared" si="4"/>
        <v>48600</v>
      </c>
      <c r="H48" s="73">
        <f t="shared" si="5"/>
        <v>0.40362766593581823</v>
      </c>
    </row>
    <row r="49" spans="6:8" ht="14.25" customHeight="1" x14ac:dyDescent="0.2">
      <c r="F49" s="50" t="s">
        <v>1130</v>
      </c>
      <c r="G49" s="72">
        <f t="shared" si="4"/>
        <v>18375</v>
      </c>
      <c r="H49" s="73">
        <f t="shared" si="5"/>
        <v>0.1526061391269683</v>
      </c>
    </row>
    <row r="50" spans="6:8" ht="14.25" customHeight="1" x14ac:dyDescent="0.2">
      <c r="F50" s="50" t="s">
        <v>17</v>
      </c>
      <c r="G50" s="72">
        <f t="shared" si="4"/>
        <v>43750</v>
      </c>
      <c r="H50" s="73">
        <f t="shared" si="5"/>
        <v>0.36334795030230549</v>
      </c>
    </row>
    <row r="51" spans="6:8" ht="14.25" customHeight="1" x14ac:dyDescent="0.2">
      <c r="F51" s="92" t="s">
        <v>12</v>
      </c>
      <c r="G51" s="72">
        <f t="shared" si="4"/>
        <v>250000</v>
      </c>
      <c r="H51" s="73">
        <f t="shared" si="5"/>
        <v>2.0762740017274601</v>
      </c>
    </row>
    <row r="52" spans="6:8" ht="14.25" customHeight="1" x14ac:dyDescent="0.2">
      <c r="F52" s="50" t="s">
        <v>10</v>
      </c>
      <c r="G52" s="72">
        <f t="shared" si="4"/>
        <v>78125</v>
      </c>
      <c r="H52" s="73">
        <f t="shared" si="5"/>
        <v>0.64883562553983121</v>
      </c>
    </row>
    <row r="53" spans="6:8" ht="14.25" customHeight="1" x14ac:dyDescent="0.2">
      <c r="G53" s="75"/>
      <c r="H53" s="111"/>
    </row>
    <row r="54" spans="6:8" ht="14.25" customHeight="1" x14ac:dyDescent="0.2">
      <c r="G54" s="75"/>
    </row>
    <row r="55" spans="6:8" ht="14.25" customHeight="1" x14ac:dyDescent="0.2">
      <c r="F55" s="93" t="s">
        <v>631</v>
      </c>
      <c r="G55" s="28" t="s">
        <v>128</v>
      </c>
      <c r="H55" s="28" t="s">
        <v>1610</v>
      </c>
    </row>
    <row r="56" spans="6:8" ht="14.25" customHeight="1" x14ac:dyDescent="0.2">
      <c r="F56" s="50" t="s">
        <v>140</v>
      </c>
      <c r="G56" s="72">
        <f t="shared" ref="G56:G59" si="6">SUMIF($E$2:$E$40,$F56,N$2:N$40)</f>
        <v>21481250</v>
      </c>
      <c r="H56" s="73">
        <f t="shared" ref="H56:H59" si="7">SUMIF($E$2:$E$40,$F56,Q$2:Q$40)</f>
        <v>178.40384359843202</v>
      </c>
    </row>
    <row r="57" spans="6:8" ht="14.25" customHeight="1" x14ac:dyDescent="0.2">
      <c r="F57" s="14" t="s">
        <v>155</v>
      </c>
      <c r="G57" s="72">
        <f t="shared" si="6"/>
        <v>1504262.5</v>
      </c>
      <c r="H57" s="73">
        <f t="shared" si="7"/>
        <v>12.493044482094213</v>
      </c>
    </row>
    <row r="58" spans="6:8" ht="14.25" customHeight="1" x14ac:dyDescent="0.2">
      <c r="F58" s="50" t="s">
        <v>287</v>
      </c>
      <c r="G58" s="72">
        <f t="shared" si="6"/>
        <v>140250</v>
      </c>
      <c r="H58" s="73">
        <f t="shared" si="7"/>
        <v>1.1647897149691051</v>
      </c>
    </row>
    <row r="59" spans="6:8" ht="14.25" customHeight="1" x14ac:dyDescent="0.2">
      <c r="F59" s="50" t="s">
        <v>294</v>
      </c>
      <c r="G59" s="72">
        <f t="shared" si="6"/>
        <v>250000</v>
      </c>
      <c r="H59" s="73">
        <f t="shared" si="7"/>
        <v>2.0762740017274601</v>
      </c>
    </row>
    <row r="60" spans="6:8" ht="14.25" customHeight="1" x14ac:dyDescent="0.2"/>
    <row r="61" spans="6:8" ht="14.25" customHeight="1" x14ac:dyDescent="0.2"/>
    <row r="62" spans="6:8" ht="14.25" customHeight="1" x14ac:dyDescent="0.2"/>
    <row r="63" spans="6:8" ht="14.25" customHeight="1" x14ac:dyDescent="0.2"/>
    <row r="64" spans="6:8"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50">
    <mergeCell ref="B2:B4"/>
    <mergeCell ref="B7:B18"/>
    <mergeCell ref="D22:D23"/>
    <mergeCell ref="E22:E23"/>
    <mergeCell ref="D25:D30"/>
    <mergeCell ref="E25:E30"/>
    <mergeCell ref="F25:F30"/>
    <mergeCell ref="G25:G30"/>
    <mergeCell ref="B31:B40"/>
    <mergeCell ref="C31:C40"/>
    <mergeCell ref="D37:D40"/>
    <mergeCell ref="E37:E40"/>
    <mergeCell ref="F37:F40"/>
    <mergeCell ref="G37:G40"/>
    <mergeCell ref="D31:D33"/>
    <mergeCell ref="E31:E33"/>
    <mergeCell ref="F31:F33"/>
    <mergeCell ref="G31:G33"/>
    <mergeCell ref="B5:B6"/>
    <mergeCell ref="C5:C6"/>
    <mergeCell ref="G7:G10"/>
    <mergeCell ref="D11:D13"/>
    <mergeCell ref="E11:E13"/>
    <mergeCell ref="F11:F13"/>
    <mergeCell ref="O2:O40"/>
    <mergeCell ref="P2:P40"/>
    <mergeCell ref="H2:H4"/>
    <mergeCell ref="I2:I4"/>
    <mergeCell ref="J2:J4"/>
    <mergeCell ref="K2:K4"/>
    <mergeCell ref="L2:L3"/>
    <mergeCell ref="M2:M3"/>
    <mergeCell ref="N2:N3"/>
    <mergeCell ref="H5:H6"/>
    <mergeCell ref="I5:I6"/>
    <mergeCell ref="J5:J6"/>
    <mergeCell ref="K5:K6"/>
    <mergeCell ref="J37:J40"/>
    <mergeCell ref="K37:K40"/>
    <mergeCell ref="L37:L40"/>
    <mergeCell ref="M37:M40"/>
    <mergeCell ref="N37:N40"/>
    <mergeCell ref="I7:I18"/>
    <mergeCell ref="H7:H18"/>
    <mergeCell ref="L7:L10"/>
    <mergeCell ref="M7:M10"/>
    <mergeCell ref="N7:N10"/>
    <mergeCell ref="N14:N16"/>
    <mergeCell ref="Q14:Q16"/>
    <mergeCell ref="Q17:Q18"/>
    <mergeCell ref="Q19:Q20"/>
    <mergeCell ref="Q22:Q23"/>
    <mergeCell ref="Q25:Q30"/>
    <mergeCell ref="Q31:Q33"/>
    <mergeCell ref="Q34:Q36"/>
    <mergeCell ref="Q37:Q40"/>
    <mergeCell ref="R17:R18"/>
    <mergeCell ref="R19:R20"/>
    <mergeCell ref="R22:R23"/>
    <mergeCell ref="R25:R30"/>
    <mergeCell ref="R31:R33"/>
    <mergeCell ref="R34:R36"/>
    <mergeCell ref="R37:R40"/>
    <mergeCell ref="Q2:Q3"/>
    <mergeCell ref="R2:R3"/>
    <mergeCell ref="Q7:Q10"/>
    <mergeCell ref="R7:R10"/>
    <mergeCell ref="Q11:Q13"/>
    <mergeCell ref="R11:R13"/>
    <mergeCell ref="R14:R16"/>
    <mergeCell ref="J34:J36"/>
    <mergeCell ref="K34:K36"/>
    <mergeCell ref="N34:N36"/>
    <mergeCell ref="J7:J10"/>
    <mergeCell ref="J11:J13"/>
    <mergeCell ref="M11:M13"/>
    <mergeCell ref="N11:N13"/>
    <mergeCell ref="J14:J16"/>
    <mergeCell ref="K14:K16"/>
    <mergeCell ref="L14:L16"/>
    <mergeCell ref="M14:M16"/>
    <mergeCell ref="J17:J18"/>
    <mergeCell ref="K17:K18"/>
    <mergeCell ref="L17:L18"/>
    <mergeCell ref="M17:M18"/>
    <mergeCell ref="N17:N18"/>
    <mergeCell ref="K7:K10"/>
    <mergeCell ref="G11:G13"/>
    <mergeCell ref="D14:D16"/>
    <mergeCell ref="E14:E16"/>
    <mergeCell ref="F14:F16"/>
    <mergeCell ref="G14:G16"/>
    <mergeCell ref="D17:D18"/>
    <mergeCell ref="E17:E18"/>
    <mergeCell ref="F17:F18"/>
    <mergeCell ref="G17:G18"/>
    <mergeCell ref="B25:B30"/>
    <mergeCell ref="C25:C30"/>
    <mergeCell ref="D34:D36"/>
    <mergeCell ref="E34:E36"/>
    <mergeCell ref="F34:F36"/>
    <mergeCell ref="G34:G36"/>
    <mergeCell ref="A2:A40"/>
    <mergeCell ref="C2:C4"/>
    <mergeCell ref="E2:E3"/>
    <mergeCell ref="F2:F3"/>
    <mergeCell ref="G2:G4"/>
    <mergeCell ref="G5:G6"/>
    <mergeCell ref="F22:F23"/>
    <mergeCell ref="G19:G23"/>
    <mergeCell ref="B19:B23"/>
    <mergeCell ref="C19:C23"/>
    <mergeCell ref="E7:E10"/>
    <mergeCell ref="F7:F10"/>
    <mergeCell ref="D2:D3"/>
    <mergeCell ref="D7:D10"/>
    <mergeCell ref="D19:D20"/>
    <mergeCell ref="E19:E20"/>
    <mergeCell ref="F19:F20"/>
    <mergeCell ref="C7:C18"/>
    <mergeCell ref="M25:M30"/>
    <mergeCell ref="N25:N30"/>
    <mergeCell ref="K11:K13"/>
    <mergeCell ref="L11:L13"/>
    <mergeCell ref="H25:H30"/>
    <mergeCell ref="I25:I30"/>
    <mergeCell ref="J25:J30"/>
    <mergeCell ref="K25:K30"/>
    <mergeCell ref="L25:L30"/>
    <mergeCell ref="H19:H23"/>
    <mergeCell ref="K22:K23"/>
    <mergeCell ref="L22:L23"/>
    <mergeCell ref="M22:M23"/>
    <mergeCell ref="N22:N23"/>
    <mergeCell ref="I19:I23"/>
    <mergeCell ref="J19:J20"/>
    <mergeCell ref="K19:K20"/>
    <mergeCell ref="L19:L20"/>
    <mergeCell ref="M19:M20"/>
    <mergeCell ref="N19:N20"/>
    <mergeCell ref="J22:J23"/>
    <mergeCell ref="L34:L36"/>
    <mergeCell ref="M34:M36"/>
    <mergeCell ref="H31:H40"/>
    <mergeCell ref="I31:I40"/>
    <mergeCell ref="J31:J33"/>
    <mergeCell ref="K31:K33"/>
    <mergeCell ref="L31:L33"/>
    <mergeCell ref="M31:M33"/>
    <mergeCell ref="N31:N33"/>
  </mergeCells>
  <conditionalFormatting sqref="R2:R40">
    <cfRule type="colorScale" priority="1">
      <colorScale>
        <cfvo type="min"/>
        <cfvo type="percentile" val="50"/>
        <cfvo type="max"/>
        <color rgb="FFF8696B"/>
        <color rgb="FFFFEB84"/>
        <color rgb="FF63BE7B"/>
      </colorScale>
    </cfRule>
  </conditionalFormatting>
  <hyperlinks>
    <hyperlink ref="S4" r:id="rId1" xr:uid="{00000000-0004-0000-1B00-000000000000}"/>
    <hyperlink ref="S7" r:id="rId2" xr:uid="{00000000-0004-0000-1B00-000001000000}"/>
    <hyperlink ref="S13" r:id="rId3" xr:uid="{00000000-0004-0000-1B00-000002000000}"/>
    <hyperlink ref="S15" r:id="rId4" xr:uid="{00000000-0004-0000-1B00-000003000000}"/>
    <hyperlink ref="S16" r:id="rId5" xr:uid="{00000000-0004-0000-1B00-000004000000}"/>
    <hyperlink ref="S17" r:id="rId6" xr:uid="{00000000-0004-0000-1B00-000005000000}"/>
    <hyperlink ref="S18" r:id="rId7" xr:uid="{00000000-0004-0000-1B00-000006000000}"/>
    <hyperlink ref="S27" r:id="rId8" xr:uid="{00000000-0004-0000-1B00-000007000000}"/>
    <hyperlink ref="S28" r:id="rId9" xr:uid="{00000000-0004-0000-1B00-000008000000}"/>
    <hyperlink ref="S30" r:id="rId10" xr:uid="{00000000-0004-0000-1B00-000009000000}"/>
    <hyperlink ref="S31" r:id="rId11" xr:uid="{00000000-0004-0000-1B00-00000A000000}"/>
    <hyperlink ref="S36" r:id="rId12" xr:uid="{00000000-0004-0000-1B00-00000B000000}"/>
  </hyperlinks>
  <pageMargins left="0.7" right="0.7" top="0.75" bottom="0.75" header="0" footer="0"/>
  <pageSetup orientation="portrait"/>
  <drawing r:id="rId13"/>
  <legacyDrawing r:id="rId1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Materials</vt:lpstr>
      <vt:lpstr>Components</vt:lpstr>
      <vt:lpstr>MIC by location</vt:lpstr>
      <vt:lpstr>MIC % by location</vt:lpstr>
      <vt:lpstr>MIC % by location graph</vt:lpstr>
      <vt:lpstr>Aircraft traffic control &amp; oper</vt:lpstr>
      <vt:lpstr>Ammunition &amp; explosives storage</vt:lpstr>
      <vt:lpstr>Aircraft maintenance hangar</vt:lpstr>
      <vt:lpstr>Armory</vt:lpstr>
      <vt:lpstr>Communications</vt:lpstr>
      <vt:lpstr>Dining</vt:lpstr>
      <vt:lpstr>Family housing</vt:lpstr>
      <vt:lpstr>Family service center</vt:lpstr>
      <vt:lpstr>Fire station</vt:lpstr>
      <vt:lpstr>Industrial utilities</vt:lpstr>
      <vt:lpstr>Lodging</vt:lpstr>
      <vt:lpstr>Maintenance shop</vt:lpstr>
      <vt:lpstr>Medical</vt:lpstr>
      <vt:lpstr>Office</vt:lpstr>
      <vt:lpstr>Public service</vt:lpstr>
      <vt:lpstr>RDT&amp;E</vt:lpstr>
      <vt:lpstr>Recreation &amp; culture</vt:lpstr>
      <vt:lpstr>Security</vt:lpstr>
      <vt:lpstr>Ship operational</vt:lpstr>
      <vt:lpstr>Store (retail &amp; grocery)</vt:lpstr>
      <vt:lpstr>Training &amp; academic instruction</vt:lpstr>
      <vt:lpstr>Unaccompanied housing (barracks</vt:lpstr>
      <vt:lpstr>Warehouse &amp; storage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Abigayle Hodson</cp:lastModifiedBy>
  <dcterms:created xsi:type="dcterms:W3CDTF">2015-06-05T18:17:20Z</dcterms:created>
  <dcterms:modified xsi:type="dcterms:W3CDTF">2026-09-08T20:04:12Z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0x010100704F75408508F64C834A314FFCE6633A</vt:lpwstr>
  </property>
  <property fmtid="{D5CDD505-2E9C-101B-9397-08002B2CF9AE}" pid="3" name="MediaServiceImageTags">
    <vt:lpwstr/>
  </property>
</Properties>
</file>